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86015299-013C-4E48-81DF-8FDD511E8B1F}" xr6:coauthVersionLast="47" xr6:coauthVersionMax="47" xr10:uidLastSave="{00000000-0000-0000-0000-000000000000}"/>
  <bookViews>
    <workbookView xWindow="-120" yWindow="-120" windowWidth="29040" windowHeight="16440" activeTab="3" xr2:uid="{1D2246CA-65E1-463E-B399-ADD2BD6083C0}"/>
  </bookViews>
  <sheets>
    <sheet name="Data Links" sheetId="1" r:id="rId1"/>
    <sheet name="Assumptions" sheetId="2" r:id="rId2"/>
    <sheet name="US Fuel Production" sheetId="3" r:id="rId3"/>
    <sheet name="US Jet Fuel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3" l="1"/>
  <c r="P16" i="3"/>
  <c r="O16" i="3"/>
  <c r="N16" i="3"/>
  <c r="M16" i="3"/>
  <c r="L16" i="3"/>
  <c r="K16" i="3"/>
  <c r="J16" i="3"/>
  <c r="I16" i="3"/>
  <c r="H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B16" i="3" s="1"/>
  <c r="BC46" i="2" s="1"/>
  <c r="H5" i="3"/>
  <c r="G5" i="3"/>
  <c r="F5" i="3"/>
  <c r="E5" i="3"/>
  <c r="D5" i="3"/>
  <c r="C5" i="3"/>
  <c r="C16" i="3" s="1"/>
  <c r="BD46" i="2" s="1"/>
  <c r="B5" i="3"/>
  <c r="H4" i="3"/>
  <c r="G4" i="3"/>
  <c r="F4" i="3"/>
  <c r="E4" i="3"/>
  <c r="D4" i="3"/>
  <c r="C4" i="3"/>
  <c r="B4" i="3"/>
  <c r="BG42" i="2"/>
  <c r="BE42" i="2"/>
  <c r="AM42" i="2"/>
  <c r="AL42" i="2"/>
  <c r="AK42" i="2"/>
  <c r="AH42" i="2"/>
  <c r="BG38" i="2"/>
  <c r="BF38" i="2"/>
  <c r="BE38" i="2"/>
  <c r="BD38" i="2"/>
  <c r="BC38" i="2"/>
  <c r="BB38" i="2"/>
  <c r="BA38" i="2"/>
  <c r="BA42" i="2" s="1"/>
  <c r="AZ38" i="2"/>
  <c r="AZ42" i="2" s="1"/>
  <c r="AY38" i="2"/>
  <c r="AY42" i="2" s="1"/>
  <c r="AX38" i="2"/>
  <c r="AX42" i="2" s="1"/>
  <c r="AW38" i="2"/>
  <c r="AW42" i="2" s="1"/>
  <c r="AV38" i="2"/>
  <c r="AV42" i="2" s="1"/>
  <c r="AU38" i="2"/>
  <c r="AU42" i="2" s="1"/>
  <c r="AT38" i="2"/>
  <c r="AT42" i="2" s="1"/>
  <c r="AS38" i="2"/>
  <c r="AS42" i="2" s="1"/>
  <c r="AR38" i="2"/>
  <c r="AR42" i="2" s="1"/>
  <c r="AQ38" i="2"/>
  <c r="AQ42" i="2" s="1"/>
  <c r="AP38" i="2"/>
  <c r="AO38" i="2"/>
  <c r="AN38" i="2"/>
  <c r="AM38" i="2"/>
  <c r="AL38" i="2"/>
  <c r="AK38" i="2"/>
  <c r="AJ38" i="2"/>
  <c r="AI38" i="2"/>
  <c r="AH38" i="2"/>
  <c r="AG38" i="2"/>
  <c r="AF38" i="2"/>
  <c r="AE38" i="2"/>
  <c r="AE42" i="2" s="1"/>
  <c r="AD38" i="2"/>
  <c r="AD42" i="2" s="1"/>
  <c r="AC38" i="2"/>
  <c r="AC42" i="2" s="1"/>
  <c r="AB38" i="2"/>
  <c r="AB42" i="2" s="1"/>
  <c r="AA38" i="2"/>
  <c r="AA42" i="2" s="1"/>
  <c r="BG33" i="2"/>
  <c r="BF33" i="2"/>
  <c r="BF42" i="2" s="1"/>
  <c r="BE33" i="2"/>
  <c r="BD33" i="2"/>
  <c r="BD42" i="2" s="1"/>
  <c r="BC33" i="2"/>
  <c r="BC42" i="2" s="1"/>
  <c r="BB33" i="2"/>
  <c r="BB42" i="2" s="1"/>
  <c r="BA33" i="2"/>
  <c r="AZ33" i="2"/>
  <c r="AY33" i="2"/>
  <c r="AX33" i="2"/>
  <c r="AW33" i="2"/>
  <c r="AV33" i="2"/>
  <c r="AU33" i="2"/>
  <c r="AT33" i="2"/>
  <c r="AS33" i="2"/>
  <c r="AR33" i="2"/>
  <c r="AQ33" i="2"/>
  <c r="AP33" i="2"/>
  <c r="AP42" i="2" s="1"/>
  <c r="AO33" i="2"/>
  <c r="AO42" i="2" s="1"/>
  <c r="AN33" i="2"/>
  <c r="AN42" i="2" s="1"/>
  <c r="AM33" i="2"/>
  <c r="AL33" i="2"/>
  <c r="AK33" i="2"/>
  <c r="AJ33" i="2"/>
  <c r="AJ42" i="2" s="1"/>
  <c r="AI33" i="2"/>
  <c r="AI42" i="2" s="1"/>
  <c r="AH33" i="2"/>
  <c r="AG33" i="2"/>
  <c r="AG42" i="2" s="1"/>
  <c r="AF33" i="2"/>
  <c r="AF42" i="2" s="1"/>
  <c r="AE33" i="2"/>
  <c r="AD33" i="2"/>
  <c r="AC33" i="2"/>
  <c r="AB33" i="2"/>
  <c r="AA33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BI20" i="2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BB16" i="2"/>
  <c r="BA16" i="2"/>
  <c r="AV16" i="2"/>
  <c r="AU16" i="2"/>
  <c r="AT16" i="2"/>
  <c r="AS16" i="2"/>
  <c r="AR16" i="2"/>
  <c r="AQ16" i="2"/>
  <c r="AP16" i="2"/>
  <c r="AO16" i="2"/>
  <c r="AF16" i="2"/>
  <c r="AE16" i="2"/>
  <c r="Z16" i="2"/>
  <c r="Y16" i="2"/>
  <c r="X16" i="2"/>
  <c r="W16" i="2"/>
  <c r="V16" i="2"/>
  <c r="U16" i="2"/>
  <c r="T16" i="2"/>
  <c r="S16" i="2"/>
  <c r="J16" i="2"/>
  <c r="I16" i="2"/>
  <c r="D16" i="2"/>
  <c r="C16" i="2"/>
  <c r="B16" i="2"/>
  <c r="CI15" i="2"/>
  <c r="CH15" i="2"/>
  <c r="BI15" i="2"/>
  <c r="BH15" i="2"/>
  <c r="BG15" i="2"/>
  <c r="BF15" i="2"/>
  <c r="BE15" i="2"/>
  <c r="BD15" i="2"/>
  <c r="BC15" i="2"/>
  <c r="BB15" i="2"/>
  <c r="BA15" i="2"/>
  <c r="AZ15" i="2"/>
  <c r="AZ16" i="2" s="1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D16" i="2" s="1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H16" i="2" s="1"/>
  <c r="G15" i="2"/>
  <c r="F15" i="2"/>
  <c r="E15" i="2"/>
  <c r="D15" i="2"/>
  <c r="C15" i="2"/>
  <c r="B15" i="2"/>
  <c r="BR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X16" i="2" s="1"/>
  <c r="AW14" i="2"/>
  <c r="AW16" i="2" s="1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B16" i="2" s="1"/>
  <c r="AA14" i="2"/>
  <c r="AA16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F16" i="2" s="1"/>
  <c r="E14" i="2"/>
  <c r="E16" i="2" s="1"/>
  <c r="D14" i="2"/>
  <c r="C14" i="2"/>
  <c r="B14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BH12" i="2"/>
  <c r="BH16" i="2" s="1"/>
  <c r="BG12" i="2"/>
  <c r="BG16" i="2" s="1"/>
  <c r="BF12" i="2"/>
  <c r="BF16" i="2" s="1"/>
  <c r="BE12" i="2"/>
  <c r="BE16" i="2" s="1"/>
  <c r="BD12" i="2"/>
  <c r="BD16" i="2" s="1"/>
  <c r="BC12" i="2"/>
  <c r="BC16" i="2" s="1"/>
  <c r="BB12" i="2"/>
  <c r="BA12" i="2"/>
  <c r="AZ12" i="2"/>
  <c r="AY12" i="2"/>
  <c r="AY16" i="2" s="1"/>
  <c r="AX12" i="2"/>
  <c r="AW12" i="2"/>
  <c r="AV12" i="2"/>
  <c r="AU12" i="2"/>
  <c r="AT12" i="2"/>
  <c r="AS12" i="2"/>
  <c r="AR12" i="2"/>
  <c r="AQ12" i="2"/>
  <c r="AP12" i="2"/>
  <c r="AO12" i="2"/>
  <c r="AN12" i="2"/>
  <c r="AN16" i="2" s="1"/>
  <c r="AM12" i="2"/>
  <c r="AM16" i="2" s="1"/>
  <c r="AL12" i="2"/>
  <c r="AL16" i="2" s="1"/>
  <c r="AK12" i="2"/>
  <c r="AK16" i="2" s="1"/>
  <c r="AJ12" i="2"/>
  <c r="AJ16" i="2" s="1"/>
  <c r="AI12" i="2"/>
  <c r="AI16" i="2" s="1"/>
  <c r="AH12" i="2"/>
  <c r="AH16" i="2" s="1"/>
  <c r="AG12" i="2"/>
  <c r="AG16" i="2" s="1"/>
  <c r="AF12" i="2"/>
  <c r="AE12" i="2"/>
  <c r="AD12" i="2"/>
  <c r="AC12" i="2"/>
  <c r="AC16" i="2" s="1"/>
  <c r="AB12" i="2"/>
  <c r="AA12" i="2"/>
  <c r="Z12" i="2"/>
  <c r="Y12" i="2"/>
  <c r="X12" i="2"/>
  <c r="W12" i="2"/>
  <c r="V12" i="2"/>
  <c r="U12" i="2"/>
  <c r="T12" i="2"/>
  <c r="S12" i="2"/>
  <c r="R12" i="2"/>
  <c r="R16" i="2" s="1"/>
  <c r="Q12" i="2"/>
  <c r="Q16" i="2" s="1"/>
  <c r="P12" i="2"/>
  <c r="P16" i="2" s="1"/>
  <c r="O12" i="2"/>
  <c r="O16" i="2" s="1"/>
  <c r="N12" i="2"/>
  <c r="N16" i="2" s="1"/>
  <c r="M12" i="2"/>
  <c r="M16" i="2" s="1"/>
  <c r="L12" i="2"/>
  <c r="L16" i="2" s="1"/>
  <c r="K12" i="2"/>
  <c r="K16" i="2" s="1"/>
  <c r="J12" i="2"/>
  <c r="I12" i="2"/>
  <c r="H12" i="2"/>
  <c r="G12" i="2"/>
  <c r="G16" i="2" s="1"/>
  <c r="F12" i="2"/>
  <c r="E12" i="2"/>
  <c r="D12" i="2"/>
  <c r="C12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BF9" i="2"/>
  <c r="BE9" i="2"/>
  <c r="BD9" i="2"/>
  <c r="BC9" i="2"/>
  <c r="BB9" i="2"/>
  <c r="BA9" i="2"/>
  <c r="AZ9" i="2"/>
  <c r="AY9" i="2"/>
  <c r="AX9" i="2"/>
  <c r="AT9" i="2"/>
  <c r="AS9" i="2"/>
  <c r="AO9" i="2"/>
  <c r="AN9" i="2"/>
  <c r="AJ9" i="2"/>
  <c r="AI9" i="2"/>
  <c r="AH9" i="2"/>
  <c r="AG9" i="2"/>
  <c r="AF9" i="2"/>
  <c r="AE9" i="2"/>
  <c r="AD9" i="2"/>
  <c r="AC9" i="2"/>
  <c r="AB9" i="2"/>
  <c r="X9" i="2"/>
  <c r="W9" i="2"/>
  <c r="S9" i="2"/>
  <c r="R9" i="2"/>
  <c r="N9" i="2"/>
  <c r="M9" i="2"/>
  <c r="L9" i="2"/>
  <c r="K9" i="2"/>
  <c r="J9" i="2"/>
  <c r="I9" i="2"/>
  <c r="H9" i="2"/>
  <c r="G9" i="2"/>
  <c r="F9" i="2"/>
  <c r="BH8" i="2"/>
  <c r="BH9" i="2" s="1"/>
  <c r="BG8" i="2"/>
  <c r="BG9" i="2" s="1"/>
  <c r="BF8" i="2"/>
  <c r="BE8" i="2"/>
  <c r="BD8" i="2"/>
  <c r="BC8" i="2"/>
  <c r="BB8" i="2"/>
  <c r="BA8" i="2"/>
  <c r="AZ8" i="2"/>
  <c r="AY8" i="2"/>
  <c r="AX8" i="2"/>
  <c r="AW8" i="2"/>
  <c r="AW9" i="2" s="1"/>
  <c r="AV8" i="2"/>
  <c r="AV9" i="2" s="1"/>
  <c r="AU8" i="2"/>
  <c r="AU9" i="2" s="1"/>
  <c r="AT8" i="2"/>
  <c r="AS8" i="2"/>
  <c r="AR8" i="2"/>
  <c r="AQ8" i="2"/>
  <c r="AR9" i="2" s="1"/>
  <c r="AP8" i="2"/>
  <c r="AO8" i="2"/>
  <c r="AP9" i="2" s="1"/>
  <c r="AN8" i="2"/>
  <c r="AM8" i="2"/>
  <c r="AL8" i="2"/>
  <c r="AM9" i="2" s="1"/>
  <c r="AK8" i="2"/>
  <c r="AK9" i="2" s="1"/>
  <c r="AJ8" i="2"/>
  <c r="AI8" i="2"/>
  <c r="AH8" i="2"/>
  <c r="AG8" i="2"/>
  <c r="AF8" i="2"/>
  <c r="AE8" i="2"/>
  <c r="AD8" i="2"/>
  <c r="AC8" i="2"/>
  <c r="AB8" i="2"/>
  <c r="AA8" i="2"/>
  <c r="AA9" i="2" s="1"/>
  <c r="Z8" i="2"/>
  <c r="Z9" i="2" s="1"/>
  <c r="Y8" i="2"/>
  <c r="Y9" i="2" s="1"/>
  <c r="X8" i="2"/>
  <c r="W8" i="2"/>
  <c r="V8" i="2"/>
  <c r="U8" i="2"/>
  <c r="V9" i="2" s="1"/>
  <c r="T8" i="2"/>
  <c r="S8" i="2"/>
  <c r="T9" i="2" s="1"/>
  <c r="R8" i="2"/>
  <c r="Q8" i="2"/>
  <c r="P8" i="2"/>
  <c r="Q9" i="2" s="1"/>
  <c r="O8" i="2"/>
  <c r="O9" i="2" s="1"/>
  <c r="N8" i="2"/>
  <c r="M8" i="2"/>
  <c r="L8" i="2"/>
  <c r="K8" i="2"/>
  <c r="J8" i="2"/>
  <c r="I8" i="2"/>
  <c r="H8" i="2"/>
  <c r="G8" i="2"/>
  <c r="F8" i="2"/>
  <c r="E8" i="2"/>
  <c r="E9" i="2" s="1"/>
  <c r="D8" i="2"/>
  <c r="D9" i="2" s="1"/>
  <c r="C8" i="2"/>
  <c r="C9" i="2" s="1"/>
  <c r="B8" i="2"/>
  <c r="CI7" i="2"/>
  <c r="CH7" i="2"/>
  <c r="CG7" i="2"/>
  <c r="CG15" i="2" s="1"/>
  <c r="CF7" i="2"/>
  <c r="CF15" i="2" s="1"/>
  <c r="CE7" i="2"/>
  <c r="CE15" i="2" s="1"/>
  <c r="CD7" i="2"/>
  <c r="CC7" i="2"/>
  <c r="CB7" i="2"/>
  <c r="CA7" i="2"/>
  <c r="BZ7" i="2"/>
  <c r="BY7" i="2"/>
  <c r="BX7" i="2"/>
  <c r="BW7" i="2"/>
  <c r="BV7" i="2"/>
  <c r="BV15" i="2" s="1"/>
  <c r="BU7" i="2"/>
  <c r="BU15" i="2" s="1"/>
  <c r="BT7" i="2"/>
  <c r="BT15" i="2" s="1"/>
  <c r="BS7" i="2"/>
  <c r="BT12" i="2" s="1"/>
  <c r="BR7" i="2"/>
  <c r="BR15" i="2" s="1"/>
  <c r="BQ7" i="2"/>
  <c r="BP7" i="2"/>
  <c r="BO7" i="2"/>
  <c r="BN7" i="2"/>
  <c r="BN15" i="2" s="1"/>
  <c r="BM7" i="2"/>
  <c r="BM15" i="2" s="1"/>
  <c r="BL7" i="2"/>
  <c r="BL15" i="2" s="1"/>
  <c r="BK7" i="2"/>
  <c r="BJ7" i="2"/>
  <c r="BJ15" i="2" s="1"/>
  <c r="CI6" i="2"/>
  <c r="CI14" i="2" s="1"/>
  <c r="CH6" i="2"/>
  <c r="CH14" i="2" s="1"/>
  <c r="CG6" i="2"/>
  <c r="CG14" i="2" s="1"/>
  <c r="CF6" i="2"/>
  <c r="CF14" i="2" s="1"/>
  <c r="CE6" i="2"/>
  <c r="CE14" i="2" s="1"/>
  <c r="CD6" i="2"/>
  <c r="CD14" i="2" s="1"/>
  <c r="CC6" i="2"/>
  <c r="CC14" i="2" s="1"/>
  <c r="CB6" i="2"/>
  <c r="CA6" i="2"/>
  <c r="BZ6" i="2"/>
  <c r="BZ14" i="2" s="1"/>
  <c r="BY6" i="2"/>
  <c r="BY14" i="2" s="1"/>
  <c r="BX6" i="2"/>
  <c r="BX14" i="2" s="1"/>
  <c r="BW6" i="2"/>
  <c r="BW14" i="2" s="1"/>
  <c r="BV6" i="2"/>
  <c r="BU6" i="2"/>
  <c r="BT6" i="2"/>
  <c r="BS6" i="2"/>
  <c r="BR6" i="2"/>
  <c r="BQ6" i="2"/>
  <c r="BP6" i="2"/>
  <c r="BO6" i="2"/>
  <c r="BN6" i="2"/>
  <c r="BM6" i="2"/>
  <c r="BL6" i="2"/>
  <c r="BK6" i="2"/>
  <c r="BK15" i="2" s="1"/>
  <c r="BJ6" i="2"/>
  <c r="CI5" i="2"/>
  <c r="CH5" i="2"/>
  <c r="CG5" i="2"/>
  <c r="CF5" i="2"/>
  <c r="CE5" i="2"/>
  <c r="CD5" i="2"/>
  <c r="CC5" i="2"/>
  <c r="CB5" i="2"/>
  <c r="CA5" i="2"/>
  <c r="BZ5" i="2"/>
  <c r="BZ13" i="2" s="1"/>
  <c r="BY5" i="2"/>
  <c r="BX5" i="2"/>
  <c r="BW5" i="2"/>
  <c r="BV5" i="2"/>
  <c r="BU5" i="2"/>
  <c r="BT5" i="2"/>
  <c r="BS5" i="2"/>
  <c r="BR5" i="2"/>
  <c r="BQ5" i="2"/>
  <c r="BQ14" i="2" s="1"/>
  <c r="BP5" i="2"/>
  <c r="BP14" i="2" s="1"/>
  <c r="BO5" i="2"/>
  <c r="BN5" i="2"/>
  <c r="BN14" i="2" s="1"/>
  <c r="BM5" i="2"/>
  <c r="BL5" i="2"/>
  <c r="BL14" i="2" s="1"/>
  <c r="BK5" i="2"/>
  <c r="BK14" i="2" s="1"/>
  <c r="BJ5" i="2"/>
  <c r="BJ14" i="2" s="1"/>
  <c r="CI4" i="2"/>
  <c r="CI8" i="2" s="1"/>
  <c r="CH4" i="2"/>
  <c r="CH13" i="2" s="1"/>
  <c r="CG4" i="2"/>
  <c r="CG13" i="2" s="1"/>
  <c r="CF4" i="2"/>
  <c r="CF13" i="2" s="1"/>
  <c r="CE4" i="2"/>
  <c r="CE12" i="2" s="1"/>
  <c r="CD4" i="2"/>
  <c r="CD12" i="2" s="1"/>
  <c r="CC4" i="2"/>
  <c r="CB4" i="2"/>
  <c r="CA4" i="2"/>
  <c r="BZ4" i="2"/>
  <c r="BZ12" i="2" s="1"/>
  <c r="BY4" i="2"/>
  <c r="BY12" i="2" s="1"/>
  <c r="BX4" i="2"/>
  <c r="BW4" i="2"/>
  <c r="BV4" i="2"/>
  <c r="BU4" i="2"/>
  <c r="BT4" i="2"/>
  <c r="BS4" i="2"/>
  <c r="BS12" i="2" s="1"/>
  <c r="BR4" i="2"/>
  <c r="BR13" i="2" s="1"/>
  <c r="BQ4" i="2"/>
  <c r="BQ12" i="2" s="1"/>
  <c r="BP4" i="2"/>
  <c r="BP8" i="2" s="1"/>
  <c r="BO4" i="2"/>
  <c r="BO8" i="2" s="1"/>
  <c r="BN4" i="2"/>
  <c r="BN8" i="2" s="1"/>
  <c r="BM4" i="2"/>
  <c r="BM8" i="2" s="1"/>
  <c r="BL4" i="2"/>
  <c r="BL8" i="2" s="1"/>
  <c r="BK4" i="2"/>
  <c r="BK8" i="2" s="1"/>
  <c r="BJ4" i="2"/>
  <c r="BJ12" i="2" s="1"/>
  <c r="BI4" i="2"/>
  <c r="BI8" i="2" s="1"/>
  <c r="BI9" i="2" s="1"/>
  <c r="BW12" i="2" l="1"/>
  <c r="BS13" i="2"/>
  <c r="CA14" i="2"/>
  <c r="CI13" i="2"/>
  <c r="CB15" i="2"/>
  <c r="CD15" i="2"/>
  <c r="BU13" i="2"/>
  <c r="BM13" i="2"/>
  <c r="BM14" i="2"/>
  <c r="BW15" i="2"/>
  <c r="CB14" i="2"/>
  <c r="CA15" i="2"/>
  <c r="BN13" i="2"/>
  <c r="BQ8" i="2"/>
  <c r="BQ9" i="2" s="1"/>
  <c r="BW13" i="2"/>
  <c r="BW16" i="2" s="1"/>
  <c r="BT16" i="2"/>
  <c r="CC15" i="2"/>
  <c r="BR8" i="2"/>
  <c r="BR9" i="2" s="1"/>
  <c r="BV12" i="2"/>
  <c r="BX12" i="2"/>
  <c r="BX16" i="2" s="1"/>
  <c r="BO12" i="2"/>
  <c r="CA12" i="2"/>
  <c r="BS14" i="2"/>
  <c r="BO15" i="2"/>
  <c r="CB12" i="2"/>
  <c r="BX13" i="2"/>
  <c r="BT14" i="2"/>
  <c r="BP15" i="2"/>
  <c r="BX15" i="2"/>
  <c r="BZ15" i="2"/>
  <c r="BO13" i="2"/>
  <c r="BO14" i="2"/>
  <c r="BU12" i="2"/>
  <c r="BU16" i="2" s="1"/>
  <c r="BT13" i="2"/>
  <c r="CC8" i="2"/>
  <c r="BY13" i="2"/>
  <c r="BY16" i="2" s="1"/>
  <c r="BU14" i="2"/>
  <c r="BQ15" i="2"/>
  <c r="BY15" i="2"/>
  <c r="BV8" i="2"/>
  <c r="BP9" i="2"/>
  <c r="BL9" i="2"/>
  <c r="CI9" i="2"/>
  <c r="BO9" i="2"/>
  <c r="BS16" i="2"/>
  <c r="BZ16" i="2"/>
  <c r="BM9" i="2"/>
  <c r="BN9" i="2"/>
  <c r="CF12" i="2"/>
  <c r="CF16" i="2" s="1"/>
  <c r="BY8" i="2"/>
  <c r="BY9" i="2" s="1"/>
  <c r="BK12" i="2"/>
  <c r="BK16" i="2" s="1"/>
  <c r="CG12" i="2"/>
  <c r="CG16" i="2" s="1"/>
  <c r="D16" i="3"/>
  <c r="BE46" i="2" s="1"/>
  <c r="BZ8" i="2"/>
  <c r="BZ9" i="2" s="1"/>
  <c r="BL12" i="2"/>
  <c r="BL16" i="2" s="1"/>
  <c r="CH12" i="2"/>
  <c r="CH16" i="2" s="1"/>
  <c r="E16" i="3"/>
  <c r="BF46" i="2" s="1"/>
  <c r="CA8" i="2"/>
  <c r="P9" i="2"/>
  <c r="AL9" i="2"/>
  <c r="BM12" i="2"/>
  <c r="CI12" i="2"/>
  <c r="CI16" i="2" s="1"/>
  <c r="BS15" i="2"/>
  <c r="F16" i="3"/>
  <c r="BG46" i="2" s="1"/>
  <c r="BU8" i="2"/>
  <c r="BW8" i="2"/>
  <c r="BL13" i="2"/>
  <c r="CB8" i="2"/>
  <c r="BN12" i="2"/>
  <c r="BN16" i="2" s="1"/>
  <c r="BP13" i="2"/>
  <c r="G16" i="3"/>
  <c r="BH46" i="2" s="1"/>
  <c r="I7" i="3"/>
  <c r="J7" i="3" s="1"/>
  <c r="CD13" i="2"/>
  <c r="CD16" i="2" s="1"/>
  <c r="CC12" i="2"/>
  <c r="BI13" i="2"/>
  <c r="BQ13" i="2"/>
  <c r="BQ16" i="2" s="1"/>
  <c r="CD8" i="2"/>
  <c r="CD9" i="2" s="1"/>
  <c r="CE8" i="2"/>
  <c r="CE9" i="2" s="1"/>
  <c r="CB13" i="2"/>
  <c r="CB16" i="2" s="1"/>
  <c r="CE13" i="2"/>
  <c r="CE16" i="2" s="1"/>
  <c r="BI12" i="2"/>
  <c r="BK13" i="2"/>
  <c r="BJ8" i="2"/>
  <c r="BJ9" i="2" s="1"/>
  <c r="CF8" i="2"/>
  <c r="U9" i="2"/>
  <c r="AQ9" i="2"/>
  <c r="BR12" i="2"/>
  <c r="BR16" i="2" s="1"/>
  <c r="BV14" i="2"/>
  <c r="CA13" i="2"/>
  <c r="BJ13" i="2"/>
  <c r="BJ16" i="2" s="1"/>
  <c r="BX8" i="2"/>
  <c r="CG8" i="2"/>
  <c r="CH8" i="2"/>
  <c r="CH9" i="2" s="1"/>
  <c r="BV13" i="2"/>
  <c r="BT8" i="2"/>
  <c r="BP12" i="2"/>
  <c r="BS8" i="2"/>
  <c r="BS9" i="2" s="1"/>
  <c r="CC13" i="2"/>
  <c r="CB9" i="2" l="1"/>
  <c r="CA16" i="2"/>
  <c r="BW9" i="2"/>
  <c r="BU9" i="2"/>
  <c r="CF9" i="2"/>
  <c r="BM16" i="2"/>
  <c r="BV16" i="2"/>
  <c r="BO16" i="2"/>
  <c r="BI16" i="2"/>
  <c r="I4" i="3"/>
  <c r="BT9" i="2"/>
  <c r="I9" i="3"/>
  <c r="H13" i="3"/>
  <c r="H11" i="3"/>
  <c r="BX9" i="2"/>
  <c r="I6" i="3"/>
  <c r="BV9" i="2"/>
  <c r="CA9" i="2"/>
  <c r="H14" i="3"/>
  <c r="I8" i="3"/>
  <c r="H12" i="3"/>
  <c r="CG9" i="2"/>
  <c r="CC9" i="2"/>
  <c r="K7" i="3"/>
  <c r="CC16" i="2"/>
  <c r="BP16" i="2"/>
  <c r="I10" i="3"/>
  <c r="I5" i="3"/>
  <c r="BK9" i="2"/>
  <c r="J5" i="3" l="1"/>
  <c r="H15" i="3"/>
  <c r="I11" i="3"/>
  <c r="J10" i="3"/>
  <c r="K10" i="3"/>
  <c r="L10" i="3"/>
  <c r="M10" i="3" s="1"/>
  <c r="I12" i="3"/>
  <c r="J6" i="3"/>
  <c r="K6" i="3"/>
  <c r="I14" i="3"/>
  <c r="J4" i="3"/>
  <c r="I13" i="3"/>
  <c r="J8" i="3"/>
  <c r="K8" i="3"/>
  <c r="L8" i="3" s="1"/>
  <c r="J9" i="3"/>
  <c r="L7" i="3"/>
  <c r="M7" i="3" s="1"/>
  <c r="N7" i="3" l="1"/>
  <c r="O7" i="3"/>
  <c r="N10" i="3"/>
  <c r="I15" i="3"/>
  <c r="J13" i="3"/>
  <c r="K13" i="3"/>
  <c r="J12" i="3"/>
  <c r="P7" i="3"/>
  <c r="Q7" i="3" s="1"/>
  <c r="K4" i="3"/>
  <c r="L4" i="3"/>
  <c r="K9" i="3"/>
  <c r="J14" i="3"/>
  <c r="K14" i="3" s="1"/>
  <c r="J11" i="3"/>
  <c r="K11" i="3" s="1"/>
  <c r="M8" i="3"/>
  <c r="N8" i="3" s="1"/>
  <c r="L6" i="3"/>
  <c r="K5" i="3"/>
  <c r="J15" i="3" l="1"/>
  <c r="L14" i="3"/>
  <c r="K12" i="3"/>
  <c r="L13" i="3"/>
  <c r="M4" i="3"/>
  <c r="O10" i="3"/>
  <c r="L11" i="3"/>
  <c r="M11" i="3" s="1"/>
  <c r="N11" i="3" s="1"/>
  <c r="M6" i="3"/>
  <c r="O8" i="3"/>
  <c r="L9" i="3"/>
  <c r="M9" i="3"/>
  <c r="N9" i="3"/>
  <c r="O9" i="3" s="1"/>
  <c r="L5" i="3"/>
  <c r="L12" i="3" l="1"/>
  <c r="M5" i="3"/>
  <c r="N5" i="3" s="1"/>
  <c r="P8" i="3"/>
  <c r="Q8" i="3" s="1"/>
  <c r="P9" i="3"/>
  <c r="Q9" i="3" s="1"/>
  <c r="K15" i="3"/>
  <c r="M14" i="3"/>
  <c r="O14" i="3" s="1"/>
  <c r="O11" i="3"/>
  <c r="P11" i="3" s="1"/>
  <c r="Q11" i="3" s="1"/>
  <c r="N4" i="3"/>
  <c r="P10" i="3"/>
  <c r="Q10" i="3" s="1"/>
  <c r="M13" i="3"/>
  <c r="N14" i="3"/>
  <c r="N6" i="3"/>
  <c r="O6" i="3" s="1"/>
  <c r="P14" i="3" l="1"/>
  <c r="O5" i="3"/>
  <c r="M12" i="3"/>
  <c r="Q14" i="3"/>
  <c r="O4" i="3"/>
  <c r="P4" i="3" s="1"/>
  <c r="N13" i="3"/>
  <c r="P6" i="3"/>
  <c r="M15" i="3"/>
  <c r="L15" i="3"/>
  <c r="P5" i="3"/>
  <c r="Q5" i="3" s="1"/>
  <c r="Q6" i="3"/>
  <c r="N12" i="3" l="1"/>
  <c r="O12" i="3"/>
  <c r="Q4" i="3"/>
  <c r="O13" i="3"/>
  <c r="P13" i="3" s="1"/>
  <c r="O15" i="3" l="1"/>
  <c r="Q13" i="3"/>
  <c r="P12" i="3"/>
  <c r="N15" i="3"/>
  <c r="P15" i="3" l="1"/>
  <c r="Q12" i="3"/>
  <c r="Q15" i="3" s="1"/>
</calcChain>
</file>

<file path=xl/sharedStrings.xml><?xml version="1.0" encoding="utf-8"?>
<sst xmlns="http://schemas.openxmlformats.org/spreadsheetml/2006/main" count="67" uniqueCount="62">
  <si>
    <t>Series</t>
  </si>
  <si>
    <t>Source</t>
  </si>
  <si>
    <t>Release Date</t>
  </si>
  <si>
    <t>Last Update</t>
  </si>
  <si>
    <t>US Jet Fuel Production</t>
  </si>
  <si>
    <t>Energy Information Administration</t>
  </si>
  <si>
    <t>Last Business Day of the Month</t>
  </si>
  <si>
    <t>US Gross Domestic Product</t>
  </si>
  <si>
    <t>Bureau of Economic Analysis</t>
  </si>
  <si>
    <t>Last Thursday of the Month</t>
  </si>
  <si>
    <t>US Gross Domestic Product Forecast</t>
  </si>
  <si>
    <t>Fastmarkets - Lasse</t>
  </si>
  <si>
    <t>Per Lasse's schedule</t>
  </si>
  <si>
    <t>U.S. Annual Gross Domestic Product - Unadjusted for Inflation</t>
  </si>
  <si>
    <t>(sa, billion dollars)</t>
  </si>
  <si>
    <t>Q1</t>
  </si>
  <si>
    <t>Q2</t>
  </si>
  <si>
    <t>Q3</t>
  </si>
  <si>
    <t>Q4</t>
  </si>
  <si>
    <t xml:space="preserve">  Average</t>
  </si>
  <si>
    <t>U.S. Annual Gross Domestic Product - Quarter-over-Quarter (yoy) Change</t>
  </si>
  <si>
    <t>(q/q ∆)</t>
  </si>
  <si>
    <t>U.S. Passenger Miles</t>
  </si>
  <si>
    <t xml:space="preserve">  Airline Total</t>
  </si>
  <si>
    <t>Note: changed to 2.7% per year growth from FAA 2023 forecast for domestic growth</t>
  </si>
  <si>
    <t>Bus</t>
  </si>
  <si>
    <t>Light-Duty - swb</t>
  </si>
  <si>
    <t>Light-Duty - lwb</t>
  </si>
  <si>
    <t>Motorcycle</t>
  </si>
  <si>
    <t>Truck - single</t>
  </si>
  <si>
    <t>Truck - combo</t>
  </si>
  <si>
    <t xml:space="preserve">  Highway Total</t>
  </si>
  <si>
    <t>Motor Bus</t>
  </si>
  <si>
    <t>Commuter Bus</t>
  </si>
  <si>
    <t>Trolley Bus</t>
  </si>
  <si>
    <t xml:space="preserve">  Bus Total</t>
  </si>
  <si>
    <t>Commuter Rail</t>
  </si>
  <si>
    <t>Light Rail</t>
  </si>
  <si>
    <t>Heavy Rail</t>
  </si>
  <si>
    <t xml:space="preserve">  Rail Total</t>
  </si>
  <si>
    <t>Ferry Boat</t>
  </si>
  <si>
    <t>Other</t>
  </si>
  <si>
    <t xml:space="preserve">  Transit Total</t>
  </si>
  <si>
    <t>Intercity/Amtrack</t>
  </si>
  <si>
    <t>Jet Fuel Domestic Production</t>
  </si>
  <si>
    <t>thousand gallons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</si>
  <si>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</si>
  <si>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</si>
  <si>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</si>
  <si>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</si>
  <si>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</si>
  <si>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</si>
  <si>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</si>
  <si>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</si>
  <si>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</si>
  <si>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</si>
  <si>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</si>
  <si>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</si>
  <si>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Total</t>
  </si>
  <si>
    <t>US Domestic Jet Fuel Production</t>
  </si>
  <si>
    <t>US Jet Fuel Inventories</t>
  </si>
  <si>
    <t>(thousand gallons)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</si>
</sst>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[Red]\(0\)"/>
    <numFmt numFmtId="165" formatCode="0.0%"/>
    <numFmt numFmtId="166" formatCode="[$-409]mmm\-yy;@"/>
    <numFmt numFmtId="167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name val="Aptos Display"/>
      <family val="2"/>
    </font>
    <font>
      <b/>
      <sz val="11"/>
      <color theme="10"/>
      <name val="Aptos Display"/>
      <family val="2"/>
    </font>
    <font>
      <sz val="11"/>
      <color theme="1"/>
      <name val="Abadi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sz val="8"/>
      <color theme="1"/>
      <name val="Abadi"/>
      <family val="2"/>
    </font>
    <font>
      <sz val="12"/>
      <color theme="1"/>
      <name val="Aptos Display"/>
      <family val="2"/>
    </font>
    <font>
      <b/>
      <sz val="10"/>
      <color theme="1"/>
      <name val="Aptos Display"/>
      <family val="2"/>
    </font>
    <font>
      <b/>
      <sz val="11"/>
      <color theme="1"/>
      <name val="Aptos Display"/>
      <family val="2"/>
    </font>
    <font>
      <sz val="9"/>
      <color theme="1"/>
      <name val="Aptos Display"/>
      <family val="2"/>
    </font>
    <font>
      <b/>
      <sz val="12"/>
      <color theme="1"/>
      <name val="Aptos Display"/>
      <family val="2"/>
    </font>
    <font>
      <b/>
      <sz val="11"/>
      <color rgb="FF6F0791"/>
      <name val="Aptos Display"/>
      <family val="2"/>
    </font>
    <font>
      <sz val="10"/>
      <color theme="1"/>
      <name val="Abadi"/>
      <family val="2"/>
    </font>
    <font>
      <sz val="9"/>
      <color theme="1"/>
      <name val="Abadi"/>
      <family val="2"/>
    </font>
    <font>
      <b/>
      <sz val="12"/>
      <color rgb="FF6F0791"/>
      <name val="Aptos Display"/>
      <family val="2"/>
    </font>
    <font>
      <sz val="14"/>
      <color theme="1"/>
      <name val="Abad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" fontId="7" fillId="0" borderId="0" xfId="0" applyNumberFormat="1" applyFont="1" applyAlignment="1">
      <alignment horizontal="left" vertical="center" wrapText="1"/>
    </xf>
    <xf numFmtId="16" fontId="8" fillId="0" borderId="0" xfId="0" applyNumberFormat="1" applyFont="1" applyAlignment="1">
      <alignment horizontal="center" vertical="center" wrapText="1"/>
    </xf>
    <xf numFmtId="16" fontId="8" fillId="0" borderId="0" xfId="0" applyNumberFormat="1" applyFont="1" applyAlignment="1">
      <alignment horizontal="left" vertical="center" wrapText="1"/>
    </xf>
    <xf numFmtId="0" fontId="6" fillId="0" borderId="0" xfId="0" applyFont="1"/>
    <xf numFmtId="0" fontId="9" fillId="0" borderId="1" xfId="0" applyFont="1" applyBorder="1" applyAlignment="1">
      <alignment horizontal="right"/>
    </xf>
    <xf numFmtId="164" fontId="10" fillId="0" borderId="1" xfId="0" applyNumberFormat="1" applyFont="1" applyBorder="1"/>
    <xf numFmtId="164" fontId="10" fillId="0" borderId="0" xfId="0" applyNumberFormat="1" applyFont="1"/>
    <xf numFmtId="0" fontId="8" fillId="0" borderId="0" xfId="0" applyFont="1"/>
    <xf numFmtId="38" fontId="7" fillId="0" borderId="0" xfId="0" applyNumberFormat="1" applyFont="1"/>
    <xf numFmtId="38" fontId="11" fillId="0" borderId="0" xfId="0" applyNumberFormat="1" applyFont="1"/>
    <xf numFmtId="38" fontId="8" fillId="0" borderId="0" xfId="0" applyNumberFormat="1" applyFont="1"/>
    <xf numFmtId="38" fontId="12" fillId="0" borderId="0" xfId="0" applyNumberFormat="1" applyFont="1"/>
    <xf numFmtId="0" fontId="0" fillId="0" borderId="2" xfId="0" applyBorder="1"/>
    <xf numFmtId="165" fontId="13" fillId="0" borderId="2" xfId="2" applyNumberFormat="1" applyFont="1" applyBorder="1"/>
    <xf numFmtId="165" fontId="13" fillId="0" borderId="0" xfId="2" applyNumberFormat="1" applyFont="1" applyBorder="1"/>
    <xf numFmtId="165" fontId="7" fillId="0" borderId="0" xfId="2" applyNumberFormat="1" applyFont="1"/>
    <xf numFmtId="165" fontId="11" fillId="0" borderId="0" xfId="2" applyNumberFormat="1" applyFont="1"/>
    <xf numFmtId="165" fontId="8" fillId="0" borderId="0" xfId="2" applyNumberFormat="1" applyFont="1"/>
    <xf numFmtId="165" fontId="12" fillId="0" borderId="0" xfId="2" applyNumberFormat="1" applyFont="1"/>
    <xf numFmtId="0" fontId="14" fillId="0" borderId="0" xfId="0" applyFont="1" applyAlignment="1">
      <alignment wrapText="1"/>
    </xf>
    <xf numFmtId="38" fontId="12" fillId="0" borderId="0" xfId="0" applyNumberFormat="1" applyFont="1" applyAlignment="1">
      <alignment horizontal="center" vertical="center"/>
    </xf>
    <xf numFmtId="0" fontId="2" fillId="0" borderId="0" xfId="0" applyFont="1"/>
    <xf numFmtId="38" fontId="15" fillId="0" borderId="0" xfId="0" applyNumberFormat="1" applyFont="1" applyAlignment="1">
      <alignment horizontal="center" vertical="center"/>
    </xf>
    <xf numFmtId="0" fontId="16" fillId="0" borderId="0" xfId="0" applyFont="1"/>
    <xf numFmtId="38" fontId="7" fillId="0" borderId="0" xfId="0" applyNumberFormat="1" applyFont="1" applyAlignment="1">
      <alignment horizontal="center" vertical="center"/>
    </xf>
    <xf numFmtId="0" fontId="16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38" fontId="8" fillId="0" borderId="0" xfId="0" applyNumberFormat="1" applyFont="1" applyAlignment="1">
      <alignment horizontal="center" vertical="center"/>
    </xf>
    <xf numFmtId="38" fontId="14" fillId="0" borderId="0" xfId="0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40" fontId="14" fillId="0" borderId="0" xfId="0" applyNumberFormat="1" applyFont="1" applyAlignment="1">
      <alignment horizontal="center" vertical="center"/>
    </xf>
    <xf numFmtId="40" fontId="18" fillId="0" borderId="0" xfId="0" applyNumberFormat="1" applyFont="1" applyAlignment="1">
      <alignment horizontal="center" vertical="center"/>
    </xf>
    <xf numFmtId="0" fontId="19" fillId="0" borderId="0" xfId="4" applyFont="1"/>
    <xf numFmtId="0" fontId="1" fillId="0" borderId="0" xfId="4"/>
    <xf numFmtId="0" fontId="9" fillId="0" borderId="1" xfId="4" applyFont="1" applyBorder="1" applyAlignment="1">
      <alignment horizontal="right"/>
    </xf>
    <xf numFmtId="164" fontId="12" fillId="0" borderId="1" xfId="4" applyNumberFormat="1" applyFont="1" applyBorder="1"/>
    <xf numFmtId="0" fontId="6" fillId="0" borderId="0" xfId="4" applyFont="1"/>
    <xf numFmtId="38" fontId="7" fillId="0" borderId="0" xfId="4" applyNumberFormat="1" applyFont="1"/>
    <xf numFmtId="38" fontId="11" fillId="0" borderId="0" xfId="4" applyNumberFormat="1" applyFont="1"/>
    <xf numFmtId="0" fontId="9" fillId="0" borderId="0" xfId="0" applyFont="1" applyAlignment="1">
      <alignment horizontal="right"/>
    </xf>
    <xf numFmtId="166" fontId="16" fillId="0" borderId="0" xfId="0" applyNumberFormat="1" applyFont="1"/>
    <xf numFmtId="167" fontId="0" fillId="0" borderId="0" xfId="1" applyNumberFormat="1" applyFont="1"/>
    <xf numFmtId="38" fontId="20" fillId="0" borderId="0" xfId="0" applyNumberFormat="1" applyFont="1"/>
    <xf numFmtId="38" fontId="0" fillId="0" borderId="0" xfId="0" applyNumberFormat="1"/>
    <xf numFmtId="38" fontId="14" fillId="0" borderId="0" xfId="0" applyNumberFormat="1" applyFont="1" applyAlignment="1">
      <alignment horizontal="center" vertical="center" wrapText="1"/>
    </xf>
  </cellXfs>
  <cellStyles count="5">
    <cellStyle name="Comma" xfId="1" builtinId="3"/>
    <cellStyle name="Hyperlink" xfId="3" builtinId="8"/>
    <cellStyle name="Normal" xfId="0" builtinId="0"/>
    <cellStyle name="Normal 2" xfId="4" xr:uid="{35A7AB8A-7F08-41AF-9B1C-FF14C7F629C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macrodata%20-%20HOBO.xlsx" TargetMode="External"/><Relationship Id="rId1" Type="http://schemas.openxmlformats.org/officeDocument/2006/relationships/externalLinkPath" Target="/Users/torem/Dropbox/FM%20Files/HOBO/Biofuel%20Model/macrodata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%20SAF%20Model%20-%20HOBO.xlsx" TargetMode="External"/><Relationship Id="rId1" Type="http://schemas.openxmlformats.org/officeDocument/2006/relationships/externalLinkPath" Target="/Users/torem/Dropbox/FM%20Files/HOBO/Biofuel%20Model/US%20SAF%20Mode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Monthly Change Chart"/>
      <sheetName val="Food Expenditure Series"/>
      <sheetName val="Chart Data"/>
      <sheetName val="quarterly series"/>
      <sheetName val="Chart1"/>
      <sheetName val="Chart2"/>
      <sheetName val="World Macro Links"/>
      <sheetName val="Canadian GDP"/>
      <sheetName val="Canada Population"/>
      <sheetName val="Mexico GDP"/>
      <sheetName val="Mexico Population"/>
      <sheetName val="macrodata - HOBO"/>
    </sheetNames>
    <sheetDataSet>
      <sheetData sheetId="0"/>
      <sheetData sheetId="1"/>
      <sheetData sheetId="2"/>
      <sheetData sheetId="3"/>
      <sheetData sheetId="4">
        <row r="82">
          <cell r="AK82">
            <v>28164.537687107058</v>
          </cell>
        </row>
        <row r="86">
          <cell r="AK86">
            <v>29107.859170860167</v>
          </cell>
        </row>
        <row r="87">
          <cell r="AK87">
            <v>29412.021059280974</v>
          </cell>
        </row>
        <row r="88">
          <cell r="AK88">
            <v>29710.803335382061</v>
          </cell>
        </row>
        <row r="89">
          <cell r="AK89">
            <v>30031.501813983457</v>
          </cell>
        </row>
        <row r="90">
          <cell r="AK90">
            <v>30358.275973042066</v>
          </cell>
        </row>
        <row r="91">
          <cell r="AK91">
            <v>30648.576161696346</v>
          </cell>
        </row>
        <row r="92">
          <cell r="AK92">
            <v>30935.386065832656</v>
          </cell>
        </row>
        <row r="93">
          <cell r="AK93">
            <v>31178.303901985131</v>
          </cell>
        </row>
        <row r="94">
          <cell r="AK94">
            <v>31518.939760810266</v>
          </cell>
        </row>
        <row r="95">
          <cell r="AK95">
            <v>31827.307889547603</v>
          </cell>
        </row>
        <row r="96">
          <cell r="AK96">
            <v>32154.937218032264</v>
          </cell>
        </row>
        <row r="97">
          <cell r="AK97">
            <v>32542.488069324037</v>
          </cell>
        </row>
        <row r="98">
          <cell r="AK98">
            <v>32922.929081782902</v>
          </cell>
        </row>
        <row r="99">
          <cell r="AK99">
            <v>33259.627183715973</v>
          </cell>
        </row>
        <row r="100">
          <cell r="AK100">
            <v>33570.003966221491</v>
          </cell>
        </row>
        <row r="101">
          <cell r="AK101">
            <v>33986.322319252555</v>
          </cell>
        </row>
        <row r="102">
          <cell r="AK102">
            <v>34309.437148674086</v>
          </cell>
        </row>
        <row r="103">
          <cell r="AK103">
            <v>34577.294111809671</v>
          </cell>
        </row>
        <row r="104">
          <cell r="AK104">
            <v>34629.956638325843</v>
          </cell>
        </row>
        <row r="105">
          <cell r="AK105">
            <v>34784.752248272445</v>
          </cell>
        </row>
        <row r="106">
          <cell r="AK106">
            <v>34940.363252322968</v>
          </cell>
        </row>
        <row r="107">
          <cell r="AK107">
            <v>35150.884088590683</v>
          </cell>
        </row>
        <row r="108">
          <cell r="AK108">
            <v>35407.454804068439</v>
          </cell>
        </row>
        <row r="109">
          <cell r="AK109">
            <v>35705.958652914531</v>
          </cell>
        </row>
        <row r="110">
          <cell r="AK110">
            <v>36080.831120273499</v>
          </cell>
        </row>
        <row r="111">
          <cell r="AK111">
            <v>36461.759380428608</v>
          </cell>
        </row>
        <row r="112">
          <cell r="AK112">
            <v>36709.082333508326</v>
          </cell>
        </row>
        <row r="113">
          <cell r="AK113">
            <v>37001.10280484525</v>
          </cell>
        </row>
        <row r="114">
          <cell r="AK114">
            <v>37409.655026228065</v>
          </cell>
        </row>
        <row r="115">
          <cell r="AK115">
            <v>37778.909229334458</v>
          </cell>
        </row>
        <row r="116">
          <cell r="AK116">
            <v>38176.632619264077</v>
          </cell>
        </row>
        <row r="117">
          <cell r="AK117">
            <v>38644.778217046318</v>
          </cell>
        </row>
        <row r="118">
          <cell r="AK118">
            <v>39036.495533332476</v>
          </cell>
        </row>
        <row r="119">
          <cell r="AK119">
            <v>39410.522775095924</v>
          </cell>
        </row>
        <row r="120">
          <cell r="AK120">
            <v>39862.559367410613</v>
          </cell>
        </row>
        <row r="121">
          <cell r="AK121">
            <v>40335.259239578125</v>
          </cell>
        </row>
        <row r="122">
          <cell r="AK122">
            <v>40822.705812429842</v>
          </cell>
        </row>
        <row r="123">
          <cell r="AK123">
            <v>41264.201944376866</v>
          </cell>
        </row>
        <row r="124">
          <cell r="AK124">
            <v>41762.795551258903</v>
          </cell>
        </row>
        <row r="125">
          <cell r="AK125">
            <v>42236.668795429614</v>
          </cell>
        </row>
        <row r="126">
          <cell r="AK126">
            <v>42632.433250743736</v>
          </cell>
        </row>
        <row r="127">
          <cell r="AK127">
            <v>43182.486180647145</v>
          </cell>
        </row>
        <row r="128">
          <cell r="AK128">
            <v>43249.338553337511</v>
          </cell>
        </row>
        <row r="129">
          <cell r="AK129">
            <v>43443.491844543751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O"/>
      <sheetName val="CO"/>
      <sheetName val="UCO"/>
      <sheetName val="DCO"/>
      <sheetName val="Tallow"/>
      <sheetName val="Credit Values"/>
      <sheetName val="HRD"/>
      <sheetName val="Jet Fuel"/>
      <sheetName val="Biomass-Based Diesel-SAF"/>
      <sheetName val="S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H6">
            <v>316300</v>
          </cell>
          <cell r="I6">
            <v>318500</v>
          </cell>
          <cell r="J6">
            <v>320100</v>
          </cell>
          <cell r="K6">
            <v>329000</v>
          </cell>
          <cell r="L6">
            <v>336300</v>
          </cell>
          <cell r="M6">
            <v>342000</v>
          </cell>
          <cell r="N6">
            <v>346900</v>
          </cell>
          <cell r="O6">
            <v>354400</v>
          </cell>
          <cell r="P6">
            <v>362000</v>
          </cell>
          <cell r="Q6">
            <v>368300</v>
          </cell>
        </row>
        <row r="33">
          <cell r="B33">
            <v>313927740</v>
          </cell>
          <cell r="C33">
            <v>320504310</v>
          </cell>
          <cell r="D33">
            <v>198186240</v>
          </cell>
          <cell r="E33">
            <v>251687940</v>
          </cell>
          <cell r="F33">
            <v>286762980</v>
          </cell>
          <cell r="G33">
            <v>303963240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x:/r/personal/svc-tjteamreader_fmpra_com/Documents/TJTeam%20-%20Documents/Soybean%20Spreadsheets/macrodata.xlsx?d=w6b9b3902b33247f99188c5c196a5af3e&amp;csf=1&amp;web=1&amp;e=9ofMs3" TargetMode="External"/><Relationship Id="rId2" Type="http://schemas.openxmlformats.org/officeDocument/2006/relationships/hyperlink" Target="https://apps.bea.gov/iTable/?reqid=19&amp;step=2&amp;isuri=1&amp;categories=survey&amp;_gl=1*1yydjsl*_ga*MjAzMjUyNzAyNC4xNzEyNDk1MjUw*_ga_J4698JNNFT*MTcxMjQ5NTI0OS4xLjEuMTcxMjQ5NTI2NS40NC4wLjA." TargetMode="External"/><Relationship Id="rId1" Type="http://schemas.openxmlformats.org/officeDocument/2006/relationships/hyperlink" Target="https://www.eia.gov/dnav/pet/hist/LeafHandler.ashx?n=PET&amp;s=MKJUPUS2&amp;f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2D18-0EFE-40DF-ADBA-7B65633A37B7}">
  <dimension ref="B1:E4"/>
  <sheetViews>
    <sheetView zoomScale="85" zoomScaleNormal="85" workbookViewId="0">
      <selection activeCell="B711" sqref="B711"/>
    </sheetView>
  </sheetViews>
  <sheetFormatPr defaultRowHeight="15" x14ac:dyDescent="0.25"/>
  <cols>
    <col min="2" max="3" width="28.5703125" customWidth="1"/>
    <col min="4" max="5" width="14.140625" customWidth="1"/>
  </cols>
  <sheetData>
    <row r="1" spans="2:5" ht="42" x14ac:dyDescent="0.25">
      <c r="B1" s="1" t="s">
        <v>0</v>
      </c>
      <c r="C1" s="1" t="s">
        <v>1</v>
      </c>
      <c r="D1" s="2" t="s">
        <v>2</v>
      </c>
      <c r="E1" s="2" t="s">
        <v>3</v>
      </c>
    </row>
    <row r="2" spans="2:5" ht="40.5" x14ac:dyDescent="0.25">
      <c r="B2" s="3" t="s">
        <v>4</v>
      </c>
      <c r="C2" s="4" t="s">
        <v>5</v>
      </c>
      <c r="D2" s="5" t="s">
        <v>6</v>
      </c>
      <c r="E2" s="6">
        <v>45389</v>
      </c>
    </row>
    <row r="3" spans="2:5" ht="30" x14ac:dyDescent="0.25">
      <c r="B3" s="3" t="s">
        <v>7</v>
      </c>
      <c r="C3" s="4" t="s">
        <v>8</v>
      </c>
      <c r="D3" s="7" t="s">
        <v>9</v>
      </c>
      <c r="E3" s="6">
        <v>45389</v>
      </c>
    </row>
    <row r="4" spans="2:5" ht="30" x14ac:dyDescent="0.25">
      <c r="B4" s="3" t="s">
        <v>10</v>
      </c>
      <c r="C4" t="s">
        <v>11</v>
      </c>
      <c r="D4" s="7" t="s">
        <v>12</v>
      </c>
      <c r="E4" s="6">
        <v>45389</v>
      </c>
    </row>
  </sheetData>
  <hyperlinks>
    <hyperlink ref="B2" r:id="rId1" display="US Jet Fuel Production - Energy Information Administration" xr:uid="{ECCE6BF4-DF26-4500-9E75-CF4C356CB365}"/>
    <hyperlink ref="B3" r:id="rId2" location="eyJhcHBpZCI6MTksInN0ZXBzIjpbMSwyLDMsM10sImRhdGEiOltbImNhdGVnb3JpZXMiLCJTdXJ2ZXkiXSxbIk5JUEFfVGFibGVfTGlzdCIsIjUiXSxbIkZpcnN0X1llYXIiLCIxOTY1Il0sWyJMYXN0X1llYXIiLCIyMDIzIl0sWyJTY2FsZSIsIi05Il0sWyJTZXJpZXMiLCJRIl1dfQ==" xr:uid="{0321912C-9D0C-4C1F-9FE4-A16CC2F35E25}"/>
    <hyperlink ref="B4" r:id="rId3" xr:uid="{36D1F439-D912-40C3-9C39-143D7568209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D5D7-60DC-4592-97F4-6E93C76F9750}">
  <dimension ref="A2:CM46"/>
  <sheetViews>
    <sheetView workbookViewId="0">
      <pane xSplit="1" ySplit="3" topLeftCell="BS4" activePane="bottomRight" state="frozen"/>
      <selection activeCell="B711" sqref="B711"/>
      <selection pane="topRight" activeCell="B711" sqref="B711"/>
      <selection pane="bottomLeft" activeCell="B711" sqref="B711"/>
      <selection pane="bottomRight" activeCell="B711" sqref="B711"/>
    </sheetView>
  </sheetViews>
  <sheetFormatPr defaultRowHeight="15" x14ac:dyDescent="0.25"/>
  <cols>
    <col min="1" max="1" width="16.42578125" customWidth="1"/>
    <col min="2" max="89" width="12.85546875" customWidth="1"/>
  </cols>
  <sheetData>
    <row r="2" spans="1:89" ht="15.75" thickBot="1" x14ac:dyDescent="0.3">
      <c r="A2" s="8" t="s">
        <v>13</v>
      </c>
    </row>
    <row r="3" spans="1:89" ht="16.5" thickBot="1" x14ac:dyDescent="0.3">
      <c r="A3" s="9" t="s">
        <v>14</v>
      </c>
      <c r="B3" s="10">
        <v>1965</v>
      </c>
      <c r="C3" s="10">
        <v>1966</v>
      </c>
      <c r="D3" s="10">
        <v>1967</v>
      </c>
      <c r="E3" s="10">
        <v>1968</v>
      </c>
      <c r="F3" s="10">
        <v>1969</v>
      </c>
      <c r="G3" s="10">
        <v>1970</v>
      </c>
      <c r="H3" s="10">
        <v>1971</v>
      </c>
      <c r="I3" s="10">
        <v>1972</v>
      </c>
      <c r="J3" s="10">
        <v>1973</v>
      </c>
      <c r="K3" s="10">
        <v>1974</v>
      </c>
      <c r="L3" s="10">
        <v>1975</v>
      </c>
      <c r="M3" s="10">
        <v>1976</v>
      </c>
      <c r="N3" s="10">
        <v>1977</v>
      </c>
      <c r="O3" s="10">
        <v>1978</v>
      </c>
      <c r="P3" s="10">
        <v>1979</v>
      </c>
      <c r="Q3" s="10">
        <v>1980</v>
      </c>
      <c r="R3" s="10">
        <v>1981</v>
      </c>
      <c r="S3" s="10">
        <v>1982</v>
      </c>
      <c r="T3" s="10">
        <v>1983</v>
      </c>
      <c r="U3" s="10">
        <v>1984</v>
      </c>
      <c r="V3" s="10">
        <v>1985</v>
      </c>
      <c r="W3" s="10">
        <v>1986</v>
      </c>
      <c r="X3" s="10">
        <v>1987</v>
      </c>
      <c r="Y3" s="10">
        <v>1988</v>
      </c>
      <c r="Z3" s="10">
        <v>1989</v>
      </c>
      <c r="AA3" s="10">
        <v>1990</v>
      </c>
      <c r="AB3" s="10">
        <v>1991</v>
      </c>
      <c r="AC3" s="10">
        <v>1992</v>
      </c>
      <c r="AD3" s="10">
        <v>1993</v>
      </c>
      <c r="AE3" s="10">
        <v>1994</v>
      </c>
      <c r="AF3" s="10">
        <v>1995</v>
      </c>
      <c r="AG3" s="10">
        <v>1996</v>
      </c>
      <c r="AH3" s="10">
        <v>1997</v>
      </c>
      <c r="AI3" s="10">
        <v>1998</v>
      </c>
      <c r="AJ3" s="10">
        <v>1999</v>
      </c>
      <c r="AK3" s="10">
        <v>2000</v>
      </c>
      <c r="AL3" s="10">
        <v>2001</v>
      </c>
      <c r="AM3" s="10">
        <v>2002</v>
      </c>
      <c r="AN3" s="10">
        <v>2003</v>
      </c>
      <c r="AO3" s="10">
        <v>2004</v>
      </c>
      <c r="AP3" s="10">
        <v>2005</v>
      </c>
      <c r="AQ3" s="10">
        <v>2006</v>
      </c>
      <c r="AR3" s="10">
        <v>2007</v>
      </c>
      <c r="AS3" s="10">
        <v>2008</v>
      </c>
      <c r="AT3" s="10">
        <v>2009</v>
      </c>
      <c r="AU3" s="10">
        <v>2010</v>
      </c>
      <c r="AV3" s="10">
        <v>2011</v>
      </c>
      <c r="AW3" s="10">
        <v>2012</v>
      </c>
      <c r="AX3" s="10">
        <v>2013</v>
      </c>
      <c r="AY3" s="10">
        <v>2014</v>
      </c>
      <c r="AZ3" s="10">
        <v>2015</v>
      </c>
      <c r="BA3" s="10">
        <v>2016</v>
      </c>
      <c r="BB3" s="10">
        <v>2017</v>
      </c>
      <c r="BC3" s="10">
        <v>2018</v>
      </c>
      <c r="BD3" s="10">
        <v>2019</v>
      </c>
      <c r="BE3" s="10">
        <v>2020</v>
      </c>
      <c r="BF3" s="10">
        <v>2021</v>
      </c>
      <c r="BG3" s="10">
        <v>2022</v>
      </c>
      <c r="BH3" s="10">
        <v>2023</v>
      </c>
      <c r="BI3" s="10">
        <v>2024</v>
      </c>
      <c r="BJ3" s="10">
        <v>2025</v>
      </c>
      <c r="BK3" s="10">
        <v>2026</v>
      </c>
      <c r="BL3" s="10">
        <v>2027</v>
      </c>
      <c r="BM3" s="10">
        <v>2028</v>
      </c>
      <c r="BN3" s="10">
        <v>2029</v>
      </c>
      <c r="BO3" s="10">
        <v>2030</v>
      </c>
      <c r="BP3" s="10">
        <v>2031</v>
      </c>
      <c r="BQ3" s="10">
        <v>2032</v>
      </c>
      <c r="BR3" s="10">
        <v>2033</v>
      </c>
      <c r="BS3" s="10">
        <v>2034</v>
      </c>
      <c r="BT3" s="10">
        <v>2035</v>
      </c>
      <c r="BU3" s="10">
        <v>2036</v>
      </c>
      <c r="BV3" s="10">
        <v>2037</v>
      </c>
      <c r="BW3" s="10">
        <v>2038</v>
      </c>
      <c r="BX3" s="10">
        <v>2039</v>
      </c>
      <c r="BY3" s="10">
        <v>2040</v>
      </c>
      <c r="BZ3" s="10">
        <v>2041</v>
      </c>
      <c r="CA3" s="10">
        <v>2042</v>
      </c>
      <c r="CB3" s="10">
        <v>2043</v>
      </c>
      <c r="CC3" s="10">
        <v>2044</v>
      </c>
      <c r="CD3" s="10">
        <v>2045</v>
      </c>
      <c r="CE3" s="10">
        <v>2046</v>
      </c>
      <c r="CF3" s="10">
        <v>2047</v>
      </c>
      <c r="CG3" s="10">
        <v>2048</v>
      </c>
      <c r="CH3" s="10">
        <v>2049</v>
      </c>
      <c r="CI3" s="10">
        <v>2050</v>
      </c>
      <c r="CJ3" s="11"/>
      <c r="CK3" s="11"/>
    </row>
    <row r="4" spans="1:89" x14ac:dyDescent="0.25">
      <c r="A4" s="12" t="s">
        <v>15</v>
      </c>
      <c r="B4" s="13">
        <v>717.8</v>
      </c>
      <c r="C4" s="13">
        <v>795.7</v>
      </c>
      <c r="D4" s="13">
        <v>844.2</v>
      </c>
      <c r="E4" s="13">
        <v>909.4</v>
      </c>
      <c r="F4" s="13">
        <v>993.3</v>
      </c>
      <c r="G4" s="13">
        <v>1051.2</v>
      </c>
      <c r="H4" s="13">
        <v>1135.2</v>
      </c>
      <c r="I4" s="13">
        <v>1230.5999999999999</v>
      </c>
      <c r="J4" s="13">
        <v>1377.5</v>
      </c>
      <c r="K4" s="13">
        <v>1491.2</v>
      </c>
      <c r="L4" s="13">
        <v>1616.1</v>
      </c>
      <c r="M4" s="13">
        <v>1820.5</v>
      </c>
      <c r="N4" s="13">
        <v>1988.6</v>
      </c>
      <c r="O4" s="13">
        <v>2202.8000000000002</v>
      </c>
      <c r="P4" s="13">
        <v>2526.6</v>
      </c>
      <c r="Q4" s="13">
        <v>2789.8</v>
      </c>
      <c r="R4" s="13">
        <v>3124.2</v>
      </c>
      <c r="S4" s="13">
        <v>3274.3</v>
      </c>
      <c r="T4" s="13">
        <v>3473.4</v>
      </c>
      <c r="U4" s="13">
        <v>3908.1</v>
      </c>
      <c r="V4" s="13">
        <v>4230.2</v>
      </c>
      <c r="W4" s="13">
        <v>4507.8999999999996</v>
      </c>
      <c r="X4" s="13">
        <v>4722.2</v>
      </c>
      <c r="Y4" s="13">
        <v>5073.3999999999996</v>
      </c>
      <c r="Z4" s="13">
        <v>5511.3</v>
      </c>
      <c r="AA4" s="13">
        <v>5872.7</v>
      </c>
      <c r="AB4" s="13">
        <v>6035.2</v>
      </c>
      <c r="AC4" s="13">
        <v>6363.1</v>
      </c>
      <c r="AD4" s="13">
        <v>6729.5</v>
      </c>
      <c r="AE4" s="13">
        <v>7115.7</v>
      </c>
      <c r="AF4" s="13">
        <v>7522.3</v>
      </c>
      <c r="AG4" s="13">
        <v>7868.5</v>
      </c>
      <c r="AH4" s="13">
        <v>8362.7000000000007</v>
      </c>
      <c r="AI4" s="13">
        <v>8866.5</v>
      </c>
      <c r="AJ4" s="13">
        <v>9411.7000000000007</v>
      </c>
      <c r="AK4" s="13">
        <v>10002.200000000001</v>
      </c>
      <c r="AL4" s="13">
        <v>10470.200000000001</v>
      </c>
      <c r="AM4" s="13">
        <v>10783.5</v>
      </c>
      <c r="AN4" s="13">
        <v>11174.1</v>
      </c>
      <c r="AO4" s="13">
        <v>11923.4</v>
      </c>
      <c r="AP4" s="13">
        <v>12767.3</v>
      </c>
      <c r="AQ4" s="13">
        <v>13599.2</v>
      </c>
      <c r="AR4" s="13">
        <v>14215.7</v>
      </c>
      <c r="AS4" s="13">
        <v>14706.5</v>
      </c>
      <c r="AT4" s="13">
        <v>14430.9</v>
      </c>
      <c r="AU4" s="13">
        <v>14764.6</v>
      </c>
      <c r="AV4" s="13">
        <v>15351.4</v>
      </c>
      <c r="AW4" s="13">
        <v>16068.8</v>
      </c>
      <c r="AX4" s="13">
        <v>16648.2</v>
      </c>
      <c r="AY4" s="13">
        <v>17197.7</v>
      </c>
      <c r="AZ4" s="13">
        <v>18063.5</v>
      </c>
      <c r="BA4" s="13">
        <v>18525.900000000001</v>
      </c>
      <c r="BB4" s="13">
        <v>19280.099999999999</v>
      </c>
      <c r="BC4" s="13">
        <v>20328.599999999999</v>
      </c>
      <c r="BD4" s="13">
        <v>21111.599999999999</v>
      </c>
      <c r="BE4" s="13">
        <v>21727.7</v>
      </c>
      <c r="BF4" s="13">
        <v>22656.799999999999</v>
      </c>
      <c r="BG4" s="13">
        <v>25215.5</v>
      </c>
      <c r="BH4" s="13">
        <v>27164.400000000001</v>
      </c>
      <c r="BI4" s="14">
        <f>'[1]quarterly series'!$AK82</f>
        <v>28164.537687107058</v>
      </c>
      <c r="BJ4" s="14">
        <f>'[1]quarterly series'!$AK86</f>
        <v>29107.859170860167</v>
      </c>
      <c r="BK4" s="14">
        <f>'[1]quarterly series'!$AK90</f>
        <v>30358.275973042066</v>
      </c>
      <c r="BL4" s="14">
        <f>'[1]quarterly series'!$AK94</f>
        <v>31518.939760810266</v>
      </c>
      <c r="BM4" s="14">
        <f>'[1]quarterly series'!$AK98</f>
        <v>32922.929081782902</v>
      </c>
      <c r="BN4" s="14">
        <f>'[1]quarterly series'!$AK102</f>
        <v>34309.437148674086</v>
      </c>
      <c r="BO4" s="14">
        <f>'[1]quarterly series'!$AK106</f>
        <v>34940.363252322968</v>
      </c>
      <c r="BP4" s="14">
        <f>'[1]quarterly series'!$AK110</f>
        <v>36080.831120273499</v>
      </c>
      <c r="BQ4" s="14">
        <f>'[1]quarterly series'!$AK114</f>
        <v>37409.655026228065</v>
      </c>
      <c r="BR4" s="14">
        <f>'[1]quarterly series'!$AK118</f>
        <v>39036.495533332476</v>
      </c>
      <c r="BS4" s="14">
        <f>'[1]quarterly series'!$AK122</f>
        <v>40822.705812429842</v>
      </c>
      <c r="BT4" s="14">
        <f>'[1]quarterly series'!$AK126</f>
        <v>42632.433250743736</v>
      </c>
      <c r="BU4" s="14">
        <f>'[1]quarterly series'!$AK126</f>
        <v>42632.433250743736</v>
      </c>
      <c r="BV4" s="14">
        <f>'[1]quarterly series'!$AK126</f>
        <v>42632.433250743736</v>
      </c>
      <c r="BW4" s="14">
        <f>'[1]quarterly series'!$AK126</f>
        <v>42632.433250743736</v>
      </c>
      <c r="BX4" s="14">
        <f>'[1]quarterly series'!$AK126</f>
        <v>42632.433250743736</v>
      </c>
      <c r="BY4" s="14">
        <f>'[1]quarterly series'!$AK126</f>
        <v>42632.433250743736</v>
      </c>
      <c r="BZ4" s="14">
        <f>'[1]quarterly series'!$AK126</f>
        <v>42632.433250743736</v>
      </c>
      <c r="CA4" s="14">
        <f>'[1]quarterly series'!$AK126</f>
        <v>42632.433250743736</v>
      </c>
      <c r="CB4" s="14">
        <f>'[1]quarterly series'!$AK126</f>
        <v>42632.433250743736</v>
      </c>
      <c r="CC4" s="14">
        <f>'[1]quarterly series'!$AK126</f>
        <v>42632.433250743736</v>
      </c>
      <c r="CD4" s="14">
        <f>'[1]quarterly series'!$AK126</f>
        <v>42632.433250743736</v>
      </c>
      <c r="CE4" s="14">
        <f>'[1]quarterly series'!$AK126</f>
        <v>42632.433250743736</v>
      </c>
      <c r="CF4" s="14">
        <f>'[1]quarterly series'!$AK126</f>
        <v>42632.433250743736</v>
      </c>
      <c r="CG4" s="14">
        <f>'[1]quarterly series'!$AK126</f>
        <v>42632.433250743736</v>
      </c>
      <c r="CH4" s="14">
        <f>'[1]quarterly series'!$AK126</f>
        <v>42632.433250743736</v>
      </c>
      <c r="CI4" s="14">
        <f>'[1]quarterly series'!$AK126</f>
        <v>42632.433250743736</v>
      </c>
      <c r="CJ4" s="14"/>
      <c r="CK4" s="14"/>
    </row>
    <row r="5" spans="1:89" x14ac:dyDescent="0.25">
      <c r="A5" s="12" t="s">
        <v>16</v>
      </c>
      <c r="B5" s="13">
        <v>730.2</v>
      </c>
      <c r="C5" s="13">
        <v>805</v>
      </c>
      <c r="D5" s="13">
        <v>849</v>
      </c>
      <c r="E5" s="13">
        <v>934.3</v>
      </c>
      <c r="F5" s="13">
        <v>1009</v>
      </c>
      <c r="G5" s="13">
        <v>1067.4000000000001</v>
      </c>
      <c r="H5" s="13">
        <v>1156.3</v>
      </c>
      <c r="I5" s="13">
        <v>1266.4000000000001</v>
      </c>
      <c r="J5" s="13">
        <v>1413.9</v>
      </c>
      <c r="K5" s="13">
        <v>1530.1</v>
      </c>
      <c r="L5" s="13">
        <v>1651.9</v>
      </c>
      <c r="M5" s="13">
        <v>1852.3</v>
      </c>
      <c r="N5" s="13">
        <v>2055.9</v>
      </c>
      <c r="O5" s="13">
        <v>2331.6</v>
      </c>
      <c r="P5" s="13">
        <v>2591.1999999999998</v>
      </c>
      <c r="Q5" s="13">
        <v>2797.4</v>
      </c>
      <c r="R5" s="13">
        <v>3162.5</v>
      </c>
      <c r="S5" s="13">
        <v>3332</v>
      </c>
      <c r="T5" s="13">
        <v>3578.8</v>
      </c>
      <c r="U5" s="13">
        <v>4009.6</v>
      </c>
      <c r="V5" s="13">
        <v>4294.8999999999996</v>
      </c>
      <c r="W5" s="13">
        <v>4545.3</v>
      </c>
      <c r="X5" s="13">
        <v>4806.2</v>
      </c>
      <c r="Y5" s="13">
        <v>5190</v>
      </c>
      <c r="Z5" s="13">
        <v>5612.5</v>
      </c>
      <c r="AA5" s="13">
        <v>5960</v>
      </c>
      <c r="AB5" s="13">
        <v>6126.9</v>
      </c>
      <c r="AC5" s="13">
        <v>6470.8</v>
      </c>
      <c r="AD5" s="13">
        <v>6808.9</v>
      </c>
      <c r="AE5" s="13">
        <v>7246.9</v>
      </c>
      <c r="AF5" s="13">
        <v>7581</v>
      </c>
      <c r="AG5" s="13">
        <v>8032.8</v>
      </c>
      <c r="AH5" s="13">
        <v>8518.7999999999993</v>
      </c>
      <c r="AI5" s="13">
        <v>8969.7000000000007</v>
      </c>
      <c r="AJ5" s="13">
        <v>9526.2000000000007</v>
      </c>
      <c r="AK5" s="13">
        <v>10247.700000000001</v>
      </c>
      <c r="AL5" s="13">
        <v>10599</v>
      </c>
      <c r="AM5" s="13">
        <v>10887.5</v>
      </c>
      <c r="AN5" s="13">
        <v>11312.8</v>
      </c>
      <c r="AO5" s="13">
        <v>12112.8</v>
      </c>
      <c r="AP5" s="13">
        <v>12922.7</v>
      </c>
      <c r="AQ5" s="13">
        <v>13753.4</v>
      </c>
      <c r="AR5" s="13">
        <v>14402.1</v>
      </c>
      <c r="AS5" s="13">
        <v>14865.7</v>
      </c>
      <c r="AT5" s="13">
        <v>14381.2</v>
      </c>
      <c r="AU5" s="13">
        <v>14980.2</v>
      </c>
      <c r="AV5" s="13">
        <v>15557.5</v>
      </c>
      <c r="AW5" s="13">
        <v>16207.1</v>
      </c>
      <c r="AX5" s="13">
        <v>16728.7</v>
      </c>
      <c r="AY5" s="13">
        <v>17518.5</v>
      </c>
      <c r="AZ5" s="13">
        <v>18279.8</v>
      </c>
      <c r="BA5" s="13">
        <v>18711.7</v>
      </c>
      <c r="BB5" s="13">
        <v>19438.599999999999</v>
      </c>
      <c r="BC5" s="13">
        <v>20580.900000000001</v>
      </c>
      <c r="BD5" s="13">
        <v>21397.9</v>
      </c>
      <c r="BE5" s="13">
        <v>19935.400000000001</v>
      </c>
      <c r="BF5" s="13">
        <v>23368.9</v>
      </c>
      <c r="BG5" s="13">
        <v>25805.8</v>
      </c>
      <c r="BH5" s="13">
        <v>27453.8</v>
      </c>
      <c r="BI5" s="14">
        <v>28358.352888075086</v>
      </c>
      <c r="BJ5" s="14">
        <f>'[1]quarterly series'!$AK87</f>
        <v>29412.021059280974</v>
      </c>
      <c r="BK5" s="14">
        <f>'[1]quarterly series'!$AK91</f>
        <v>30648.576161696346</v>
      </c>
      <c r="BL5" s="14">
        <f>'[1]quarterly series'!$AK95</f>
        <v>31827.307889547603</v>
      </c>
      <c r="BM5" s="14">
        <f>'[1]quarterly series'!$AK99</f>
        <v>33259.627183715973</v>
      </c>
      <c r="BN5" s="14">
        <f>'[1]quarterly series'!$AK103</f>
        <v>34577.294111809671</v>
      </c>
      <c r="BO5" s="14">
        <f>'[1]quarterly series'!$AK107</f>
        <v>35150.884088590683</v>
      </c>
      <c r="BP5" s="14">
        <f>'[1]quarterly series'!$AK111</f>
        <v>36461.759380428608</v>
      </c>
      <c r="BQ5" s="14">
        <f>'[1]quarterly series'!$AK115</f>
        <v>37778.909229334458</v>
      </c>
      <c r="BR5" s="14">
        <f>'[1]quarterly series'!$AK119</f>
        <v>39410.522775095924</v>
      </c>
      <c r="BS5" s="14">
        <f>'[1]quarterly series'!$AK123</f>
        <v>41264.201944376866</v>
      </c>
      <c r="BT5" s="14">
        <f>'[1]quarterly series'!$AK127</f>
        <v>43182.486180647145</v>
      </c>
      <c r="BU5" s="14">
        <f>'[1]quarterly series'!$AK127</f>
        <v>43182.486180647145</v>
      </c>
      <c r="BV5" s="14">
        <f>'[1]quarterly series'!$AK127</f>
        <v>43182.486180647145</v>
      </c>
      <c r="BW5" s="14">
        <f>'[1]quarterly series'!$AK127</f>
        <v>43182.486180647145</v>
      </c>
      <c r="BX5" s="14">
        <f>'[1]quarterly series'!$AK127</f>
        <v>43182.486180647145</v>
      </c>
      <c r="BY5" s="14">
        <f>'[1]quarterly series'!$AK127</f>
        <v>43182.486180647145</v>
      </c>
      <c r="BZ5" s="14">
        <f>'[1]quarterly series'!$AK127</f>
        <v>43182.486180647145</v>
      </c>
      <c r="CA5" s="14">
        <f>'[1]quarterly series'!$AK127</f>
        <v>43182.486180647145</v>
      </c>
      <c r="CB5" s="14">
        <f>'[1]quarterly series'!$AK127</f>
        <v>43182.486180647145</v>
      </c>
      <c r="CC5" s="14">
        <f>'[1]quarterly series'!$AK127</f>
        <v>43182.486180647145</v>
      </c>
      <c r="CD5" s="14">
        <f>'[1]quarterly series'!$AK127</f>
        <v>43182.486180647145</v>
      </c>
      <c r="CE5" s="14">
        <f>'[1]quarterly series'!$AK127</f>
        <v>43182.486180647145</v>
      </c>
      <c r="CF5" s="14">
        <f>'[1]quarterly series'!$AK127</f>
        <v>43182.486180647145</v>
      </c>
      <c r="CG5" s="14">
        <f>'[1]quarterly series'!$AK127</f>
        <v>43182.486180647145</v>
      </c>
      <c r="CH5" s="14">
        <f>'[1]quarterly series'!$AK127</f>
        <v>43182.486180647145</v>
      </c>
      <c r="CI5" s="14">
        <f>'[1]quarterly series'!$AK127</f>
        <v>43182.486180647145</v>
      </c>
      <c r="CJ5" s="14"/>
      <c r="CK5" s="14"/>
    </row>
    <row r="6" spans="1:89" x14ac:dyDescent="0.25">
      <c r="A6" s="12" t="s">
        <v>17</v>
      </c>
      <c r="B6" s="13">
        <v>749.3</v>
      </c>
      <c r="C6" s="13">
        <v>819.6</v>
      </c>
      <c r="D6" s="13">
        <v>865.2</v>
      </c>
      <c r="E6" s="13">
        <v>950.8</v>
      </c>
      <c r="F6" s="13">
        <v>1030</v>
      </c>
      <c r="G6" s="13">
        <v>1086.0999999999999</v>
      </c>
      <c r="H6" s="13">
        <v>1177.7</v>
      </c>
      <c r="I6" s="13">
        <v>1290.5999999999999</v>
      </c>
      <c r="J6" s="13">
        <v>1433.8</v>
      </c>
      <c r="K6" s="13">
        <v>1560</v>
      </c>
      <c r="L6" s="13">
        <v>1709.8</v>
      </c>
      <c r="M6" s="13">
        <v>1886.6</v>
      </c>
      <c r="N6" s="13">
        <v>2118.5</v>
      </c>
      <c r="O6" s="13">
        <v>2395.1</v>
      </c>
      <c r="P6" s="13">
        <v>2667.6</v>
      </c>
      <c r="Q6" s="13">
        <v>2856.5</v>
      </c>
      <c r="R6" s="13">
        <v>3260.6</v>
      </c>
      <c r="S6" s="13">
        <v>3366.3</v>
      </c>
      <c r="T6" s="13">
        <v>3689.2</v>
      </c>
      <c r="U6" s="13">
        <v>4084.3</v>
      </c>
      <c r="V6" s="13">
        <v>4386.8</v>
      </c>
      <c r="W6" s="13">
        <v>4607.7</v>
      </c>
      <c r="X6" s="13">
        <v>4884.6000000000004</v>
      </c>
      <c r="Y6" s="13">
        <v>5282.8</v>
      </c>
      <c r="Z6" s="13">
        <v>5695.4</v>
      </c>
      <c r="AA6" s="13">
        <v>6015.1</v>
      </c>
      <c r="AB6" s="13">
        <v>6205.9</v>
      </c>
      <c r="AC6" s="13">
        <v>6566.6</v>
      </c>
      <c r="AD6" s="13">
        <v>6882.1</v>
      </c>
      <c r="AE6" s="13">
        <v>7331.1</v>
      </c>
      <c r="AF6" s="13">
        <v>7683.1</v>
      </c>
      <c r="AG6" s="13">
        <v>8131.4</v>
      </c>
      <c r="AH6" s="13">
        <v>8662.7999999999993</v>
      </c>
      <c r="AI6" s="13">
        <v>9121.1</v>
      </c>
      <c r="AJ6" s="13">
        <v>9686.6</v>
      </c>
      <c r="AK6" s="13">
        <v>10318.200000000001</v>
      </c>
      <c r="AL6" s="13">
        <v>10598</v>
      </c>
      <c r="AM6" s="13">
        <v>10984</v>
      </c>
      <c r="AN6" s="13">
        <v>11566.7</v>
      </c>
      <c r="AO6" s="13">
        <v>12305.3</v>
      </c>
      <c r="AP6" s="13">
        <v>13142.6</v>
      </c>
      <c r="AQ6" s="13">
        <v>13870.2</v>
      </c>
      <c r="AR6" s="13">
        <v>14564.1</v>
      </c>
      <c r="AS6" s="13">
        <v>14899</v>
      </c>
      <c r="AT6" s="13">
        <v>14448.9</v>
      </c>
      <c r="AU6" s="13">
        <v>15141.6</v>
      </c>
      <c r="AV6" s="13">
        <v>15647.7</v>
      </c>
      <c r="AW6" s="13">
        <v>16319.5</v>
      </c>
      <c r="AX6" s="13">
        <v>16953.8</v>
      </c>
      <c r="AY6" s="13">
        <v>17804.2</v>
      </c>
      <c r="AZ6" s="13">
        <v>18401.599999999999</v>
      </c>
      <c r="BA6" s="13">
        <v>18892.599999999999</v>
      </c>
      <c r="BB6" s="13">
        <v>19692.599999999999</v>
      </c>
      <c r="BC6" s="13">
        <v>20798.7</v>
      </c>
      <c r="BD6" s="13">
        <v>21717.200000000001</v>
      </c>
      <c r="BE6" s="13">
        <v>21684.6</v>
      </c>
      <c r="BF6" s="13">
        <v>23922</v>
      </c>
      <c r="BG6" s="13">
        <v>26272</v>
      </c>
      <c r="BH6" s="13">
        <v>27967.7</v>
      </c>
      <c r="BI6" s="14">
        <v>28550.487581682606</v>
      </c>
      <c r="BJ6" s="14">
        <f>'[1]quarterly series'!$AK88</f>
        <v>29710.803335382061</v>
      </c>
      <c r="BK6" s="14">
        <f>'[1]quarterly series'!$AK92</f>
        <v>30935.386065832656</v>
      </c>
      <c r="BL6" s="14">
        <f>'[1]quarterly series'!$AK96</f>
        <v>32154.937218032264</v>
      </c>
      <c r="BM6" s="14">
        <f>'[1]quarterly series'!$AK100</f>
        <v>33570.003966221491</v>
      </c>
      <c r="BN6" s="14">
        <f>'[1]quarterly series'!$AK104</f>
        <v>34629.956638325843</v>
      </c>
      <c r="BO6" s="14">
        <f>'[1]quarterly series'!$AK108</f>
        <v>35407.454804068439</v>
      </c>
      <c r="BP6" s="14">
        <f>'[1]quarterly series'!$AK112</f>
        <v>36709.082333508326</v>
      </c>
      <c r="BQ6" s="14">
        <f>'[1]quarterly series'!$AK116</f>
        <v>38176.632619264077</v>
      </c>
      <c r="BR6" s="14">
        <f>'[1]quarterly series'!$AK120</f>
        <v>39862.559367410613</v>
      </c>
      <c r="BS6" s="14">
        <f>'[1]quarterly series'!$AK124</f>
        <v>41762.795551258903</v>
      </c>
      <c r="BT6" s="14">
        <f>'[1]quarterly series'!$AK128</f>
        <v>43249.338553337511</v>
      </c>
      <c r="BU6" s="14">
        <f>'[1]quarterly series'!$AK128</f>
        <v>43249.338553337511</v>
      </c>
      <c r="BV6" s="14">
        <f>'[1]quarterly series'!$AK128</f>
        <v>43249.338553337511</v>
      </c>
      <c r="BW6" s="14">
        <f>'[1]quarterly series'!$AK128</f>
        <v>43249.338553337511</v>
      </c>
      <c r="BX6" s="14">
        <f>'[1]quarterly series'!$AK128</f>
        <v>43249.338553337511</v>
      </c>
      <c r="BY6" s="14">
        <f>'[1]quarterly series'!$AK128</f>
        <v>43249.338553337511</v>
      </c>
      <c r="BZ6" s="14">
        <f>'[1]quarterly series'!$AK128</f>
        <v>43249.338553337511</v>
      </c>
      <c r="CA6" s="14">
        <f>'[1]quarterly series'!$AK128</f>
        <v>43249.338553337511</v>
      </c>
      <c r="CB6" s="14">
        <f>'[1]quarterly series'!$AK128</f>
        <v>43249.338553337511</v>
      </c>
      <c r="CC6" s="14">
        <f>'[1]quarterly series'!$AK128</f>
        <v>43249.338553337511</v>
      </c>
      <c r="CD6" s="14">
        <f>'[1]quarterly series'!$AK128</f>
        <v>43249.338553337511</v>
      </c>
      <c r="CE6" s="14">
        <f>'[1]quarterly series'!$AK128</f>
        <v>43249.338553337511</v>
      </c>
      <c r="CF6" s="14">
        <f>'[1]quarterly series'!$AK128</f>
        <v>43249.338553337511</v>
      </c>
      <c r="CG6" s="14">
        <f>'[1]quarterly series'!$AK128</f>
        <v>43249.338553337511</v>
      </c>
      <c r="CH6" s="14">
        <f>'[1]quarterly series'!$AK128</f>
        <v>43249.338553337511</v>
      </c>
      <c r="CI6" s="14">
        <f>'[1]quarterly series'!$AK128</f>
        <v>43249.338553337511</v>
      </c>
      <c r="CJ6" s="14"/>
      <c r="CK6" s="14"/>
    </row>
    <row r="7" spans="1:89" x14ac:dyDescent="0.25">
      <c r="A7" s="12" t="s">
        <v>18</v>
      </c>
      <c r="B7" s="13">
        <v>771.9</v>
      </c>
      <c r="C7" s="13">
        <v>833.3</v>
      </c>
      <c r="D7" s="13">
        <v>881.4</v>
      </c>
      <c r="E7" s="13">
        <v>968</v>
      </c>
      <c r="F7" s="13">
        <v>1038.0999999999999</v>
      </c>
      <c r="G7" s="13">
        <v>1088.5999999999999</v>
      </c>
      <c r="H7" s="13">
        <v>1190.3</v>
      </c>
      <c r="I7" s="13">
        <v>1328.9</v>
      </c>
      <c r="J7" s="13">
        <v>1476.3</v>
      </c>
      <c r="K7" s="13">
        <v>1599.7</v>
      </c>
      <c r="L7" s="13">
        <v>1761.8</v>
      </c>
      <c r="M7" s="13">
        <v>1934.3</v>
      </c>
      <c r="N7" s="13">
        <v>2164.3000000000002</v>
      </c>
      <c r="O7" s="13">
        <v>2476.9</v>
      </c>
      <c r="P7" s="13">
        <v>2723.9</v>
      </c>
      <c r="Q7" s="13">
        <v>2985.6</v>
      </c>
      <c r="R7" s="13">
        <v>3280.8</v>
      </c>
      <c r="S7" s="13">
        <v>3402.6</v>
      </c>
      <c r="T7" s="13">
        <v>3794.7</v>
      </c>
      <c r="U7" s="13">
        <v>4148.6000000000004</v>
      </c>
      <c r="V7" s="13">
        <v>4444.1000000000004</v>
      </c>
      <c r="W7" s="13">
        <v>4657.6000000000004</v>
      </c>
      <c r="X7" s="13">
        <v>5008</v>
      </c>
      <c r="Y7" s="13">
        <v>5399.5</v>
      </c>
      <c r="Z7" s="13">
        <v>5747.2</v>
      </c>
      <c r="AA7" s="13">
        <v>6004.7</v>
      </c>
      <c r="AB7" s="13">
        <v>6264.5</v>
      </c>
      <c r="AC7" s="13">
        <v>6680.8</v>
      </c>
      <c r="AD7" s="13">
        <v>7013.7</v>
      </c>
      <c r="AE7" s="13">
        <v>7455.3</v>
      </c>
      <c r="AF7" s="13">
        <v>7772.6</v>
      </c>
      <c r="AG7" s="13">
        <v>8259.7999999999993</v>
      </c>
      <c r="AH7" s="13">
        <v>8765.9</v>
      </c>
      <c r="AI7" s="13">
        <v>9294</v>
      </c>
      <c r="AJ7" s="13">
        <v>9900.2000000000007</v>
      </c>
      <c r="AK7" s="13">
        <v>10435.700000000001</v>
      </c>
      <c r="AL7" s="13">
        <v>10660.5</v>
      </c>
      <c r="AM7" s="13">
        <v>11061.4</v>
      </c>
      <c r="AN7" s="13">
        <v>11772.2</v>
      </c>
      <c r="AO7" s="13">
        <v>12527.2</v>
      </c>
      <c r="AP7" s="13">
        <v>13324.2</v>
      </c>
      <c r="AQ7" s="13">
        <v>14039.6</v>
      </c>
      <c r="AR7" s="13">
        <v>14715.1</v>
      </c>
      <c r="AS7" s="13">
        <v>14608.2</v>
      </c>
      <c r="AT7" s="13">
        <v>14651.2</v>
      </c>
      <c r="AU7" s="13">
        <v>15309.5</v>
      </c>
      <c r="AV7" s="13">
        <v>15842.3</v>
      </c>
      <c r="AW7" s="13">
        <v>16420.400000000001</v>
      </c>
      <c r="AX7" s="13">
        <v>17192</v>
      </c>
      <c r="AY7" s="13">
        <v>17912.099999999999</v>
      </c>
      <c r="AZ7" s="13">
        <v>18435.099999999999</v>
      </c>
      <c r="BA7" s="13">
        <v>19089.400000000001</v>
      </c>
      <c r="BB7" s="13">
        <v>20037.099999999999</v>
      </c>
      <c r="BC7" s="13">
        <v>20917.900000000001</v>
      </c>
      <c r="BD7" s="13">
        <v>21933.200000000001</v>
      </c>
      <c r="BE7" s="13">
        <v>22068.799999999999</v>
      </c>
      <c r="BF7" s="13">
        <v>24777</v>
      </c>
      <c r="BG7" s="13">
        <v>26734.3</v>
      </c>
      <c r="BH7" s="13">
        <v>28297</v>
      </c>
      <c r="BI7" s="14">
        <v>28803.637619456145</v>
      </c>
      <c r="BJ7" s="14">
        <f>'[1]quarterly series'!$AK89</f>
        <v>30031.501813983457</v>
      </c>
      <c r="BK7" s="14">
        <f>'[1]quarterly series'!$AK93</f>
        <v>31178.303901985131</v>
      </c>
      <c r="BL7" s="14">
        <f>'[1]quarterly series'!$AK97</f>
        <v>32542.488069324037</v>
      </c>
      <c r="BM7" s="14">
        <f>'[1]quarterly series'!$AK101</f>
        <v>33986.322319252555</v>
      </c>
      <c r="BN7" s="14">
        <f>'[1]quarterly series'!$AK105</f>
        <v>34784.752248272445</v>
      </c>
      <c r="BO7" s="14">
        <f>'[1]quarterly series'!$AK109</f>
        <v>35705.958652914531</v>
      </c>
      <c r="BP7" s="14">
        <f>'[1]quarterly series'!$AK113</f>
        <v>37001.10280484525</v>
      </c>
      <c r="BQ7" s="14">
        <f>'[1]quarterly series'!$AK117</f>
        <v>38644.778217046318</v>
      </c>
      <c r="BR7" s="14">
        <f>'[1]quarterly series'!$AK121</f>
        <v>40335.259239578125</v>
      </c>
      <c r="BS7" s="14">
        <f>'[1]quarterly series'!$AK125</f>
        <v>42236.668795429614</v>
      </c>
      <c r="BT7" s="14">
        <f>'[1]quarterly series'!$AK129</f>
        <v>43443.491844543751</v>
      </c>
      <c r="BU7" s="14">
        <f>'[1]quarterly series'!$AK129</f>
        <v>43443.491844543751</v>
      </c>
      <c r="BV7" s="14">
        <f>'[1]quarterly series'!$AK129</f>
        <v>43443.491844543751</v>
      </c>
      <c r="BW7" s="14">
        <f>'[1]quarterly series'!$AK129</f>
        <v>43443.491844543751</v>
      </c>
      <c r="BX7" s="14">
        <f>'[1]quarterly series'!$AK129</f>
        <v>43443.491844543751</v>
      </c>
      <c r="BY7" s="14">
        <f>'[1]quarterly series'!$AK129</f>
        <v>43443.491844543751</v>
      </c>
      <c r="BZ7" s="14">
        <f>'[1]quarterly series'!$AK129</f>
        <v>43443.491844543751</v>
      </c>
      <c r="CA7" s="14">
        <f>'[1]quarterly series'!$AK129</f>
        <v>43443.491844543751</v>
      </c>
      <c r="CB7" s="14">
        <f>'[1]quarterly series'!$AK129</f>
        <v>43443.491844543751</v>
      </c>
      <c r="CC7" s="14">
        <f>'[1]quarterly series'!$AK129</f>
        <v>43443.491844543751</v>
      </c>
      <c r="CD7" s="14">
        <f>'[1]quarterly series'!$AK129</f>
        <v>43443.491844543751</v>
      </c>
      <c r="CE7" s="14">
        <f>'[1]quarterly series'!$AK129</f>
        <v>43443.491844543751</v>
      </c>
      <c r="CF7" s="14">
        <f>'[1]quarterly series'!$AK129</f>
        <v>43443.491844543751</v>
      </c>
      <c r="CG7" s="14">
        <f>'[1]quarterly series'!$AK129</f>
        <v>43443.491844543751</v>
      </c>
      <c r="CH7" s="14">
        <f>'[1]quarterly series'!$AK129</f>
        <v>43443.491844543751</v>
      </c>
      <c r="CI7" s="14">
        <f>'[1]quarterly series'!$AK129</f>
        <v>43443.491844543751</v>
      </c>
      <c r="CJ7" s="14"/>
      <c r="CK7" s="14"/>
    </row>
    <row r="8" spans="1:89" ht="15.75" thickBot="1" x14ac:dyDescent="0.3">
      <c r="A8" s="12" t="s">
        <v>19</v>
      </c>
      <c r="B8" s="15">
        <f>AVERAGE(B4:B7)</f>
        <v>742.30000000000007</v>
      </c>
      <c r="C8" s="15">
        <f t="shared" ref="C8:BN8" si="0">AVERAGE(C4:C7)</f>
        <v>813.40000000000009</v>
      </c>
      <c r="D8" s="15">
        <f t="shared" si="0"/>
        <v>859.95</v>
      </c>
      <c r="E8" s="15">
        <f t="shared" si="0"/>
        <v>940.625</v>
      </c>
      <c r="F8" s="15">
        <f t="shared" si="0"/>
        <v>1017.6</v>
      </c>
      <c r="G8" s="15">
        <f t="shared" si="0"/>
        <v>1073.325</v>
      </c>
      <c r="H8" s="15">
        <f t="shared" si="0"/>
        <v>1164.875</v>
      </c>
      <c r="I8" s="15">
        <f t="shared" si="0"/>
        <v>1279.125</v>
      </c>
      <c r="J8" s="15">
        <f t="shared" si="0"/>
        <v>1425.375</v>
      </c>
      <c r="K8" s="15">
        <f t="shared" si="0"/>
        <v>1545.25</v>
      </c>
      <c r="L8" s="15">
        <f t="shared" si="0"/>
        <v>1684.9</v>
      </c>
      <c r="M8" s="15">
        <f t="shared" si="0"/>
        <v>1873.425</v>
      </c>
      <c r="N8" s="15">
        <f t="shared" si="0"/>
        <v>2081.8249999999998</v>
      </c>
      <c r="O8" s="15">
        <f t="shared" si="0"/>
        <v>2351.6</v>
      </c>
      <c r="P8" s="15">
        <f t="shared" si="0"/>
        <v>2627.3249999999998</v>
      </c>
      <c r="Q8" s="15">
        <f t="shared" si="0"/>
        <v>2857.3250000000003</v>
      </c>
      <c r="R8" s="15">
        <f t="shared" si="0"/>
        <v>3207.0249999999996</v>
      </c>
      <c r="S8" s="15">
        <f t="shared" si="0"/>
        <v>3343.8</v>
      </c>
      <c r="T8" s="15">
        <f t="shared" si="0"/>
        <v>3634.0250000000005</v>
      </c>
      <c r="U8" s="15">
        <f t="shared" si="0"/>
        <v>4037.65</v>
      </c>
      <c r="V8" s="15">
        <f t="shared" si="0"/>
        <v>4339</v>
      </c>
      <c r="W8" s="15">
        <f t="shared" si="0"/>
        <v>4579.625</v>
      </c>
      <c r="X8" s="15">
        <f t="shared" si="0"/>
        <v>4855.25</v>
      </c>
      <c r="Y8" s="15">
        <f t="shared" si="0"/>
        <v>5236.4250000000002</v>
      </c>
      <c r="Z8" s="15">
        <f t="shared" si="0"/>
        <v>5641.5999999999995</v>
      </c>
      <c r="AA8" s="15">
        <f t="shared" si="0"/>
        <v>5963.1250000000009</v>
      </c>
      <c r="AB8" s="15">
        <f t="shared" si="0"/>
        <v>6158.125</v>
      </c>
      <c r="AC8" s="15">
        <f t="shared" si="0"/>
        <v>6520.3249999999998</v>
      </c>
      <c r="AD8" s="15">
        <f t="shared" si="0"/>
        <v>6858.55</v>
      </c>
      <c r="AE8" s="15">
        <f t="shared" si="0"/>
        <v>7287.2499999999991</v>
      </c>
      <c r="AF8" s="15">
        <f t="shared" si="0"/>
        <v>7639.75</v>
      </c>
      <c r="AG8" s="15">
        <f t="shared" si="0"/>
        <v>8073.1249999999991</v>
      </c>
      <c r="AH8" s="15">
        <f t="shared" si="0"/>
        <v>8577.5499999999993</v>
      </c>
      <c r="AI8" s="15">
        <f t="shared" si="0"/>
        <v>9062.8250000000007</v>
      </c>
      <c r="AJ8" s="15">
        <f t="shared" si="0"/>
        <v>9631.1749999999993</v>
      </c>
      <c r="AK8" s="15">
        <f t="shared" si="0"/>
        <v>10250.950000000001</v>
      </c>
      <c r="AL8" s="15">
        <f t="shared" si="0"/>
        <v>10581.924999999999</v>
      </c>
      <c r="AM8" s="15">
        <f t="shared" si="0"/>
        <v>10929.1</v>
      </c>
      <c r="AN8" s="15">
        <f t="shared" si="0"/>
        <v>11456.45</v>
      </c>
      <c r="AO8" s="15">
        <f t="shared" si="0"/>
        <v>12217.174999999999</v>
      </c>
      <c r="AP8" s="15">
        <f t="shared" si="0"/>
        <v>13039.2</v>
      </c>
      <c r="AQ8" s="15">
        <f t="shared" si="0"/>
        <v>13815.6</v>
      </c>
      <c r="AR8" s="15">
        <f t="shared" si="0"/>
        <v>14474.25</v>
      </c>
      <c r="AS8" s="15">
        <f t="shared" si="0"/>
        <v>14769.849999999999</v>
      </c>
      <c r="AT8" s="15">
        <f t="shared" si="0"/>
        <v>14478.05</v>
      </c>
      <c r="AU8" s="15">
        <f t="shared" si="0"/>
        <v>15048.975</v>
      </c>
      <c r="AV8" s="15">
        <f t="shared" si="0"/>
        <v>15599.725000000002</v>
      </c>
      <c r="AW8" s="15">
        <f t="shared" si="0"/>
        <v>16253.95</v>
      </c>
      <c r="AX8" s="15">
        <f t="shared" si="0"/>
        <v>16880.674999999999</v>
      </c>
      <c r="AY8" s="15">
        <f t="shared" si="0"/>
        <v>17608.125</v>
      </c>
      <c r="AZ8" s="15">
        <f t="shared" si="0"/>
        <v>18295</v>
      </c>
      <c r="BA8" s="15">
        <f t="shared" si="0"/>
        <v>18804.900000000001</v>
      </c>
      <c r="BB8" s="15">
        <f t="shared" si="0"/>
        <v>19612.099999999999</v>
      </c>
      <c r="BC8" s="15">
        <f t="shared" si="0"/>
        <v>20656.525000000001</v>
      </c>
      <c r="BD8" s="15">
        <f t="shared" si="0"/>
        <v>21539.974999999999</v>
      </c>
      <c r="BE8" s="15">
        <f t="shared" si="0"/>
        <v>21354.125</v>
      </c>
      <c r="BF8" s="15">
        <f t="shared" si="0"/>
        <v>23681.174999999999</v>
      </c>
      <c r="BG8" s="15">
        <f t="shared" si="0"/>
        <v>26006.9</v>
      </c>
      <c r="BH8" s="15">
        <f t="shared" si="0"/>
        <v>27720.724999999999</v>
      </c>
      <c r="BI8" s="16">
        <f t="shared" si="0"/>
        <v>28469.253944080225</v>
      </c>
      <c r="BJ8" s="16">
        <f t="shared" si="0"/>
        <v>29565.546344876664</v>
      </c>
      <c r="BK8" s="16">
        <f t="shared" si="0"/>
        <v>30780.135525639049</v>
      </c>
      <c r="BL8" s="16">
        <f t="shared" si="0"/>
        <v>32010.918234428544</v>
      </c>
      <c r="BM8" s="16">
        <f t="shared" si="0"/>
        <v>33434.72063774323</v>
      </c>
      <c r="BN8" s="16">
        <f t="shared" si="0"/>
        <v>34575.360036770515</v>
      </c>
      <c r="BO8" s="16">
        <f t="shared" ref="BO8:CI8" si="1">AVERAGE(BO4:BO7)</f>
        <v>35301.165199474155</v>
      </c>
      <c r="BP8" s="16">
        <f t="shared" si="1"/>
        <v>36563.193909763919</v>
      </c>
      <c r="BQ8" s="16">
        <f t="shared" si="1"/>
        <v>38002.493772968228</v>
      </c>
      <c r="BR8" s="16">
        <f t="shared" si="1"/>
        <v>39661.209228854284</v>
      </c>
      <c r="BS8" s="16">
        <f t="shared" si="1"/>
        <v>41521.593025873801</v>
      </c>
      <c r="BT8" s="16">
        <f t="shared" si="1"/>
        <v>43126.937457318039</v>
      </c>
      <c r="BU8" s="16">
        <f t="shared" si="1"/>
        <v>43126.937457318039</v>
      </c>
      <c r="BV8" s="16">
        <f t="shared" si="1"/>
        <v>43126.937457318039</v>
      </c>
      <c r="BW8" s="16">
        <f t="shared" si="1"/>
        <v>43126.937457318039</v>
      </c>
      <c r="BX8" s="16">
        <f t="shared" si="1"/>
        <v>43126.937457318039</v>
      </c>
      <c r="BY8" s="16">
        <f t="shared" si="1"/>
        <v>43126.937457318039</v>
      </c>
      <c r="BZ8" s="16">
        <f t="shared" si="1"/>
        <v>43126.937457318039</v>
      </c>
      <c r="CA8" s="16">
        <f t="shared" si="1"/>
        <v>43126.937457318039</v>
      </c>
      <c r="CB8" s="16">
        <f t="shared" si="1"/>
        <v>43126.937457318039</v>
      </c>
      <c r="CC8" s="16">
        <f t="shared" si="1"/>
        <v>43126.937457318039</v>
      </c>
      <c r="CD8" s="16">
        <f t="shared" si="1"/>
        <v>43126.937457318039</v>
      </c>
      <c r="CE8" s="16">
        <f t="shared" si="1"/>
        <v>43126.937457318039</v>
      </c>
      <c r="CF8" s="16">
        <f t="shared" si="1"/>
        <v>43126.937457318039</v>
      </c>
      <c r="CG8" s="16">
        <f t="shared" si="1"/>
        <v>43126.937457318039</v>
      </c>
      <c r="CH8" s="16">
        <f t="shared" si="1"/>
        <v>43126.937457318039</v>
      </c>
      <c r="CI8" s="16">
        <f t="shared" si="1"/>
        <v>43126.937457318039</v>
      </c>
      <c r="CJ8" s="16"/>
      <c r="CK8" s="16"/>
    </row>
    <row r="9" spans="1:89" x14ac:dyDescent="0.25">
      <c r="A9" s="17"/>
      <c r="B9" s="17"/>
      <c r="C9" s="18">
        <f t="shared" ref="C9:BG9" si="2">C8/B8-1</f>
        <v>9.5783375993533593E-2</v>
      </c>
      <c r="D9" s="18">
        <f t="shared" si="2"/>
        <v>5.7228915662650648E-2</v>
      </c>
      <c r="E9" s="18">
        <f t="shared" si="2"/>
        <v>9.3813593813593776E-2</v>
      </c>
      <c r="F9" s="18">
        <f t="shared" si="2"/>
        <v>8.1833887043189391E-2</v>
      </c>
      <c r="G9" s="18">
        <f t="shared" si="2"/>
        <v>5.4761202830188704E-2</v>
      </c>
      <c r="H9" s="18">
        <f t="shared" si="2"/>
        <v>8.5295693289544117E-2</v>
      </c>
      <c r="I9" s="18">
        <f t="shared" si="2"/>
        <v>9.8079193046464175E-2</v>
      </c>
      <c r="J9" s="18">
        <f t="shared" si="2"/>
        <v>0.11433597185576083</v>
      </c>
      <c r="K9" s="18">
        <f t="shared" si="2"/>
        <v>8.4100675260896152E-2</v>
      </c>
      <c r="L9" s="18">
        <f t="shared" si="2"/>
        <v>9.0373725934314919E-2</v>
      </c>
      <c r="M9" s="18">
        <f t="shared" si="2"/>
        <v>0.11189091340732382</v>
      </c>
      <c r="N9" s="18">
        <f t="shared" si="2"/>
        <v>0.11124010835768705</v>
      </c>
      <c r="O9" s="18">
        <f t="shared" si="2"/>
        <v>0.12958582013377695</v>
      </c>
      <c r="P9" s="18">
        <f t="shared" si="2"/>
        <v>0.11724995747576106</v>
      </c>
      <c r="Q9" s="18">
        <f t="shared" si="2"/>
        <v>8.7541510852293003E-2</v>
      </c>
      <c r="R9" s="18">
        <f t="shared" si="2"/>
        <v>0.12238719781613905</v>
      </c>
      <c r="S9" s="18">
        <f t="shared" si="2"/>
        <v>4.264856058184785E-2</v>
      </c>
      <c r="T9" s="18">
        <f t="shared" si="2"/>
        <v>8.6794963813625392E-2</v>
      </c>
      <c r="U9" s="18">
        <f t="shared" si="2"/>
        <v>0.11106830580417015</v>
      </c>
      <c r="V9" s="18">
        <f t="shared" si="2"/>
        <v>7.4634998080566728E-2</v>
      </c>
      <c r="W9" s="18">
        <f t="shared" si="2"/>
        <v>5.5456326342475215E-2</v>
      </c>
      <c r="X9" s="18">
        <f t="shared" si="2"/>
        <v>6.0185058820318327E-2</v>
      </c>
      <c r="Y9" s="18">
        <f t="shared" si="2"/>
        <v>7.8507800834148656E-2</v>
      </c>
      <c r="Z9" s="18">
        <f t="shared" si="2"/>
        <v>7.7376263385802169E-2</v>
      </c>
      <c r="AA9" s="18">
        <f t="shared" si="2"/>
        <v>5.6991810833806333E-2</v>
      </c>
      <c r="AB9" s="18">
        <f t="shared" si="2"/>
        <v>3.2700974740593081E-2</v>
      </c>
      <c r="AC9" s="18">
        <f>AC8/AB8-1</f>
        <v>5.8816604079975576E-2</v>
      </c>
      <c r="AD9" s="18">
        <f t="shared" si="2"/>
        <v>5.1872414335174977E-2</v>
      </c>
      <c r="AE9" s="18">
        <f t="shared" si="2"/>
        <v>6.2505923263663332E-2</v>
      </c>
      <c r="AF9" s="18">
        <f t="shared" si="2"/>
        <v>4.8372156849291637E-2</v>
      </c>
      <c r="AG9" s="18">
        <f t="shared" si="2"/>
        <v>5.6726332667953683E-2</v>
      </c>
      <c r="AH9" s="18">
        <f t="shared" si="2"/>
        <v>6.2482000464504139E-2</v>
      </c>
      <c r="AI9" s="18">
        <f t="shared" si="2"/>
        <v>5.6575012678445669E-2</v>
      </c>
      <c r="AJ9" s="18">
        <f t="shared" si="2"/>
        <v>6.2712233768168257E-2</v>
      </c>
      <c r="AK9" s="18">
        <f t="shared" si="2"/>
        <v>6.4350922914390152E-2</v>
      </c>
      <c r="AL9" s="18">
        <f t="shared" si="2"/>
        <v>3.2287251425477503E-2</v>
      </c>
      <c r="AM9" s="18">
        <f t="shared" si="2"/>
        <v>3.2808302837149306E-2</v>
      </c>
      <c r="AN9" s="18">
        <f t="shared" si="2"/>
        <v>4.8251914613280267E-2</v>
      </c>
      <c r="AO9" s="18">
        <f t="shared" si="2"/>
        <v>6.6401459439878741E-2</v>
      </c>
      <c r="AP9" s="18">
        <f>AP8/AO8-1</f>
        <v>6.7284376298121451E-2</v>
      </c>
      <c r="AQ9" s="18">
        <f t="shared" si="2"/>
        <v>5.9543530277931023E-2</v>
      </c>
      <c r="AR9" s="18">
        <f t="shared" si="2"/>
        <v>4.7674368105619758E-2</v>
      </c>
      <c r="AS9" s="18">
        <f t="shared" si="2"/>
        <v>2.0422474394182766E-2</v>
      </c>
      <c r="AT9" s="18">
        <f t="shared" si="2"/>
        <v>-1.975646333578196E-2</v>
      </c>
      <c r="AU9" s="18">
        <f t="shared" si="2"/>
        <v>3.9433832594859108E-2</v>
      </c>
      <c r="AV9" s="18">
        <f t="shared" si="2"/>
        <v>3.6597176884139992E-2</v>
      </c>
      <c r="AW9" s="18">
        <f t="shared" si="2"/>
        <v>4.1938239295884916E-2</v>
      </c>
      <c r="AX9" s="18">
        <f t="shared" si="2"/>
        <v>3.8558319669987906E-2</v>
      </c>
      <c r="AY9" s="18">
        <f t="shared" si="2"/>
        <v>4.3093655911271345E-2</v>
      </c>
      <c r="AZ9" s="18">
        <f t="shared" si="2"/>
        <v>3.9008980229297663E-2</v>
      </c>
      <c r="BA9" s="18">
        <f t="shared" si="2"/>
        <v>2.7871003006285866E-2</v>
      </c>
      <c r="BB9" s="18">
        <f t="shared" si="2"/>
        <v>4.292498231843811E-2</v>
      </c>
      <c r="BC9" s="18">
        <f t="shared" si="2"/>
        <v>5.3254113531952418E-2</v>
      </c>
      <c r="BD9" s="18">
        <f t="shared" si="2"/>
        <v>4.2768568285323827E-2</v>
      </c>
      <c r="BE9" s="18">
        <f t="shared" si="2"/>
        <v>-8.628143718829695E-3</v>
      </c>
      <c r="BF9" s="18">
        <f t="shared" si="2"/>
        <v>0.108974261413193</v>
      </c>
      <c r="BG9" s="18">
        <f t="shared" si="2"/>
        <v>9.8209865008809905E-2</v>
      </c>
      <c r="BH9" s="18">
        <f>BH8/BG8-1</f>
        <v>6.5898857610864781E-2</v>
      </c>
      <c r="BI9" s="18">
        <f t="shared" ref="BI9:CI9" si="3">BI8/BH8-1</f>
        <v>2.7002502426622277E-2</v>
      </c>
      <c r="BJ9" s="18">
        <f>BJ8/BI8-1</f>
        <v>3.8507942742363133E-2</v>
      </c>
      <c r="BK9" s="18">
        <f t="shared" si="3"/>
        <v>4.1081235793664295E-2</v>
      </c>
      <c r="BL9" s="18">
        <f t="shared" si="3"/>
        <v>3.998626671946548E-2</v>
      </c>
      <c r="BM9" s="18">
        <f t="shared" si="3"/>
        <v>4.4478649218608002E-2</v>
      </c>
      <c r="BN9" s="18">
        <f t="shared" si="3"/>
        <v>3.4115415869204524E-2</v>
      </c>
      <c r="BO9" s="18">
        <f t="shared" si="3"/>
        <v>2.0991977001302509E-2</v>
      </c>
      <c r="BP9" s="18">
        <f t="shared" si="3"/>
        <v>3.5750341473390401E-2</v>
      </c>
      <c r="BQ9" s="18">
        <f t="shared" si="3"/>
        <v>3.9364719251727021E-2</v>
      </c>
      <c r="BR9" s="18">
        <f t="shared" si="3"/>
        <v>4.3647542337496015E-2</v>
      </c>
      <c r="BS9" s="18">
        <f t="shared" si="3"/>
        <v>4.6906885422597133E-2</v>
      </c>
      <c r="BT9" s="18">
        <f t="shared" si="3"/>
        <v>3.8662881514297531E-2</v>
      </c>
      <c r="BU9" s="18">
        <f t="shared" si="3"/>
        <v>0</v>
      </c>
      <c r="BV9" s="18">
        <f t="shared" si="3"/>
        <v>0</v>
      </c>
      <c r="BW9" s="18">
        <f t="shared" si="3"/>
        <v>0</v>
      </c>
      <c r="BX9" s="18">
        <f t="shared" si="3"/>
        <v>0</v>
      </c>
      <c r="BY9" s="18">
        <f t="shared" si="3"/>
        <v>0</v>
      </c>
      <c r="BZ9" s="18">
        <f t="shared" si="3"/>
        <v>0</v>
      </c>
      <c r="CA9" s="18">
        <f t="shared" si="3"/>
        <v>0</v>
      </c>
      <c r="CB9" s="18">
        <f t="shared" si="3"/>
        <v>0</v>
      </c>
      <c r="CC9" s="18">
        <f t="shared" si="3"/>
        <v>0</v>
      </c>
      <c r="CD9" s="18">
        <f t="shared" si="3"/>
        <v>0</v>
      </c>
      <c r="CE9" s="18">
        <f t="shared" si="3"/>
        <v>0</v>
      </c>
      <c r="CF9" s="18">
        <f t="shared" si="3"/>
        <v>0</v>
      </c>
      <c r="CG9" s="18">
        <f t="shared" si="3"/>
        <v>0</v>
      </c>
      <c r="CH9" s="18">
        <f t="shared" si="3"/>
        <v>0</v>
      </c>
      <c r="CI9" s="18">
        <f t="shared" si="3"/>
        <v>0</v>
      </c>
      <c r="CJ9" s="19"/>
      <c r="CK9" s="19"/>
    </row>
    <row r="10" spans="1:89" ht="15.75" thickBot="1" x14ac:dyDescent="0.3">
      <c r="A10" s="8" t="s">
        <v>20</v>
      </c>
    </row>
    <row r="11" spans="1:89" ht="16.5" thickBot="1" x14ac:dyDescent="0.3">
      <c r="A11" s="9" t="s">
        <v>21</v>
      </c>
      <c r="B11" s="10">
        <f>B3</f>
        <v>1965</v>
      </c>
      <c r="C11" s="10">
        <f>C3</f>
        <v>1966</v>
      </c>
      <c r="D11" s="10">
        <f t="shared" ref="D11:BO11" si="4">D3</f>
        <v>1967</v>
      </c>
      <c r="E11" s="10">
        <f t="shared" si="4"/>
        <v>1968</v>
      </c>
      <c r="F11" s="10">
        <f t="shared" si="4"/>
        <v>1969</v>
      </c>
      <c r="G11" s="10">
        <f t="shared" si="4"/>
        <v>1970</v>
      </c>
      <c r="H11" s="10">
        <f t="shared" si="4"/>
        <v>1971</v>
      </c>
      <c r="I11" s="10">
        <f t="shared" si="4"/>
        <v>1972</v>
      </c>
      <c r="J11" s="10">
        <f t="shared" si="4"/>
        <v>1973</v>
      </c>
      <c r="K11" s="10">
        <f t="shared" si="4"/>
        <v>1974</v>
      </c>
      <c r="L11" s="10">
        <f t="shared" si="4"/>
        <v>1975</v>
      </c>
      <c r="M11" s="10">
        <f t="shared" si="4"/>
        <v>1976</v>
      </c>
      <c r="N11" s="10">
        <f t="shared" si="4"/>
        <v>1977</v>
      </c>
      <c r="O11" s="10">
        <f t="shared" si="4"/>
        <v>1978</v>
      </c>
      <c r="P11" s="10">
        <f t="shared" si="4"/>
        <v>1979</v>
      </c>
      <c r="Q11" s="10">
        <f t="shared" si="4"/>
        <v>1980</v>
      </c>
      <c r="R11" s="10">
        <f t="shared" si="4"/>
        <v>1981</v>
      </c>
      <c r="S11" s="10">
        <f t="shared" si="4"/>
        <v>1982</v>
      </c>
      <c r="T11" s="10">
        <f t="shared" si="4"/>
        <v>1983</v>
      </c>
      <c r="U11" s="10">
        <f t="shared" si="4"/>
        <v>1984</v>
      </c>
      <c r="V11" s="10">
        <f t="shared" si="4"/>
        <v>1985</v>
      </c>
      <c r="W11" s="10">
        <f t="shared" si="4"/>
        <v>1986</v>
      </c>
      <c r="X11" s="10">
        <f t="shared" si="4"/>
        <v>1987</v>
      </c>
      <c r="Y11" s="10">
        <f t="shared" si="4"/>
        <v>1988</v>
      </c>
      <c r="Z11" s="10">
        <f t="shared" si="4"/>
        <v>1989</v>
      </c>
      <c r="AA11" s="10">
        <f t="shared" si="4"/>
        <v>1990</v>
      </c>
      <c r="AB11" s="10">
        <f t="shared" si="4"/>
        <v>1991</v>
      </c>
      <c r="AC11" s="10">
        <f t="shared" si="4"/>
        <v>1992</v>
      </c>
      <c r="AD11" s="10">
        <f t="shared" si="4"/>
        <v>1993</v>
      </c>
      <c r="AE11" s="10">
        <f t="shared" si="4"/>
        <v>1994</v>
      </c>
      <c r="AF11" s="10">
        <f t="shared" si="4"/>
        <v>1995</v>
      </c>
      <c r="AG11" s="10">
        <f t="shared" si="4"/>
        <v>1996</v>
      </c>
      <c r="AH11" s="10">
        <f t="shared" si="4"/>
        <v>1997</v>
      </c>
      <c r="AI11" s="10">
        <f t="shared" si="4"/>
        <v>1998</v>
      </c>
      <c r="AJ11" s="10">
        <f t="shared" si="4"/>
        <v>1999</v>
      </c>
      <c r="AK11" s="10">
        <f t="shared" si="4"/>
        <v>2000</v>
      </c>
      <c r="AL11" s="10">
        <f t="shared" si="4"/>
        <v>2001</v>
      </c>
      <c r="AM11" s="10">
        <f t="shared" si="4"/>
        <v>2002</v>
      </c>
      <c r="AN11" s="10">
        <f t="shared" si="4"/>
        <v>2003</v>
      </c>
      <c r="AO11" s="10">
        <f t="shared" si="4"/>
        <v>2004</v>
      </c>
      <c r="AP11" s="10">
        <f t="shared" si="4"/>
        <v>2005</v>
      </c>
      <c r="AQ11" s="10">
        <f t="shared" si="4"/>
        <v>2006</v>
      </c>
      <c r="AR11" s="10">
        <f t="shared" si="4"/>
        <v>2007</v>
      </c>
      <c r="AS11" s="10">
        <f t="shared" si="4"/>
        <v>2008</v>
      </c>
      <c r="AT11" s="10">
        <f t="shared" si="4"/>
        <v>2009</v>
      </c>
      <c r="AU11" s="10">
        <f t="shared" si="4"/>
        <v>2010</v>
      </c>
      <c r="AV11" s="10">
        <f t="shared" si="4"/>
        <v>2011</v>
      </c>
      <c r="AW11" s="10">
        <f t="shared" si="4"/>
        <v>2012</v>
      </c>
      <c r="AX11" s="10">
        <f t="shared" si="4"/>
        <v>2013</v>
      </c>
      <c r="AY11" s="10">
        <f t="shared" si="4"/>
        <v>2014</v>
      </c>
      <c r="AZ11" s="10">
        <f t="shared" si="4"/>
        <v>2015</v>
      </c>
      <c r="BA11" s="10">
        <f t="shared" si="4"/>
        <v>2016</v>
      </c>
      <c r="BB11" s="10">
        <f t="shared" si="4"/>
        <v>2017</v>
      </c>
      <c r="BC11" s="10">
        <f t="shared" si="4"/>
        <v>2018</v>
      </c>
      <c r="BD11" s="10">
        <f t="shared" si="4"/>
        <v>2019</v>
      </c>
      <c r="BE11" s="10">
        <f t="shared" si="4"/>
        <v>2020</v>
      </c>
      <c r="BF11" s="10">
        <f t="shared" si="4"/>
        <v>2021</v>
      </c>
      <c r="BG11" s="10">
        <f t="shared" si="4"/>
        <v>2022</v>
      </c>
      <c r="BH11" s="10">
        <f t="shared" si="4"/>
        <v>2023</v>
      </c>
      <c r="BI11" s="10">
        <f t="shared" si="4"/>
        <v>2024</v>
      </c>
      <c r="BJ11" s="10">
        <f t="shared" si="4"/>
        <v>2025</v>
      </c>
      <c r="BK11" s="10">
        <f t="shared" si="4"/>
        <v>2026</v>
      </c>
      <c r="BL11" s="10">
        <f t="shared" si="4"/>
        <v>2027</v>
      </c>
      <c r="BM11" s="10">
        <f t="shared" si="4"/>
        <v>2028</v>
      </c>
      <c r="BN11" s="10">
        <f t="shared" si="4"/>
        <v>2029</v>
      </c>
      <c r="BO11" s="10">
        <f t="shared" si="4"/>
        <v>2030</v>
      </c>
      <c r="BP11" s="10">
        <f t="shared" ref="BP11:CI11" si="5">BP3</f>
        <v>2031</v>
      </c>
      <c r="BQ11" s="10">
        <f t="shared" si="5"/>
        <v>2032</v>
      </c>
      <c r="BR11" s="10">
        <f t="shared" si="5"/>
        <v>2033</v>
      </c>
      <c r="BS11" s="10">
        <f t="shared" si="5"/>
        <v>2034</v>
      </c>
      <c r="BT11" s="10">
        <f t="shared" si="5"/>
        <v>2035</v>
      </c>
      <c r="BU11" s="10">
        <f t="shared" si="5"/>
        <v>2036</v>
      </c>
      <c r="BV11" s="10">
        <f t="shared" si="5"/>
        <v>2037</v>
      </c>
      <c r="BW11" s="10">
        <f t="shared" si="5"/>
        <v>2038</v>
      </c>
      <c r="BX11" s="10">
        <f t="shared" si="5"/>
        <v>2039</v>
      </c>
      <c r="BY11" s="10">
        <f t="shared" si="5"/>
        <v>2040</v>
      </c>
      <c r="BZ11" s="10">
        <f t="shared" si="5"/>
        <v>2041</v>
      </c>
      <c r="CA11" s="10">
        <f t="shared" si="5"/>
        <v>2042</v>
      </c>
      <c r="CB11" s="10">
        <f t="shared" si="5"/>
        <v>2043</v>
      </c>
      <c r="CC11" s="10">
        <f t="shared" si="5"/>
        <v>2044</v>
      </c>
      <c r="CD11" s="10">
        <f t="shared" si="5"/>
        <v>2045</v>
      </c>
      <c r="CE11" s="10">
        <f t="shared" si="5"/>
        <v>2046</v>
      </c>
      <c r="CF11" s="10">
        <f t="shared" si="5"/>
        <v>2047</v>
      </c>
      <c r="CG11" s="10">
        <f t="shared" si="5"/>
        <v>2048</v>
      </c>
      <c r="CH11" s="10">
        <f t="shared" si="5"/>
        <v>2049</v>
      </c>
      <c r="CI11" s="10">
        <f t="shared" si="5"/>
        <v>2050</v>
      </c>
      <c r="CJ11" s="11"/>
      <c r="CK11" s="11"/>
    </row>
    <row r="12" spans="1:89" x14ac:dyDescent="0.25">
      <c r="A12" s="12" t="s">
        <v>15</v>
      </c>
      <c r="C12" s="20">
        <f>C4/B7-1</f>
        <v>3.0833009457183591E-2</v>
      </c>
      <c r="D12" s="20">
        <f t="shared" ref="D12:BO12" si="6">D4/C7-1</f>
        <v>1.3080523220929008E-2</v>
      </c>
      <c r="E12" s="20">
        <f t="shared" si="6"/>
        <v>3.1767642387111383E-2</v>
      </c>
      <c r="F12" s="20">
        <f t="shared" si="6"/>
        <v>2.6136363636363624E-2</v>
      </c>
      <c r="G12" s="20">
        <f t="shared" si="6"/>
        <v>1.2619208168769935E-2</v>
      </c>
      <c r="H12" s="20">
        <f t="shared" si="6"/>
        <v>4.2807275399595834E-2</v>
      </c>
      <c r="I12" s="20">
        <f t="shared" si="6"/>
        <v>3.3857010837603951E-2</v>
      </c>
      <c r="J12" s="20">
        <f t="shared" si="6"/>
        <v>3.6571600571901453E-2</v>
      </c>
      <c r="K12" s="20">
        <f t="shared" si="6"/>
        <v>1.0092799566483901E-2</v>
      </c>
      <c r="L12" s="20">
        <f t="shared" si="6"/>
        <v>1.0251922235419153E-2</v>
      </c>
      <c r="M12" s="20">
        <f t="shared" si="6"/>
        <v>3.3318197298217722E-2</v>
      </c>
      <c r="N12" s="20">
        <f t="shared" si="6"/>
        <v>2.8072170811146213E-2</v>
      </c>
      <c r="O12" s="20">
        <f t="shared" si="6"/>
        <v>1.7788661460980348E-2</v>
      </c>
      <c r="P12" s="20">
        <f t="shared" si="6"/>
        <v>2.0065404336065074E-2</v>
      </c>
      <c r="Q12" s="20">
        <f t="shared" si="6"/>
        <v>2.4193252322038283E-2</v>
      </c>
      <c r="R12" s="20">
        <f t="shared" si="6"/>
        <v>4.6422829581993508E-2</v>
      </c>
      <c r="S12" s="20">
        <f t="shared" si="6"/>
        <v>-1.9812240916849966E-3</v>
      </c>
      <c r="T12" s="20">
        <f t="shared" si="6"/>
        <v>2.0807617704108772E-2</v>
      </c>
      <c r="U12" s="20">
        <f t="shared" si="6"/>
        <v>2.9883785279468666E-2</v>
      </c>
      <c r="V12" s="20">
        <f t="shared" si="6"/>
        <v>1.9669286024200705E-2</v>
      </c>
      <c r="W12" s="20">
        <f t="shared" si="6"/>
        <v>1.4356112598726156E-2</v>
      </c>
      <c r="X12" s="20">
        <f t="shared" si="6"/>
        <v>1.386980419099948E-2</v>
      </c>
      <c r="Y12" s="20">
        <f t="shared" si="6"/>
        <v>1.3059105431309836E-2</v>
      </c>
      <c r="Z12" s="20">
        <f t="shared" si="6"/>
        <v>2.0705620890823173E-2</v>
      </c>
      <c r="AA12" s="20">
        <f t="shared" si="6"/>
        <v>2.1836720489977646E-2</v>
      </c>
      <c r="AB12" s="20">
        <f t="shared" si="6"/>
        <v>5.0793545056373457E-3</v>
      </c>
      <c r="AC12" s="20">
        <f t="shared" si="6"/>
        <v>1.5739484396200876E-2</v>
      </c>
      <c r="AD12" s="20">
        <f t="shared" si="6"/>
        <v>7.2895461621362845E-3</v>
      </c>
      <c r="AE12" s="20">
        <f t="shared" si="6"/>
        <v>1.4542965909577044E-2</v>
      </c>
      <c r="AF12" s="20">
        <f t="shared" si="6"/>
        <v>8.9868952288976178E-3</v>
      </c>
      <c r="AG12" s="20">
        <f t="shared" si="6"/>
        <v>1.2338213725136882E-2</v>
      </c>
      <c r="AH12" s="20">
        <f t="shared" si="6"/>
        <v>1.2457928763408566E-2</v>
      </c>
      <c r="AI12" s="20">
        <f t="shared" si="6"/>
        <v>1.1476288800921886E-2</v>
      </c>
      <c r="AJ12" s="20">
        <f t="shared" si="6"/>
        <v>1.2664084355498151E-2</v>
      </c>
      <c r="AK12" s="20">
        <f t="shared" si="6"/>
        <v>1.0302822165208836E-2</v>
      </c>
      <c r="AL12" s="20">
        <f t="shared" si="6"/>
        <v>3.3059593510738061E-3</v>
      </c>
      <c r="AM12" s="20">
        <f t="shared" si="6"/>
        <v>1.1537920360208176E-2</v>
      </c>
      <c r="AN12" s="20">
        <f t="shared" si="6"/>
        <v>1.0188583723579336E-2</v>
      </c>
      <c r="AO12" s="20">
        <f t="shared" si="6"/>
        <v>1.2843818487623393E-2</v>
      </c>
      <c r="AP12" s="20">
        <f t="shared" si="6"/>
        <v>1.9166294143942553E-2</v>
      </c>
      <c r="AQ12" s="20">
        <f t="shared" si="6"/>
        <v>2.0639137809399521E-2</v>
      </c>
      <c r="AR12" s="20">
        <f t="shared" si="6"/>
        <v>1.2543092395794764E-2</v>
      </c>
      <c r="AS12" s="20">
        <f t="shared" si="6"/>
        <v>-5.8443367697125215E-4</v>
      </c>
      <c r="AT12" s="20">
        <f t="shared" si="6"/>
        <v>-1.2137018934571087E-2</v>
      </c>
      <c r="AU12" s="20">
        <f t="shared" si="6"/>
        <v>7.7399803429070158E-3</v>
      </c>
      <c r="AV12" s="20">
        <f t="shared" si="6"/>
        <v>2.736862732290346E-3</v>
      </c>
      <c r="AW12" s="20">
        <f t="shared" si="6"/>
        <v>1.4297166446791243E-2</v>
      </c>
      <c r="AX12" s="20">
        <f t="shared" si="6"/>
        <v>1.3872987259750058E-2</v>
      </c>
      <c r="AY12" s="20">
        <f t="shared" si="6"/>
        <v>3.3154955793390783E-4</v>
      </c>
      <c r="AZ12" s="20">
        <f t="shared" si="6"/>
        <v>8.4523869339721003E-3</v>
      </c>
      <c r="BA12" s="20">
        <f t="shared" si="6"/>
        <v>4.9253868978200721E-3</v>
      </c>
      <c r="BB12" s="20">
        <f t="shared" si="6"/>
        <v>9.9898372919000611E-3</v>
      </c>
      <c r="BC12" s="20">
        <f t="shared" si="6"/>
        <v>1.4548013435077944E-2</v>
      </c>
      <c r="BD12" s="20">
        <f t="shared" si="6"/>
        <v>9.2600117602625875E-3</v>
      </c>
      <c r="BE12" s="20">
        <f t="shared" si="6"/>
        <v>-9.369357868436845E-3</v>
      </c>
      <c r="BF12" s="20">
        <f t="shared" si="6"/>
        <v>2.6643949829623814E-2</v>
      </c>
      <c r="BG12" s="20">
        <f t="shared" si="6"/>
        <v>1.7697864955402265E-2</v>
      </c>
      <c r="BH12" s="20">
        <f t="shared" si="6"/>
        <v>1.6087946944561837E-2</v>
      </c>
      <c r="BI12" s="21">
        <f t="shared" si="6"/>
        <v>-4.6811433329660979E-3</v>
      </c>
      <c r="BJ12" s="21">
        <f t="shared" si="6"/>
        <v>1.0561914277053885E-2</v>
      </c>
      <c r="BK12" s="21">
        <f t="shared" si="6"/>
        <v>1.0881046212162904E-2</v>
      </c>
      <c r="BL12" s="21">
        <f t="shared" si="6"/>
        <v>1.0925413386693172E-2</v>
      </c>
      <c r="BM12" s="21">
        <f t="shared" si="6"/>
        <v>1.1690593898303847E-2</v>
      </c>
      <c r="BN12" s="21">
        <f t="shared" si="6"/>
        <v>9.5072019380717521E-3</v>
      </c>
      <c r="BO12" s="21">
        <f t="shared" si="6"/>
        <v>4.4735406749447648E-3</v>
      </c>
      <c r="BP12" s="21">
        <f t="shared" ref="BP12:CI12" si="7">BP4/BO7-1</f>
        <v>1.0498876980253424E-2</v>
      </c>
      <c r="BQ12" s="21">
        <f t="shared" si="7"/>
        <v>1.1041622827774544E-2</v>
      </c>
      <c r="BR12" s="21">
        <f t="shared" si="7"/>
        <v>1.0136358244472232E-2</v>
      </c>
      <c r="BS12" s="21">
        <f t="shared" si="7"/>
        <v>1.2084875169797282E-2</v>
      </c>
      <c r="BT12" s="21">
        <f t="shared" si="7"/>
        <v>9.3701626241164959E-3</v>
      </c>
      <c r="BU12" s="21">
        <f t="shared" si="7"/>
        <v>-1.8669277246457838E-2</v>
      </c>
      <c r="BV12" s="21">
        <f t="shared" si="7"/>
        <v>-1.8669277246457838E-2</v>
      </c>
      <c r="BW12" s="21">
        <f t="shared" si="7"/>
        <v>-1.8669277246457838E-2</v>
      </c>
      <c r="BX12" s="21">
        <f t="shared" si="7"/>
        <v>-1.8669277246457838E-2</v>
      </c>
      <c r="BY12" s="21">
        <f t="shared" si="7"/>
        <v>-1.8669277246457838E-2</v>
      </c>
      <c r="BZ12" s="21">
        <f t="shared" si="7"/>
        <v>-1.8669277246457838E-2</v>
      </c>
      <c r="CA12" s="21">
        <f t="shared" si="7"/>
        <v>-1.8669277246457838E-2</v>
      </c>
      <c r="CB12" s="21">
        <f t="shared" si="7"/>
        <v>-1.8669277246457838E-2</v>
      </c>
      <c r="CC12" s="21">
        <f t="shared" si="7"/>
        <v>-1.8669277246457838E-2</v>
      </c>
      <c r="CD12" s="21">
        <f t="shared" si="7"/>
        <v>-1.8669277246457838E-2</v>
      </c>
      <c r="CE12" s="21">
        <f t="shared" si="7"/>
        <v>-1.8669277246457838E-2</v>
      </c>
      <c r="CF12" s="21">
        <f t="shared" si="7"/>
        <v>-1.8669277246457838E-2</v>
      </c>
      <c r="CG12" s="21">
        <f t="shared" si="7"/>
        <v>-1.8669277246457838E-2</v>
      </c>
      <c r="CH12" s="21">
        <f t="shared" si="7"/>
        <v>-1.8669277246457838E-2</v>
      </c>
      <c r="CI12" s="21">
        <f t="shared" si="7"/>
        <v>-1.8669277246457838E-2</v>
      </c>
      <c r="CJ12" s="21"/>
      <c r="CK12" s="21"/>
    </row>
    <row r="13" spans="1:89" x14ac:dyDescent="0.25">
      <c r="A13" s="12" t="s">
        <v>16</v>
      </c>
      <c r="B13" s="20">
        <f>B5/B4-1</f>
        <v>1.7275006965728812E-2</v>
      </c>
      <c r="C13" s="20">
        <f>C5/C4-1</f>
        <v>1.1687822043483731E-2</v>
      </c>
      <c r="D13" s="20">
        <f t="shared" ref="D13:BO15" si="8">D5/D4-1</f>
        <v>5.6858564321249361E-3</v>
      </c>
      <c r="E13" s="20">
        <f t="shared" si="8"/>
        <v>2.7380690565207866E-2</v>
      </c>
      <c r="F13" s="20">
        <f t="shared" si="8"/>
        <v>1.5805899526829759E-2</v>
      </c>
      <c r="G13" s="20">
        <f t="shared" si="8"/>
        <v>1.5410958904109595E-2</v>
      </c>
      <c r="H13" s="20">
        <f t="shared" si="8"/>
        <v>1.8587033121916674E-2</v>
      </c>
      <c r="I13" s="20">
        <f t="shared" si="8"/>
        <v>2.9091500081261268E-2</v>
      </c>
      <c r="J13" s="20">
        <f t="shared" si="8"/>
        <v>2.6424682395644439E-2</v>
      </c>
      <c r="K13" s="20">
        <f t="shared" si="8"/>
        <v>2.608637339055786E-2</v>
      </c>
      <c r="L13" s="20">
        <f t="shared" si="8"/>
        <v>2.2152094548604673E-2</v>
      </c>
      <c r="M13" s="20">
        <f t="shared" si="8"/>
        <v>1.7467728645976344E-2</v>
      </c>
      <c r="N13" s="20">
        <f t="shared" si="8"/>
        <v>3.3842904555969167E-2</v>
      </c>
      <c r="O13" s="20">
        <f t="shared" si="8"/>
        <v>5.8471036862175252E-2</v>
      </c>
      <c r="P13" s="20">
        <f t="shared" si="8"/>
        <v>2.5567956938177705E-2</v>
      </c>
      <c r="Q13" s="20">
        <f t="shared" si="8"/>
        <v>2.7242096207613642E-3</v>
      </c>
      <c r="R13" s="20">
        <f t="shared" si="8"/>
        <v>1.2259138339415054E-2</v>
      </c>
      <c r="S13" s="20">
        <f t="shared" si="8"/>
        <v>1.7622087163668532E-2</v>
      </c>
      <c r="T13" s="20">
        <f t="shared" si="8"/>
        <v>3.0344907007542998E-2</v>
      </c>
      <c r="U13" s="20">
        <f t="shared" si="8"/>
        <v>2.5971699802973314E-2</v>
      </c>
      <c r="V13" s="20">
        <f t="shared" si="8"/>
        <v>1.5294785116542808E-2</v>
      </c>
      <c r="W13" s="20">
        <f t="shared" si="8"/>
        <v>8.2965460635773258E-3</v>
      </c>
      <c r="X13" s="20">
        <f t="shared" si="8"/>
        <v>1.7788319003854136E-2</v>
      </c>
      <c r="Y13" s="20">
        <f t="shared" si="8"/>
        <v>2.298261520873579E-2</v>
      </c>
      <c r="Z13" s="20">
        <f t="shared" si="8"/>
        <v>1.8362273873677726E-2</v>
      </c>
      <c r="AA13" s="20">
        <f t="shared" si="8"/>
        <v>1.4865394111737373E-2</v>
      </c>
      <c r="AB13" s="20">
        <f t="shared" si="8"/>
        <v>1.5194194061505906E-2</v>
      </c>
      <c r="AC13" s="20">
        <f t="shared" si="8"/>
        <v>1.6925712310037477E-2</v>
      </c>
      <c r="AD13" s="20">
        <f t="shared" si="8"/>
        <v>1.1798796344453466E-2</v>
      </c>
      <c r="AE13" s="20">
        <f t="shared" si="8"/>
        <v>1.8438101662520801E-2</v>
      </c>
      <c r="AF13" s="20">
        <f t="shared" si="8"/>
        <v>7.8034643659519176E-3</v>
      </c>
      <c r="AG13" s="20">
        <f t="shared" si="8"/>
        <v>2.0880726949227935E-2</v>
      </c>
      <c r="AH13" s="20">
        <f t="shared" si="8"/>
        <v>1.8666220239874409E-2</v>
      </c>
      <c r="AI13" s="20">
        <f t="shared" si="8"/>
        <v>1.1639316528506249E-2</v>
      </c>
      <c r="AJ13" s="20">
        <f t="shared" si="8"/>
        <v>1.2165708639246819E-2</v>
      </c>
      <c r="AK13" s="20">
        <f t="shared" si="8"/>
        <v>2.4544600187958565E-2</v>
      </c>
      <c r="AL13" s="20">
        <f t="shared" si="8"/>
        <v>1.2301579721495148E-2</v>
      </c>
      <c r="AM13" s="20">
        <f t="shared" si="8"/>
        <v>9.6443640747438941E-3</v>
      </c>
      <c r="AN13" s="20">
        <f t="shared" si="8"/>
        <v>1.2412632784743138E-2</v>
      </c>
      <c r="AO13" s="20">
        <f t="shared" si="8"/>
        <v>1.5884730865357133E-2</v>
      </c>
      <c r="AP13" s="20">
        <f t="shared" si="8"/>
        <v>1.2171719940786252E-2</v>
      </c>
      <c r="AQ13" s="20">
        <f t="shared" si="8"/>
        <v>1.1338902288369868E-2</v>
      </c>
      <c r="AR13" s="20">
        <f t="shared" si="8"/>
        <v>1.311226320195269E-2</v>
      </c>
      <c r="AS13" s="20">
        <f t="shared" si="8"/>
        <v>1.082514534389567E-2</v>
      </c>
      <c r="AT13" s="20">
        <f t="shared" si="8"/>
        <v>-3.4439986418032253E-3</v>
      </c>
      <c r="AU13" s="20">
        <f t="shared" si="8"/>
        <v>1.4602495157335804E-2</v>
      </c>
      <c r="AV13" s="20">
        <f t="shared" si="8"/>
        <v>1.342548562346102E-2</v>
      </c>
      <c r="AW13" s="20">
        <f t="shared" si="8"/>
        <v>8.6067410136414502E-3</v>
      </c>
      <c r="AX13" s="20">
        <f t="shared" si="8"/>
        <v>4.8353575761943546E-3</v>
      </c>
      <c r="AY13" s="20">
        <f t="shared" si="8"/>
        <v>1.8653657175087268E-2</v>
      </c>
      <c r="AZ13" s="20">
        <f t="shared" si="8"/>
        <v>1.1974423561325276E-2</v>
      </c>
      <c r="BA13" s="20">
        <f t="shared" si="8"/>
        <v>1.0029202359939315E-2</v>
      </c>
      <c r="BB13" s="20">
        <f t="shared" si="8"/>
        <v>8.2209117172629131E-3</v>
      </c>
      <c r="BC13" s="20">
        <f t="shared" si="8"/>
        <v>1.2411085859331372E-2</v>
      </c>
      <c r="BD13" s="20">
        <f t="shared" si="8"/>
        <v>1.3561264897023584E-2</v>
      </c>
      <c r="BE13" s="20">
        <f t="shared" si="8"/>
        <v>-8.2489172807061917E-2</v>
      </c>
      <c r="BF13" s="20">
        <f t="shared" si="8"/>
        <v>3.1429857702764741E-2</v>
      </c>
      <c r="BG13" s="20">
        <f t="shared" si="8"/>
        <v>2.3410204041165228E-2</v>
      </c>
      <c r="BH13" s="20">
        <f t="shared" si="8"/>
        <v>1.065364962966231E-2</v>
      </c>
      <c r="BI13" s="21">
        <f t="shared" si="8"/>
        <v>6.8815331933089752E-3</v>
      </c>
      <c r="BJ13" s="21">
        <f t="shared" si="8"/>
        <v>1.0449476432993876E-2</v>
      </c>
      <c r="BK13" s="21">
        <f t="shared" si="8"/>
        <v>9.5624728134122705E-3</v>
      </c>
      <c r="BL13" s="21">
        <f t="shared" si="8"/>
        <v>9.7835819059102214E-3</v>
      </c>
      <c r="BM13" s="21">
        <f t="shared" si="8"/>
        <v>1.0226857431083536E-2</v>
      </c>
      <c r="BN13" s="21">
        <f t="shared" si="8"/>
        <v>7.8070928991016419E-3</v>
      </c>
      <c r="BO13" s="21">
        <f t="shared" si="8"/>
        <v>6.0251473273884582E-3</v>
      </c>
      <c r="BP13" s="21">
        <f t="shared" ref="BP13:CI15" si="9">BP5/BP4-1</f>
        <v>1.0557635407158594E-2</v>
      </c>
      <c r="BQ13" s="21">
        <f t="shared" si="9"/>
        <v>9.8705588930854127E-3</v>
      </c>
      <c r="BR13" s="21">
        <f t="shared" si="9"/>
        <v>9.5814759151233719E-3</v>
      </c>
      <c r="BS13" s="21">
        <f t="shared" si="9"/>
        <v>1.0814964935827343E-2</v>
      </c>
      <c r="BT13" s="21">
        <f t="shared" si="9"/>
        <v>1.2902217583224962E-2</v>
      </c>
      <c r="BU13" s="21">
        <f t="shared" si="9"/>
        <v>1.2902217583224962E-2</v>
      </c>
      <c r="BV13" s="21">
        <f t="shared" si="9"/>
        <v>1.2902217583224962E-2</v>
      </c>
      <c r="BW13" s="21">
        <f t="shared" si="9"/>
        <v>1.2902217583224962E-2</v>
      </c>
      <c r="BX13" s="21">
        <f t="shared" si="9"/>
        <v>1.2902217583224962E-2</v>
      </c>
      <c r="BY13" s="21">
        <f t="shared" si="9"/>
        <v>1.2902217583224962E-2</v>
      </c>
      <c r="BZ13" s="21">
        <f t="shared" si="9"/>
        <v>1.2902217583224962E-2</v>
      </c>
      <c r="CA13" s="21">
        <f t="shared" si="9"/>
        <v>1.2902217583224962E-2</v>
      </c>
      <c r="CB13" s="21">
        <f t="shared" si="9"/>
        <v>1.2902217583224962E-2</v>
      </c>
      <c r="CC13" s="21">
        <f t="shared" si="9"/>
        <v>1.2902217583224962E-2</v>
      </c>
      <c r="CD13" s="21">
        <f t="shared" si="9"/>
        <v>1.2902217583224962E-2</v>
      </c>
      <c r="CE13" s="21">
        <f t="shared" si="9"/>
        <v>1.2902217583224962E-2</v>
      </c>
      <c r="CF13" s="21">
        <f t="shared" si="9"/>
        <v>1.2902217583224962E-2</v>
      </c>
      <c r="CG13" s="21">
        <f t="shared" si="9"/>
        <v>1.2902217583224962E-2</v>
      </c>
      <c r="CH13" s="21">
        <f t="shared" si="9"/>
        <v>1.2902217583224962E-2</v>
      </c>
      <c r="CI13" s="21">
        <f t="shared" si="9"/>
        <v>1.2902217583224962E-2</v>
      </c>
      <c r="CJ13" s="21"/>
      <c r="CK13" s="21"/>
    </row>
    <row r="14" spans="1:89" x14ac:dyDescent="0.25">
      <c r="A14" s="12" t="s">
        <v>17</v>
      </c>
      <c r="B14" s="20">
        <f t="shared" ref="B14:C15" si="10">B6/B5-1</f>
        <v>2.6157217200766691E-2</v>
      </c>
      <c r="C14" s="20">
        <f t="shared" si="10"/>
        <v>1.8136645962733011E-2</v>
      </c>
      <c r="D14" s="20">
        <f t="shared" si="8"/>
        <v>1.90812720848057E-2</v>
      </c>
      <c r="E14" s="20">
        <f t="shared" si="8"/>
        <v>1.7660280423846819E-2</v>
      </c>
      <c r="F14" s="20">
        <f t="shared" si="8"/>
        <v>2.0812685827552135E-2</v>
      </c>
      <c r="G14" s="20">
        <f t="shared" si="8"/>
        <v>1.75192055461868E-2</v>
      </c>
      <c r="H14" s="20">
        <f t="shared" si="8"/>
        <v>1.850730779209564E-2</v>
      </c>
      <c r="I14" s="20">
        <f t="shared" si="8"/>
        <v>1.9109286165508443E-2</v>
      </c>
      <c r="J14" s="20">
        <f t="shared" si="8"/>
        <v>1.4074545583138809E-2</v>
      </c>
      <c r="K14" s="20">
        <f t="shared" si="8"/>
        <v>1.954120645709434E-2</v>
      </c>
      <c r="L14" s="20">
        <f t="shared" si="8"/>
        <v>3.5050547853986203E-2</v>
      </c>
      <c r="M14" s="20">
        <f t="shared" si="8"/>
        <v>1.8517518760460039E-2</v>
      </c>
      <c r="N14" s="20">
        <f t="shared" si="8"/>
        <v>3.0448951797266366E-2</v>
      </c>
      <c r="O14" s="20">
        <f t="shared" si="8"/>
        <v>2.7234517069823383E-2</v>
      </c>
      <c r="P14" s="20">
        <f t="shared" si="8"/>
        <v>2.9484408768138293E-2</v>
      </c>
      <c r="Q14" s="20">
        <f t="shared" si="8"/>
        <v>2.1126760563380254E-2</v>
      </c>
      <c r="R14" s="20">
        <f t="shared" si="8"/>
        <v>3.101976284584973E-2</v>
      </c>
      <c r="S14" s="20">
        <f t="shared" si="8"/>
        <v>1.0294117647058787E-2</v>
      </c>
      <c r="T14" s="20">
        <f t="shared" si="8"/>
        <v>3.0848329048843048E-2</v>
      </c>
      <c r="U14" s="20">
        <f t="shared" si="8"/>
        <v>1.8630287310454907E-2</v>
      </c>
      <c r="V14" s="20">
        <f t="shared" si="8"/>
        <v>2.1397471419590808E-2</v>
      </c>
      <c r="W14" s="20">
        <f t="shared" si="8"/>
        <v>1.3728466767870096E-2</v>
      </c>
      <c r="X14" s="20">
        <f t="shared" si="8"/>
        <v>1.631226332653668E-2</v>
      </c>
      <c r="Y14" s="20">
        <f t="shared" si="8"/>
        <v>1.7880539499036674E-2</v>
      </c>
      <c r="Z14" s="20">
        <f t="shared" si="8"/>
        <v>1.4770601336302924E-2</v>
      </c>
      <c r="AA14" s="20">
        <f t="shared" si="8"/>
        <v>9.2449664429530287E-3</v>
      </c>
      <c r="AB14" s="20">
        <f t="shared" si="8"/>
        <v>1.2893959424831403E-2</v>
      </c>
      <c r="AC14" s="20">
        <f t="shared" si="8"/>
        <v>1.4804970019163033E-2</v>
      </c>
      <c r="AD14" s="20">
        <f t="shared" si="8"/>
        <v>1.0750635198049752E-2</v>
      </c>
      <c r="AE14" s="20">
        <f t="shared" si="8"/>
        <v>1.1618761125446797E-2</v>
      </c>
      <c r="AF14" s="20">
        <f t="shared" si="8"/>
        <v>1.3467880226883056E-2</v>
      </c>
      <c r="AG14" s="20">
        <f t="shared" si="8"/>
        <v>1.2274673837267214E-2</v>
      </c>
      <c r="AH14" s="20">
        <f t="shared" si="8"/>
        <v>1.6903789266093927E-2</v>
      </c>
      <c r="AI14" s="20">
        <f t="shared" si="8"/>
        <v>1.6879048351672754E-2</v>
      </c>
      <c r="AJ14" s="20">
        <f t="shared" si="8"/>
        <v>1.6837773718796578E-2</v>
      </c>
      <c r="AK14" s="20">
        <f t="shared" si="8"/>
        <v>6.8795924939255571E-3</v>
      </c>
      <c r="AL14" s="20">
        <f t="shared" si="8"/>
        <v>-9.434852344558653E-5</v>
      </c>
      <c r="AM14" s="20">
        <f t="shared" si="8"/>
        <v>8.8633754305396106E-3</v>
      </c>
      <c r="AN14" s="20">
        <f t="shared" si="8"/>
        <v>2.2443603705537329E-2</v>
      </c>
      <c r="AO14" s="20">
        <f t="shared" si="8"/>
        <v>1.5892279241793705E-2</v>
      </c>
      <c r="AP14" s="20">
        <f t="shared" si="8"/>
        <v>1.7016567745130606E-2</v>
      </c>
      <c r="AQ14" s="20">
        <f t="shared" si="8"/>
        <v>8.4924455043844382E-3</v>
      </c>
      <c r="AR14" s="20">
        <f t="shared" si="8"/>
        <v>1.1248359614222991E-2</v>
      </c>
      <c r="AS14" s="20">
        <f t="shared" si="8"/>
        <v>2.2400559677646648E-3</v>
      </c>
      <c r="AT14" s="20">
        <f t="shared" si="8"/>
        <v>4.7075348371483638E-3</v>
      </c>
      <c r="AU14" s="20">
        <f t="shared" si="8"/>
        <v>1.0774221973004261E-2</v>
      </c>
      <c r="AV14" s="20">
        <f t="shared" si="8"/>
        <v>5.7978466977341991E-3</v>
      </c>
      <c r="AW14" s="20">
        <f t="shared" si="8"/>
        <v>6.9352320896396424E-3</v>
      </c>
      <c r="AX14" s="20">
        <f t="shared" si="8"/>
        <v>1.3455917076640622E-2</v>
      </c>
      <c r="AY14" s="20">
        <f t="shared" si="8"/>
        <v>1.6308473899021125E-2</v>
      </c>
      <c r="AZ14" s="20">
        <f t="shared" si="8"/>
        <v>6.6630925940107666E-3</v>
      </c>
      <c r="BA14" s="20">
        <f t="shared" si="8"/>
        <v>9.6677479865536764E-3</v>
      </c>
      <c r="BB14" s="20">
        <f t="shared" si="8"/>
        <v>1.3066784644984786E-2</v>
      </c>
      <c r="BC14" s="20">
        <f t="shared" si="8"/>
        <v>1.0582627581884108E-2</v>
      </c>
      <c r="BD14" s="20">
        <f t="shared" si="8"/>
        <v>1.4922025058533794E-2</v>
      </c>
      <c r="BE14" s="20">
        <f t="shared" si="8"/>
        <v>8.7743411218234701E-2</v>
      </c>
      <c r="BF14" s="20">
        <f t="shared" si="8"/>
        <v>2.3668208602030782E-2</v>
      </c>
      <c r="BG14" s="20">
        <f t="shared" si="8"/>
        <v>1.8065706159080541E-2</v>
      </c>
      <c r="BH14" s="20">
        <f t="shared" si="8"/>
        <v>1.8718720177170356E-2</v>
      </c>
      <c r="BI14" s="21">
        <f t="shared" si="8"/>
        <v>6.7752416498179091E-3</v>
      </c>
      <c r="BJ14" s="21">
        <f t="shared" si="8"/>
        <v>1.0158508845715897E-2</v>
      </c>
      <c r="BK14" s="21">
        <f t="shared" si="8"/>
        <v>9.3580172410996365E-3</v>
      </c>
      <c r="BL14" s="21">
        <f t="shared" si="8"/>
        <v>1.0293969242439749E-2</v>
      </c>
      <c r="BM14" s="21">
        <f t="shared" si="8"/>
        <v>9.3319381119665312E-3</v>
      </c>
      <c r="BN14" s="21">
        <f t="shared" si="8"/>
        <v>1.523037816258288E-3</v>
      </c>
      <c r="BO14" s="21">
        <f t="shared" si="8"/>
        <v>7.2991255307013336E-3</v>
      </c>
      <c r="BP14" s="21">
        <f t="shared" si="9"/>
        <v>6.7830778679449644E-3</v>
      </c>
      <c r="BQ14" s="21">
        <f t="shared" si="9"/>
        <v>1.0527656781069705E-2</v>
      </c>
      <c r="BR14" s="21">
        <f t="shared" si="9"/>
        <v>1.1469946615383142E-2</v>
      </c>
      <c r="BS14" s="21">
        <f t="shared" si="9"/>
        <v>1.2082957706394781E-2</v>
      </c>
      <c r="BT14" s="21">
        <f t="shared" si="9"/>
        <v>1.5481362608604776E-3</v>
      </c>
      <c r="BU14" s="21">
        <f t="shared" si="9"/>
        <v>1.5481362608604776E-3</v>
      </c>
      <c r="BV14" s="21">
        <f t="shared" si="9"/>
        <v>1.5481362608604776E-3</v>
      </c>
      <c r="BW14" s="21">
        <f t="shared" si="9"/>
        <v>1.5481362608604776E-3</v>
      </c>
      <c r="BX14" s="21">
        <f t="shared" si="9"/>
        <v>1.5481362608604776E-3</v>
      </c>
      <c r="BY14" s="21">
        <f t="shared" si="9"/>
        <v>1.5481362608604776E-3</v>
      </c>
      <c r="BZ14" s="21">
        <f t="shared" si="9"/>
        <v>1.5481362608604776E-3</v>
      </c>
      <c r="CA14" s="21">
        <f t="shared" si="9"/>
        <v>1.5481362608604776E-3</v>
      </c>
      <c r="CB14" s="21">
        <f t="shared" si="9"/>
        <v>1.5481362608604776E-3</v>
      </c>
      <c r="CC14" s="21">
        <f t="shared" si="9"/>
        <v>1.5481362608604776E-3</v>
      </c>
      <c r="CD14" s="21">
        <f t="shared" si="9"/>
        <v>1.5481362608604776E-3</v>
      </c>
      <c r="CE14" s="21">
        <f t="shared" si="9"/>
        <v>1.5481362608604776E-3</v>
      </c>
      <c r="CF14" s="21">
        <f t="shared" si="9"/>
        <v>1.5481362608604776E-3</v>
      </c>
      <c r="CG14" s="21">
        <f t="shared" si="9"/>
        <v>1.5481362608604776E-3</v>
      </c>
      <c r="CH14" s="21">
        <f t="shared" si="9"/>
        <v>1.5481362608604776E-3</v>
      </c>
      <c r="CI14" s="21">
        <f t="shared" si="9"/>
        <v>1.5481362608604776E-3</v>
      </c>
      <c r="CJ14" s="21"/>
      <c r="CK14" s="21"/>
    </row>
    <row r="15" spans="1:89" x14ac:dyDescent="0.25">
      <c r="A15" s="12" t="s">
        <v>18</v>
      </c>
      <c r="B15" s="20">
        <f t="shared" si="10"/>
        <v>3.0161484051781651E-2</v>
      </c>
      <c r="C15" s="20">
        <f t="shared" si="10"/>
        <v>1.6715470961444545E-2</v>
      </c>
      <c r="D15" s="20">
        <f t="shared" si="8"/>
        <v>1.8723994452149784E-2</v>
      </c>
      <c r="E15" s="20">
        <f t="shared" si="8"/>
        <v>1.809002944888527E-2</v>
      </c>
      <c r="F15" s="20">
        <f t="shared" si="8"/>
        <v>7.8640776699028248E-3</v>
      </c>
      <c r="G15" s="20">
        <f t="shared" si="8"/>
        <v>2.3018138292973944E-3</v>
      </c>
      <c r="H15" s="20">
        <f t="shared" si="8"/>
        <v>1.0698819733378606E-2</v>
      </c>
      <c r="I15" s="20">
        <f t="shared" si="8"/>
        <v>2.9676119634278741E-2</v>
      </c>
      <c r="J15" s="20">
        <f t="shared" si="8"/>
        <v>2.9641512065839093E-2</v>
      </c>
      <c r="K15" s="20">
        <f t="shared" si="8"/>
        <v>2.5448717948717947E-2</v>
      </c>
      <c r="L15" s="20">
        <f t="shared" si="8"/>
        <v>3.0412913791086682E-2</v>
      </c>
      <c r="M15" s="20">
        <f t="shared" si="8"/>
        <v>2.5283578925050287E-2</v>
      </c>
      <c r="N15" s="20">
        <f t="shared" si="8"/>
        <v>2.1619070096766668E-2</v>
      </c>
      <c r="O15" s="20">
        <f t="shared" si="8"/>
        <v>3.4153062502609632E-2</v>
      </c>
      <c r="P15" s="20">
        <f t="shared" si="8"/>
        <v>2.1105113210376336E-2</v>
      </c>
      <c r="Q15" s="20">
        <f t="shared" si="8"/>
        <v>4.5195168913005457E-2</v>
      </c>
      <c r="R15" s="20">
        <f t="shared" si="8"/>
        <v>6.1951788014475984E-3</v>
      </c>
      <c r="S15" s="20">
        <f t="shared" si="8"/>
        <v>1.078335264236685E-2</v>
      </c>
      <c r="T15" s="20">
        <f t="shared" si="8"/>
        <v>2.8596985796378593E-2</v>
      </c>
      <c r="U15" s="20">
        <f t="shared" si="8"/>
        <v>1.5743211811081403E-2</v>
      </c>
      <c r="V15" s="20">
        <f t="shared" si="8"/>
        <v>1.3061913011762627E-2</v>
      </c>
      <c r="W15" s="20">
        <f t="shared" si="8"/>
        <v>1.0829698114026565E-2</v>
      </c>
      <c r="X15" s="20">
        <f t="shared" si="8"/>
        <v>2.5263071694713979E-2</v>
      </c>
      <c r="Y15" s="20">
        <f t="shared" si="8"/>
        <v>2.2090558037404451E-2</v>
      </c>
      <c r="Z15" s="20">
        <f t="shared" si="8"/>
        <v>9.0950591705587502E-3</v>
      </c>
      <c r="AA15" s="20">
        <f t="shared" si="8"/>
        <v>-1.7289820618111573E-3</v>
      </c>
      <c r="AB15" s="20">
        <f t="shared" si="8"/>
        <v>9.4426271773635495E-3</v>
      </c>
      <c r="AC15" s="20">
        <f t="shared" si="8"/>
        <v>1.7391039502939076E-2</v>
      </c>
      <c r="AD15" s="20">
        <f t="shared" si="8"/>
        <v>1.9122070298309923E-2</v>
      </c>
      <c r="AE15" s="20">
        <f t="shared" si="8"/>
        <v>1.6941523100216793E-2</v>
      </c>
      <c r="AF15" s="20">
        <f t="shared" si="8"/>
        <v>1.1648943785711463E-2</v>
      </c>
      <c r="AG15" s="20">
        <f t="shared" si="8"/>
        <v>1.5790638758393261E-2</v>
      </c>
      <c r="AH15" s="20">
        <f t="shared" si="8"/>
        <v>1.1901463729971917E-2</v>
      </c>
      <c r="AI15" s="20">
        <f t="shared" si="8"/>
        <v>1.8956046968019225E-2</v>
      </c>
      <c r="AJ15" s="20">
        <f t="shared" si="8"/>
        <v>2.2051080874610385E-2</v>
      </c>
      <c r="AK15" s="20">
        <f t="shared" si="8"/>
        <v>1.1387645131902824E-2</v>
      </c>
      <c r="AL15" s="20">
        <f t="shared" si="8"/>
        <v>5.8973391205887626E-3</v>
      </c>
      <c r="AM15" s="20">
        <f t="shared" si="8"/>
        <v>7.046613255644596E-3</v>
      </c>
      <c r="AN15" s="20">
        <f t="shared" si="8"/>
        <v>1.7766519404843306E-2</v>
      </c>
      <c r="AO15" s="20">
        <f t="shared" si="8"/>
        <v>1.8032880141077623E-2</v>
      </c>
      <c r="AP15" s="20">
        <f t="shared" si="8"/>
        <v>1.3817661649901947E-2</v>
      </c>
      <c r="AQ15" s="20">
        <f t="shared" si="8"/>
        <v>1.2213234127842476E-2</v>
      </c>
      <c r="AR15" s="20">
        <f t="shared" si="8"/>
        <v>1.0367959571823793E-2</v>
      </c>
      <c r="AS15" s="20">
        <f t="shared" si="8"/>
        <v>-1.9518088462312844E-2</v>
      </c>
      <c r="AT15" s="20">
        <f t="shared" si="8"/>
        <v>1.4001065825080206E-2</v>
      </c>
      <c r="AU15" s="20">
        <f t="shared" si="8"/>
        <v>1.1088656416759157E-2</v>
      </c>
      <c r="AV15" s="20">
        <f t="shared" si="8"/>
        <v>1.2436332496149394E-2</v>
      </c>
      <c r="AW15" s="20">
        <f t="shared" si="8"/>
        <v>6.1827874628512802E-3</v>
      </c>
      <c r="AX15" s="20">
        <f t="shared" si="8"/>
        <v>1.4049947504394256E-2</v>
      </c>
      <c r="AY15" s="20">
        <f t="shared" si="8"/>
        <v>6.0603677783892529E-3</v>
      </c>
      <c r="AZ15" s="20">
        <f t="shared" si="8"/>
        <v>1.8204938700983053E-3</v>
      </c>
      <c r="BA15" s="20">
        <f t="shared" si="8"/>
        <v>1.0416776939119243E-2</v>
      </c>
      <c r="BB15" s="20">
        <f t="shared" si="8"/>
        <v>1.7493880950204543E-2</v>
      </c>
      <c r="BC15" s="20">
        <f t="shared" si="8"/>
        <v>5.7311274262334955E-3</v>
      </c>
      <c r="BD15" s="20">
        <f t="shared" si="8"/>
        <v>9.9460335586538662E-3</v>
      </c>
      <c r="BE15" s="20">
        <f t="shared" si="8"/>
        <v>1.7717642935539457E-2</v>
      </c>
      <c r="BF15" s="20">
        <f t="shared" si="8"/>
        <v>3.5741158765989489E-2</v>
      </c>
      <c r="BG15" s="20">
        <f t="shared" si="8"/>
        <v>1.7596680876979187E-2</v>
      </c>
      <c r="BH15" s="20">
        <f t="shared" si="8"/>
        <v>1.177429677806896E-2</v>
      </c>
      <c r="BI15" s="21">
        <f t="shared" si="8"/>
        <v>8.8667500703545343E-3</v>
      </c>
      <c r="BJ15" s="21">
        <f t="shared" si="8"/>
        <v>1.0794002268510905E-2</v>
      </c>
      <c r="BK15" s="21">
        <f t="shared" si="8"/>
        <v>7.8524262032977354E-3</v>
      </c>
      <c r="BL15" s="21">
        <f t="shared" si="8"/>
        <v>1.2052607929659898E-2</v>
      </c>
      <c r="BM15" s="21">
        <f t="shared" si="8"/>
        <v>1.2401498476138695E-2</v>
      </c>
      <c r="BN15" s="21">
        <f t="shared" si="8"/>
        <v>4.4699914459402912E-3</v>
      </c>
      <c r="BO15" s="21">
        <f t="shared" si="8"/>
        <v>8.4305367470749459E-3</v>
      </c>
      <c r="BP15" s="21">
        <f t="shared" si="9"/>
        <v>7.9549924098856195E-3</v>
      </c>
      <c r="BQ15" s="21">
        <f t="shared" si="9"/>
        <v>1.2262621547873609E-2</v>
      </c>
      <c r="BR15" s="21">
        <f t="shared" si="9"/>
        <v>1.1858241910928768E-2</v>
      </c>
      <c r="BS15" s="21">
        <f t="shared" si="9"/>
        <v>1.1346779781278959E-2</v>
      </c>
      <c r="BT15" s="21">
        <f t="shared" si="9"/>
        <v>4.489162093584298E-3</v>
      </c>
      <c r="BU15" s="21">
        <f t="shared" si="9"/>
        <v>4.489162093584298E-3</v>
      </c>
      <c r="BV15" s="21">
        <f t="shared" si="9"/>
        <v>4.489162093584298E-3</v>
      </c>
      <c r="BW15" s="21">
        <f t="shared" si="9"/>
        <v>4.489162093584298E-3</v>
      </c>
      <c r="BX15" s="21">
        <f t="shared" si="9"/>
        <v>4.489162093584298E-3</v>
      </c>
      <c r="BY15" s="21">
        <f t="shared" si="9"/>
        <v>4.489162093584298E-3</v>
      </c>
      <c r="BZ15" s="21">
        <f t="shared" si="9"/>
        <v>4.489162093584298E-3</v>
      </c>
      <c r="CA15" s="21">
        <f t="shared" si="9"/>
        <v>4.489162093584298E-3</v>
      </c>
      <c r="CB15" s="21">
        <f t="shared" si="9"/>
        <v>4.489162093584298E-3</v>
      </c>
      <c r="CC15" s="21">
        <f t="shared" si="9"/>
        <v>4.489162093584298E-3</v>
      </c>
      <c r="CD15" s="21">
        <f t="shared" si="9"/>
        <v>4.489162093584298E-3</v>
      </c>
      <c r="CE15" s="21">
        <f t="shared" si="9"/>
        <v>4.489162093584298E-3</v>
      </c>
      <c r="CF15" s="21">
        <f t="shared" si="9"/>
        <v>4.489162093584298E-3</v>
      </c>
      <c r="CG15" s="21">
        <f t="shared" si="9"/>
        <v>4.489162093584298E-3</v>
      </c>
      <c r="CH15" s="21">
        <f t="shared" si="9"/>
        <v>4.489162093584298E-3</v>
      </c>
      <c r="CI15" s="21">
        <f t="shared" si="9"/>
        <v>4.489162093584298E-3</v>
      </c>
      <c r="CJ15" s="21"/>
      <c r="CK15" s="21"/>
    </row>
    <row r="16" spans="1:89" ht="15.75" thickBot="1" x14ac:dyDescent="0.3">
      <c r="A16" s="12" t="s">
        <v>19</v>
      </c>
      <c r="B16" s="22">
        <f>AVERAGE(B12:B15)</f>
        <v>2.453123607275905E-2</v>
      </c>
      <c r="C16" s="22">
        <f>AVERAGE(C12:C15)</f>
        <v>1.934323710621122E-2</v>
      </c>
      <c r="D16" s="22">
        <f>AVERAGE(D12:D15)</f>
        <v>1.4142911547502357E-2</v>
      </c>
      <c r="E16" s="22">
        <f t="shared" ref="E16:BP16" si="11">AVERAGE(E12:E15)</f>
        <v>2.3724660706262835E-2</v>
      </c>
      <c r="F16" s="22">
        <f t="shared" si="11"/>
        <v>1.7654756665162086E-2</v>
      </c>
      <c r="G16" s="22">
        <f t="shared" si="11"/>
        <v>1.1962796612090931E-2</v>
      </c>
      <c r="H16" s="22">
        <f t="shared" si="11"/>
        <v>2.2650109011746689E-2</v>
      </c>
      <c r="I16" s="22">
        <f t="shared" si="11"/>
        <v>2.7933479179663101E-2</v>
      </c>
      <c r="J16" s="22">
        <f t="shared" si="11"/>
        <v>2.6678085154130948E-2</v>
      </c>
      <c r="K16" s="22">
        <f t="shared" si="11"/>
        <v>2.0292274340713512E-2</v>
      </c>
      <c r="L16" s="22">
        <f t="shared" si="11"/>
        <v>2.4466869607274178E-2</v>
      </c>
      <c r="M16" s="22">
        <f t="shared" si="11"/>
        <v>2.3646755907426098E-2</v>
      </c>
      <c r="N16" s="22">
        <f t="shared" si="11"/>
        <v>2.8495774315287103E-2</v>
      </c>
      <c r="O16" s="22">
        <f t="shared" si="11"/>
        <v>3.4411819473897154E-2</v>
      </c>
      <c r="P16" s="22">
        <f t="shared" si="11"/>
        <v>2.4055720813189352E-2</v>
      </c>
      <c r="Q16" s="22">
        <f t="shared" si="11"/>
        <v>2.3309847854796339E-2</v>
      </c>
      <c r="R16" s="22">
        <f t="shared" si="11"/>
        <v>2.3974227392176473E-2</v>
      </c>
      <c r="S16" s="22">
        <f t="shared" si="11"/>
        <v>9.1795833403522931E-3</v>
      </c>
      <c r="T16" s="22">
        <f t="shared" si="11"/>
        <v>2.7649459889218353E-2</v>
      </c>
      <c r="U16" s="22">
        <f t="shared" si="11"/>
        <v>2.2557246050994573E-2</v>
      </c>
      <c r="V16" s="22">
        <f t="shared" si="11"/>
        <v>1.7355863893024237E-2</v>
      </c>
      <c r="W16" s="22">
        <f t="shared" si="11"/>
        <v>1.1802705886050036E-2</v>
      </c>
      <c r="X16" s="22">
        <f t="shared" si="11"/>
        <v>1.8308364554026069E-2</v>
      </c>
      <c r="Y16" s="22">
        <f t="shared" si="11"/>
        <v>1.9003204544121688E-2</v>
      </c>
      <c r="Z16" s="22">
        <f t="shared" si="11"/>
        <v>1.5733388817840643E-2</v>
      </c>
      <c r="AA16" s="22">
        <f t="shared" si="11"/>
        <v>1.1054524745714223E-2</v>
      </c>
      <c r="AB16" s="22">
        <f t="shared" si="11"/>
        <v>1.0652533792334551E-2</v>
      </c>
      <c r="AC16" s="22">
        <f t="shared" si="11"/>
        <v>1.6215301557085116E-2</v>
      </c>
      <c r="AD16" s="22">
        <f t="shared" si="11"/>
        <v>1.2240262000737356E-2</v>
      </c>
      <c r="AE16" s="22">
        <f t="shared" si="11"/>
        <v>1.5385337949440359E-2</v>
      </c>
      <c r="AF16" s="22">
        <f t="shared" si="11"/>
        <v>1.0476795901861014E-2</v>
      </c>
      <c r="AG16" s="22">
        <f t="shared" si="11"/>
        <v>1.5321063317506323E-2</v>
      </c>
      <c r="AH16" s="22">
        <f t="shared" si="11"/>
        <v>1.4982350499837205E-2</v>
      </c>
      <c r="AI16" s="22">
        <f t="shared" si="11"/>
        <v>1.4737675162280028E-2</v>
      </c>
      <c r="AJ16" s="22">
        <f t="shared" si="11"/>
        <v>1.5929661897037983E-2</v>
      </c>
      <c r="AK16" s="22">
        <f t="shared" si="11"/>
        <v>1.3278664994748945E-2</v>
      </c>
      <c r="AL16" s="22">
        <f t="shared" si="11"/>
        <v>5.3526324174280326E-3</v>
      </c>
      <c r="AM16" s="22">
        <f t="shared" si="11"/>
        <v>9.2730682802840692E-3</v>
      </c>
      <c r="AN16" s="22">
        <f t="shared" si="11"/>
        <v>1.5702834904675778E-2</v>
      </c>
      <c r="AO16" s="22">
        <f t="shared" si="11"/>
        <v>1.5663427183962964E-2</v>
      </c>
      <c r="AP16" s="22">
        <f t="shared" si="11"/>
        <v>1.5543060869940339E-2</v>
      </c>
      <c r="AQ16" s="22">
        <f t="shared" si="11"/>
        <v>1.3170929932499076E-2</v>
      </c>
      <c r="AR16" s="22">
        <f t="shared" si="11"/>
        <v>1.1817918695948559E-2</v>
      </c>
      <c r="AS16" s="22">
        <f t="shared" si="11"/>
        <v>-1.7593302069059402E-3</v>
      </c>
      <c r="AT16" s="22">
        <f t="shared" si="11"/>
        <v>7.8189577146356437E-4</v>
      </c>
      <c r="AU16" s="22">
        <f t="shared" si="11"/>
        <v>1.105133847250156E-2</v>
      </c>
      <c r="AV16" s="22">
        <f t="shared" si="11"/>
        <v>8.5991318874087397E-3</v>
      </c>
      <c r="AW16" s="22">
        <f t="shared" si="11"/>
        <v>9.0054817532309039E-3</v>
      </c>
      <c r="AX16" s="22">
        <f t="shared" si="11"/>
        <v>1.1553552354244823E-2</v>
      </c>
      <c r="AY16" s="22">
        <f t="shared" si="11"/>
        <v>1.0338512102607889E-2</v>
      </c>
      <c r="AZ16" s="22">
        <f t="shared" si="11"/>
        <v>7.227599239851612E-3</v>
      </c>
      <c r="BA16" s="22">
        <f t="shared" si="11"/>
        <v>8.7597785458580768E-3</v>
      </c>
      <c r="BB16" s="22">
        <f t="shared" si="11"/>
        <v>1.2192853651088076E-2</v>
      </c>
      <c r="BC16" s="22">
        <f t="shared" si="11"/>
        <v>1.081821357563173E-2</v>
      </c>
      <c r="BD16" s="22">
        <f t="shared" si="11"/>
        <v>1.1922333818618458E-2</v>
      </c>
      <c r="BE16" s="22">
        <f t="shared" si="11"/>
        <v>3.4006308695688492E-3</v>
      </c>
      <c r="BF16" s="22">
        <f t="shared" si="11"/>
        <v>2.9370793725102207E-2</v>
      </c>
      <c r="BG16" s="22">
        <f t="shared" si="11"/>
        <v>1.9192614008156805E-2</v>
      </c>
      <c r="BH16" s="22">
        <f t="shared" si="11"/>
        <v>1.4308653382365866E-2</v>
      </c>
      <c r="BI16" s="23">
        <f t="shared" si="11"/>
        <v>4.4605953951288302E-3</v>
      </c>
      <c r="BJ16" s="23">
        <f t="shared" si="11"/>
        <v>1.0490975456068641E-2</v>
      </c>
      <c r="BK16" s="23">
        <f t="shared" si="11"/>
        <v>9.4134906174931365E-3</v>
      </c>
      <c r="BL16" s="23">
        <f t="shared" si="11"/>
        <v>1.076389311617576E-2</v>
      </c>
      <c r="BM16" s="23">
        <f t="shared" si="11"/>
        <v>1.0912721979373152E-2</v>
      </c>
      <c r="BN16" s="23">
        <f t="shared" si="11"/>
        <v>5.8268310248429933E-3</v>
      </c>
      <c r="BO16" s="23">
        <f t="shared" si="11"/>
        <v>6.5570875700273756E-3</v>
      </c>
      <c r="BP16" s="23">
        <f t="shared" si="11"/>
        <v>8.9486456663106506E-3</v>
      </c>
      <c r="BQ16" s="23">
        <f t="shared" ref="BQ16:CI16" si="12">AVERAGE(BQ12:BQ15)</f>
        <v>1.0925615012450818E-2</v>
      </c>
      <c r="BR16" s="23">
        <f t="shared" si="12"/>
        <v>1.0761505671476879E-2</v>
      </c>
      <c r="BS16" s="23">
        <f t="shared" si="12"/>
        <v>1.1582394398324591E-2</v>
      </c>
      <c r="BT16" s="23">
        <f t="shared" si="12"/>
        <v>7.0774196404465584E-3</v>
      </c>
      <c r="BU16" s="23">
        <f t="shared" si="12"/>
        <v>6.7559672802974813E-5</v>
      </c>
      <c r="BV16" s="23">
        <f t="shared" si="12"/>
        <v>6.7559672802974813E-5</v>
      </c>
      <c r="BW16" s="23">
        <f t="shared" si="12"/>
        <v>6.7559672802974813E-5</v>
      </c>
      <c r="BX16" s="23">
        <f t="shared" si="12"/>
        <v>6.7559672802974813E-5</v>
      </c>
      <c r="BY16" s="23">
        <f t="shared" si="12"/>
        <v>6.7559672802974813E-5</v>
      </c>
      <c r="BZ16" s="23">
        <f t="shared" si="12"/>
        <v>6.7559672802974813E-5</v>
      </c>
      <c r="CA16" s="23">
        <f t="shared" si="12"/>
        <v>6.7559672802974813E-5</v>
      </c>
      <c r="CB16" s="23">
        <f t="shared" si="12"/>
        <v>6.7559672802974813E-5</v>
      </c>
      <c r="CC16" s="23">
        <f t="shared" si="12"/>
        <v>6.7559672802974813E-5</v>
      </c>
      <c r="CD16" s="23">
        <f t="shared" si="12"/>
        <v>6.7559672802974813E-5</v>
      </c>
      <c r="CE16" s="23">
        <f t="shared" si="12"/>
        <v>6.7559672802974813E-5</v>
      </c>
      <c r="CF16" s="23">
        <f t="shared" si="12"/>
        <v>6.7559672802974813E-5</v>
      </c>
      <c r="CG16" s="23">
        <f t="shared" si="12"/>
        <v>6.7559672802974813E-5</v>
      </c>
      <c r="CH16" s="23">
        <f t="shared" si="12"/>
        <v>6.7559672802974813E-5</v>
      </c>
      <c r="CI16" s="23">
        <f t="shared" si="12"/>
        <v>6.7559672802974813E-5</v>
      </c>
      <c r="CJ16" s="23"/>
      <c r="CK16" s="23"/>
    </row>
    <row r="17" spans="1:9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</row>
    <row r="18" spans="1:91" ht="15.75" thickBot="1" x14ac:dyDescent="0.3">
      <c r="A18" s="12" t="s">
        <v>22</v>
      </c>
    </row>
    <row r="19" spans="1:91" ht="16.5" thickBot="1" x14ac:dyDescent="0.3">
      <c r="B19" s="10">
        <f>B3</f>
        <v>1965</v>
      </c>
      <c r="C19" s="10">
        <f t="shared" ref="C19:BN19" si="13">C3</f>
        <v>1966</v>
      </c>
      <c r="D19" s="10">
        <f t="shared" si="13"/>
        <v>1967</v>
      </c>
      <c r="E19" s="10">
        <f t="shared" si="13"/>
        <v>1968</v>
      </c>
      <c r="F19" s="10">
        <f t="shared" si="13"/>
        <v>1969</v>
      </c>
      <c r="G19" s="10">
        <f t="shared" si="13"/>
        <v>1970</v>
      </c>
      <c r="H19" s="10">
        <f t="shared" si="13"/>
        <v>1971</v>
      </c>
      <c r="I19" s="10">
        <f t="shared" si="13"/>
        <v>1972</v>
      </c>
      <c r="J19" s="10">
        <f t="shared" si="13"/>
        <v>1973</v>
      </c>
      <c r="K19" s="10">
        <f t="shared" si="13"/>
        <v>1974</v>
      </c>
      <c r="L19" s="10">
        <f t="shared" si="13"/>
        <v>1975</v>
      </c>
      <c r="M19" s="10">
        <f t="shared" si="13"/>
        <v>1976</v>
      </c>
      <c r="N19" s="10">
        <f t="shared" si="13"/>
        <v>1977</v>
      </c>
      <c r="O19" s="10">
        <f t="shared" si="13"/>
        <v>1978</v>
      </c>
      <c r="P19" s="10">
        <f t="shared" si="13"/>
        <v>1979</v>
      </c>
      <c r="Q19" s="10">
        <f t="shared" si="13"/>
        <v>1980</v>
      </c>
      <c r="R19" s="10">
        <f t="shared" si="13"/>
        <v>1981</v>
      </c>
      <c r="S19" s="10">
        <f t="shared" si="13"/>
        <v>1982</v>
      </c>
      <c r="T19" s="10">
        <f t="shared" si="13"/>
        <v>1983</v>
      </c>
      <c r="U19" s="10">
        <f t="shared" si="13"/>
        <v>1984</v>
      </c>
      <c r="V19" s="10">
        <f t="shared" si="13"/>
        <v>1985</v>
      </c>
      <c r="W19" s="10">
        <f t="shared" si="13"/>
        <v>1986</v>
      </c>
      <c r="X19" s="10">
        <f t="shared" si="13"/>
        <v>1987</v>
      </c>
      <c r="Y19" s="10">
        <f t="shared" si="13"/>
        <v>1988</v>
      </c>
      <c r="Z19" s="10">
        <f t="shared" si="13"/>
        <v>1989</v>
      </c>
      <c r="AA19" s="10">
        <f t="shared" si="13"/>
        <v>1990</v>
      </c>
      <c r="AB19" s="10">
        <f t="shared" si="13"/>
        <v>1991</v>
      </c>
      <c r="AC19" s="10">
        <f t="shared" si="13"/>
        <v>1992</v>
      </c>
      <c r="AD19" s="10">
        <f t="shared" si="13"/>
        <v>1993</v>
      </c>
      <c r="AE19" s="10">
        <f t="shared" si="13"/>
        <v>1994</v>
      </c>
      <c r="AF19" s="10">
        <f t="shared" si="13"/>
        <v>1995</v>
      </c>
      <c r="AG19" s="10">
        <f t="shared" si="13"/>
        <v>1996</v>
      </c>
      <c r="AH19" s="10">
        <f t="shared" si="13"/>
        <v>1997</v>
      </c>
      <c r="AI19" s="10">
        <f t="shared" si="13"/>
        <v>1998</v>
      </c>
      <c r="AJ19" s="10">
        <f t="shared" si="13"/>
        <v>1999</v>
      </c>
      <c r="AK19" s="10">
        <f t="shared" si="13"/>
        <v>2000</v>
      </c>
      <c r="AL19" s="10">
        <f t="shared" si="13"/>
        <v>2001</v>
      </c>
      <c r="AM19" s="10">
        <f t="shared" si="13"/>
        <v>2002</v>
      </c>
      <c r="AN19" s="10">
        <f t="shared" si="13"/>
        <v>2003</v>
      </c>
      <c r="AO19" s="10">
        <f t="shared" si="13"/>
        <v>2004</v>
      </c>
      <c r="AP19" s="10">
        <f t="shared" si="13"/>
        <v>2005</v>
      </c>
      <c r="AQ19" s="10">
        <f t="shared" si="13"/>
        <v>2006</v>
      </c>
      <c r="AR19" s="10">
        <f t="shared" si="13"/>
        <v>2007</v>
      </c>
      <c r="AS19" s="10">
        <f t="shared" si="13"/>
        <v>2008</v>
      </c>
      <c r="AT19" s="10">
        <f t="shared" si="13"/>
        <v>2009</v>
      </c>
      <c r="AU19" s="10">
        <f t="shared" si="13"/>
        <v>2010</v>
      </c>
      <c r="AV19" s="10">
        <f t="shared" si="13"/>
        <v>2011</v>
      </c>
      <c r="AW19" s="10">
        <f t="shared" si="13"/>
        <v>2012</v>
      </c>
      <c r="AX19" s="10">
        <f t="shared" si="13"/>
        <v>2013</v>
      </c>
      <c r="AY19" s="10">
        <f t="shared" si="13"/>
        <v>2014</v>
      </c>
      <c r="AZ19" s="10">
        <f t="shared" si="13"/>
        <v>2015</v>
      </c>
      <c r="BA19" s="10">
        <f t="shared" si="13"/>
        <v>2016</v>
      </c>
      <c r="BB19" s="10">
        <f t="shared" si="13"/>
        <v>2017</v>
      </c>
      <c r="BC19" s="10">
        <f t="shared" si="13"/>
        <v>2018</v>
      </c>
      <c r="BD19" s="10">
        <f t="shared" si="13"/>
        <v>2019</v>
      </c>
      <c r="BE19" s="10">
        <f t="shared" si="13"/>
        <v>2020</v>
      </c>
      <c r="BF19" s="10">
        <f t="shared" si="13"/>
        <v>2021</v>
      </c>
      <c r="BG19" s="10">
        <f t="shared" si="13"/>
        <v>2022</v>
      </c>
      <c r="BH19" s="10">
        <f t="shared" si="13"/>
        <v>2023</v>
      </c>
      <c r="BI19" s="10">
        <f t="shared" si="13"/>
        <v>2024</v>
      </c>
      <c r="BJ19" s="10">
        <f t="shared" si="13"/>
        <v>2025</v>
      </c>
      <c r="BK19" s="10">
        <f t="shared" si="13"/>
        <v>2026</v>
      </c>
      <c r="BL19" s="10">
        <f t="shared" si="13"/>
        <v>2027</v>
      </c>
      <c r="BM19" s="10">
        <f t="shared" si="13"/>
        <v>2028</v>
      </c>
      <c r="BN19" s="10">
        <f t="shared" si="13"/>
        <v>2029</v>
      </c>
      <c r="BO19" s="10">
        <f t="shared" ref="BO19:CI19" si="14">BO3</f>
        <v>2030</v>
      </c>
      <c r="BP19" s="10">
        <f t="shared" si="14"/>
        <v>2031</v>
      </c>
      <c r="BQ19" s="10">
        <f t="shared" si="14"/>
        <v>2032</v>
      </c>
      <c r="BR19" s="10">
        <f t="shared" si="14"/>
        <v>2033</v>
      </c>
      <c r="BS19" s="10">
        <f t="shared" si="14"/>
        <v>2034</v>
      </c>
      <c r="BT19" s="10">
        <f t="shared" si="14"/>
        <v>2035</v>
      </c>
      <c r="BU19" s="10">
        <f t="shared" si="14"/>
        <v>2036</v>
      </c>
      <c r="BV19" s="10">
        <f t="shared" si="14"/>
        <v>2037</v>
      </c>
      <c r="BW19" s="10">
        <f t="shared" si="14"/>
        <v>2038</v>
      </c>
      <c r="BX19" s="10">
        <f t="shared" si="14"/>
        <v>2039</v>
      </c>
      <c r="BY19" s="10">
        <f t="shared" si="14"/>
        <v>2040</v>
      </c>
      <c r="BZ19" s="10">
        <f t="shared" si="14"/>
        <v>2041</v>
      </c>
      <c r="CA19" s="10">
        <f t="shared" si="14"/>
        <v>2042</v>
      </c>
      <c r="CB19" s="10">
        <f t="shared" si="14"/>
        <v>2043</v>
      </c>
      <c r="CC19" s="10">
        <f t="shared" si="14"/>
        <v>2044</v>
      </c>
      <c r="CD19" s="10">
        <f t="shared" si="14"/>
        <v>2045</v>
      </c>
      <c r="CE19" s="10">
        <f t="shared" si="14"/>
        <v>2046</v>
      </c>
      <c r="CF19" s="10">
        <f t="shared" si="14"/>
        <v>2047</v>
      </c>
      <c r="CG19" s="10">
        <f t="shared" si="14"/>
        <v>2048</v>
      </c>
      <c r="CH19" s="10">
        <f t="shared" si="14"/>
        <v>2049</v>
      </c>
      <c r="CI19" s="10">
        <f t="shared" si="14"/>
        <v>2050</v>
      </c>
      <c r="CJ19" s="11"/>
      <c r="CK19" s="11"/>
    </row>
    <row r="20" spans="1:91" ht="15.75" x14ac:dyDescent="0.25">
      <c r="A20" s="24" t="s">
        <v>23</v>
      </c>
      <c r="B20" s="25">
        <v>53226</v>
      </c>
      <c r="C20" s="26"/>
      <c r="D20" s="26"/>
      <c r="E20" s="26"/>
      <c r="F20" s="26"/>
      <c r="G20" s="25">
        <v>108442</v>
      </c>
      <c r="H20" s="26"/>
      <c r="I20" s="26"/>
      <c r="J20" s="26"/>
      <c r="K20" s="26"/>
      <c r="L20" s="25">
        <v>119591.474</v>
      </c>
      <c r="M20" s="26"/>
      <c r="N20" s="26"/>
      <c r="O20" s="26"/>
      <c r="P20" s="26"/>
      <c r="Q20" s="25">
        <v>190765.929</v>
      </c>
      <c r="R20" s="26"/>
      <c r="S20" s="26"/>
      <c r="T20" s="26"/>
      <c r="U20" s="26"/>
      <c r="V20" s="25">
        <v>275863.54700000002</v>
      </c>
      <c r="W20" s="26"/>
      <c r="X20" s="26"/>
      <c r="Y20" s="26"/>
      <c r="Z20" s="26"/>
      <c r="AA20" s="25">
        <v>337215.22553599998</v>
      </c>
      <c r="AB20" s="25">
        <v>329787.96750099998</v>
      </c>
      <c r="AC20" s="25">
        <v>345019.61278099997</v>
      </c>
      <c r="AD20" s="25">
        <v>351096.458323</v>
      </c>
      <c r="AE20" s="25">
        <v>376873.402328</v>
      </c>
      <c r="AF20" s="25">
        <v>391593.82941200002</v>
      </c>
      <c r="AG20" s="25">
        <v>419281.55251800001</v>
      </c>
      <c r="AH20" s="25">
        <v>439262.67014</v>
      </c>
      <c r="AI20" s="25">
        <v>449103.79910300003</v>
      </c>
      <c r="AJ20" s="25">
        <v>473081.98319599999</v>
      </c>
      <c r="AK20" s="25">
        <v>500431.77514500002</v>
      </c>
      <c r="AL20" s="25">
        <v>473591.64681000001</v>
      </c>
      <c r="AM20" s="25">
        <v>472190.76637199998</v>
      </c>
      <c r="AN20" s="25">
        <v>497648.14399399998</v>
      </c>
      <c r="AO20" s="25">
        <v>547931.15319800004</v>
      </c>
      <c r="AP20" s="25">
        <v>572868.82004599995</v>
      </c>
      <c r="AQ20" s="25">
        <v>576823.04937200004</v>
      </c>
      <c r="AR20" s="25">
        <v>594614.09036200005</v>
      </c>
      <c r="AS20" s="25">
        <v>570089.94696500001</v>
      </c>
      <c r="AT20" s="25">
        <v>540693.68270899996</v>
      </c>
      <c r="AU20" s="25">
        <v>554710.522322</v>
      </c>
      <c r="AV20" s="25">
        <v>565613.64535799995</v>
      </c>
      <c r="AW20" s="25">
        <v>570438.230553</v>
      </c>
      <c r="AX20" s="25">
        <v>579461.44977599999</v>
      </c>
      <c r="AY20" s="25">
        <v>597005.00355200004</v>
      </c>
      <c r="AZ20" s="25">
        <v>632154.82412700006</v>
      </c>
      <c r="BA20" s="25">
        <v>661477.92748199997</v>
      </c>
      <c r="BB20" s="25">
        <v>685472.464806</v>
      </c>
      <c r="BC20" s="25">
        <v>722415.33364099998</v>
      </c>
      <c r="BD20" s="25">
        <v>754450.05571900005</v>
      </c>
      <c r="BE20" s="25">
        <v>306058.02996800002</v>
      </c>
      <c r="BF20" s="25">
        <v>573403.84113099996</v>
      </c>
      <c r="BG20" s="25">
        <v>708959.95827800001</v>
      </c>
      <c r="BH20" s="25">
        <v>773411.55941999995</v>
      </c>
      <c r="BI20" s="27">
        <f>BH20*1.016</f>
        <v>785786.14437071991</v>
      </c>
      <c r="BJ20" s="27">
        <f t="shared" ref="BJ20:CI20" si="15">BI20*1.027</f>
        <v>807002.37026872928</v>
      </c>
      <c r="BK20" s="27">
        <f t="shared" si="15"/>
        <v>828791.43426598492</v>
      </c>
      <c r="BL20" s="27">
        <f t="shared" si="15"/>
        <v>851168.80299116648</v>
      </c>
      <c r="BM20" s="27">
        <f t="shared" si="15"/>
        <v>874150.36067192792</v>
      </c>
      <c r="BN20" s="27">
        <f t="shared" si="15"/>
        <v>897752.42041006987</v>
      </c>
      <c r="BO20" s="27">
        <f t="shared" si="15"/>
        <v>921991.73576114164</v>
      </c>
      <c r="BP20" s="27">
        <f t="shared" si="15"/>
        <v>946885.51262669242</v>
      </c>
      <c r="BQ20" s="27">
        <f t="shared" si="15"/>
        <v>972451.42146761308</v>
      </c>
      <c r="BR20" s="27">
        <f t="shared" si="15"/>
        <v>998707.60984723852</v>
      </c>
      <c r="BS20" s="27">
        <f t="shared" si="15"/>
        <v>1025672.7153131139</v>
      </c>
      <c r="BT20" s="27">
        <f t="shared" si="15"/>
        <v>1053365.8786265678</v>
      </c>
      <c r="BU20" s="27">
        <f t="shared" si="15"/>
        <v>1081806.7573494851</v>
      </c>
      <c r="BV20" s="27">
        <f t="shared" si="15"/>
        <v>1111015.539797921</v>
      </c>
      <c r="BW20" s="27">
        <f t="shared" si="15"/>
        <v>1141012.9593724648</v>
      </c>
      <c r="BX20" s="27">
        <f t="shared" si="15"/>
        <v>1171820.3092755212</v>
      </c>
      <c r="BY20" s="27">
        <f t="shared" si="15"/>
        <v>1203459.4576259602</v>
      </c>
      <c r="BZ20" s="27">
        <f t="shared" si="15"/>
        <v>1235952.862981861</v>
      </c>
      <c r="CA20" s="27">
        <f t="shared" si="15"/>
        <v>1269323.590282371</v>
      </c>
      <c r="CB20" s="27">
        <f t="shared" si="15"/>
        <v>1303595.327219995</v>
      </c>
      <c r="CC20" s="27">
        <f t="shared" si="15"/>
        <v>1338792.4010549348</v>
      </c>
      <c r="CD20" s="27">
        <f t="shared" si="15"/>
        <v>1374939.7958834181</v>
      </c>
      <c r="CE20" s="27">
        <f t="shared" si="15"/>
        <v>1412063.1703722703</v>
      </c>
      <c r="CF20" s="27">
        <f t="shared" si="15"/>
        <v>1450188.8759723215</v>
      </c>
      <c r="CG20" s="27">
        <f t="shared" si="15"/>
        <v>1489343.9756235741</v>
      </c>
      <c r="CH20" s="27">
        <f t="shared" si="15"/>
        <v>1529556.2629654105</v>
      </c>
      <c r="CI20" s="27">
        <f t="shared" si="15"/>
        <v>1570854.2820654765</v>
      </c>
      <c r="CJ20" s="27"/>
      <c r="CK20" s="27"/>
      <c r="CM20" t="s">
        <v>24</v>
      </c>
    </row>
    <row r="21" spans="1:91" x14ac:dyDescent="0.25">
      <c r="A21" s="28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</row>
    <row r="22" spans="1:91" x14ac:dyDescent="0.25">
      <c r="A22" s="30" t="s">
        <v>25</v>
      </c>
      <c r="AA22" s="29">
        <v>99792</v>
      </c>
      <c r="AB22" s="29">
        <v>100166</v>
      </c>
      <c r="AC22" s="29">
        <v>101465</v>
      </c>
      <c r="AD22" s="29">
        <v>108854</v>
      </c>
      <c r="AE22" s="29">
        <v>116275</v>
      </c>
      <c r="AF22" s="29">
        <v>116492</v>
      </c>
      <c r="AG22" s="29">
        <v>121758.7273</v>
      </c>
      <c r="AH22" s="29">
        <v>126830.53287200001</v>
      </c>
      <c r="AI22" s="29">
        <v>129989.38218325401</v>
      </c>
      <c r="AJ22" s="29">
        <v>143037.46203487608</v>
      </c>
      <c r="AK22" s="29">
        <v>141331.7671156849</v>
      </c>
      <c r="AL22" s="29">
        <v>129646.68645014966</v>
      </c>
      <c r="AM22" s="29">
        <v>124606.13185429553</v>
      </c>
      <c r="AN22" s="29">
        <v>123757.41139621758</v>
      </c>
      <c r="AO22" s="29">
        <v>124390.5181900022</v>
      </c>
      <c r="AP22" s="29">
        <v>127655.58792172259</v>
      </c>
      <c r="AQ22" s="29">
        <v>122508.47323663282</v>
      </c>
      <c r="AR22" s="29">
        <v>286431.70120000001</v>
      </c>
      <c r="AS22" s="29">
        <v>292075.290018</v>
      </c>
      <c r="AT22" s="29">
        <v>282865.28601436689</v>
      </c>
      <c r="AU22" s="29">
        <v>270344.2606625912</v>
      </c>
      <c r="AV22" s="29">
        <v>271150.55391375569</v>
      </c>
      <c r="AW22" s="29">
        <v>291201.84246469656</v>
      </c>
      <c r="AX22" s="29">
        <v>299273.23993402399</v>
      </c>
      <c r="AY22" s="29">
        <v>316726.32030126388</v>
      </c>
      <c r="AZ22" s="29">
        <v>322962.55593409849</v>
      </c>
      <c r="BA22" s="29">
        <v>325179.64792415383</v>
      </c>
      <c r="BB22" s="29">
        <v>344992.9126821332</v>
      </c>
      <c r="BC22" s="29">
        <v>368430.10266490339</v>
      </c>
      <c r="BD22" s="29">
        <v>361844.28941487317</v>
      </c>
      <c r="BE22" s="29">
        <v>305419.50345478667</v>
      </c>
      <c r="BF22" s="29">
        <v>345697.34487118549</v>
      </c>
      <c r="BG22" s="29">
        <v>380414.45419919386</v>
      </c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</row>
    <row r="23" spans="1:91" x14ac:dyDescent="0.25">
      <c r="A23" s="30" t="s">
        <v>26</v>
      </c>
      <c r="AA23" s="29">
        <v>2281390.92</v>
      </c>
      <c r="AB23" s="29">
        <v>2200259.7000000002</v>
      </c>
      <c r="AC23" s="29">
        <v>2208226.09</v>
      </c>
      <c r="AD23" s="29">
        <v>2213281.4900000002</v>
      </c>
      <c r="AE23" s="29">
        <v>2756223</v>
      </c>
      <c r="AF23" s="29">
        <v>2286887</v>
      </c>
      <c r="AG23" s="29">
        <v>2337068</v>
      </c>
      <c r="AH23" s="29">
        <v>2389065</v>
      </c>
      <c r="AI23" s="29">
        <v>2463828.420042248</v>
      </c>
      <c r="AJ23" s="29">
        <v>2495140.3026243281</v>
      </c>
      <c r="AK23" s="29">
        <v>2544457.3524414399</v>
      </c>
      <c r="AL23" s="29">
        <v>2556481.2400000002</v>
      </c>
      <c r="AM23" s="29">
        <v>2620388.92</v>
      </c>
      <c r="AN23" s="29">
        <v>2641885.0920744999</v>
      </c>
      <c r="AO23" s="29">
        <v>2685826.6531088967</v>
      </c>
      <c r="AP23" s="29">
        <v>2699304.6428176584</v>
      </c>
      <c r="AQ23" s="29">
        <v>2671044.2305259043</v>
      </c>
      <c r="AR23" s="29">
        <v>3324977</v>
      </c>
      <c r="AS23" s="29">
        <v>3199116</v>
      </c>
      <c r="AT23" s="29">
        <v>3413874.6951679634</v>
      </c>
      <c r="AU23" s="29">
        <v>3429995.6410861243</v>
      </c>
      <c r="AV23" s="29">
        <v>3464405.2296386864</v>
      </c>
      <c r="AW23" s="29">
        <v>3490438.2857423411</v>
      </c>
      <c r="AX23" s="29">
        <v>3507723.0973114655</v>
      </c>
      <c r="AY23" s="29">
        <v>3502000.6903627221</v>
      </c>
      <c r="AZ23" s="29">
        <v>3628378.8815517384</v>
      </c>
      <c r="BA23" s="29">
        <v>3699794.4380078609</v>
      </c>
      <c r="BB23" s="29">
        <v>3709919.1961312541</v>
      </c>
      <c r="BC23" s="29">
        <v>3729610.234329388</v>
      </c>
      <c r="BD23" s="29">
        <v>3765896.0121443863</v>
      </c>
      <c r="BE23" s="29">
        <v>3225113.8011595304</v>
      </c>
      <c r="BF23" s="29">
        <v>3471196.0905209668</v>
      </c>
      <c r="BG23" s="29">
        <v>3284668.705926788</v>
      </c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</row>
    <row r="24" spans="1:91" x14ac:dyDescent="0.25">
      <c r="A24" s="30" t="s">
        <v>27</v>
      </c>
      <c r="AA24" s="29">
        <v>999753.54</v>
      </c>
      <c r="AB24" s="29">
        <v>1116957.68</v>
      </c>
      <c r="AC24" s="29">
        <v>1201667.1000000001</v>
      </c>
      <c r="AD24" s="29">
        <v>1252860</v>
      </c>
      <c r="AE24" s="29">
        <v>885897</v>
      </c>
      <c r="AF24" s="29">
        <v>1256146</v>
      </c>
      <c r="AG24" s="29">
        <v>1298299</v>
      </c>
      <c r="AH24" s="29">
        <v>1352675</v>
      </c>
      <c r="AI24" s="29">
        <v>1380557.2397938734</v>
      </c>
      <c r="AJ24" s="29">
        <v>1432782.3794077854</v>
      </c>
      <c r="AK24" s="29">
        <v>1467663.7991499156</v>
      </c>
      <c r="AL24" s="29">
        <v>1678852.5595885422</v>
      </c>
      <c r="AM24" s="29">
        <v>1674791.8930520001</v>
      </c>
      <c r="AN24" s="29">
        <v>1706102.912463947</v>
      </c>
      <c r="AO24" s="29">
        <v>1780771.1384466074</v>
      </c>
      <c r="AP24" s="29">
        <v>1804848.0064037023</v>
      </c>
      <c r="AQ24" s="29">
        <v>1876689.847532914</v>
      </c>
      <c r="AR24" s="29">
        <v>1017007</v>
      </c>
      <c r="AS24" s="29">
        <v>1049667</v>
      </c>
      <c r="AT24" s="29">
        <v>991383.33848368167</v>
      </c>
      <c r="AU24" s="29">
        <v>1001455.7277059199</v>
      </c>
      <c r="AV24" s="29">
        <v>972382.44726826402</v>
      </c>
      <c r="AW24" s="29">
        <v>970669.41516661318</v>
      </c>
      <c r="AX24" s="29">
        <v>977476.62107445241</v>
      </c>
      <c r="AY24" s="29">
        <v>1037129.0861966583</v>
      </c>
      <c r="AZ24" s="29">
        <v>1028773.6840018815</v>
      </c>
      <c r="BA24" s="29">
        <v>1075233.5052042801</v>
      </c>
      <c r="BB24" s="29">
        <v>1106303.4454204475</v>
      </c>
      <c r="BC24" s="29">
        <v>1119644.0825954296</v>
      </c>
      <c r="BD24" s="29">
        <v>1128488.8887035879</v>
      </c>
      <c r="BE24" s="29">
        <v>1085129.151521432</v>
      </c>
      <c r="BF24" s="29">
        <v>1168120.1523734201</v>
      </c>
      <c r="BG24" s="29">
        <v>1007240.09337026</v>
      </c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</row>
    <row r="25" spans="1:91" x14ac:dyDescent="0.25">
      <c r="A25" s="30" t="s">
        <v>28</v>
      </c>
      <c r="AA25" s="29">
        <v>12424.1</v>
      </c>
      <c r="AB25" s="29">
        <v>11656.06</v>
      </c>
      <c r="AC25" s="29">
        <v>11946.25</v>
      </c>
      <c r="AD25" s="29">
        <v>12184.38</v>
      </c>
      <c r="AE25" s="29">
        <v>11264</v>
      </c>
      <c r="AF25" s="29">
        <v>10777</v>
      </c>
      <c r="AG25" s="29">
        <v>10912</v>
      </c>
      <c r="AH25" s="29">
        <v>11089</v>
      </c>
      <c r="AI25" s="29">
        <v>11311.197996230532</v>
      </c>
      <c r="AJ25" s="29">
        <v>11642.295010415633</v>
      </c>
      <c r="AK25" s="29">
        <v>11515.796151175477</v>
      </c>
      <c r="AL25" s="29">
        <v>11759.58</v>
      </c>
      <c r="AM25" s="29">
        <v>12131.04</v>
      </c>
      <c r="AN25" s="29">
        <v>12162.999800241942</v>
      </c>
      <c r="AO25" s="29">
        <v>12855.361903711795</v>
      </c>
      <c r="AP25" s="29">
        <v>13276.957048550581</v>
      </c>
      <c r="AQ25" s="29">
        <v>15302.837710775921</v>
      </c>
      <c r="AR25" s="29">
        <v>27173</v>
      </c>
      <c r="AS25" s="29">
        <v>26430</v>
      </c>
      <c r="AT25" s="29">
        <v>24162.284984465721</v>
      </c>
      <c r="AU25" s="29">
        <v>21482.715623236356</v>
      </c>
      <c r="AV25" s="29">
        <v>21516.752486125952</v>
      </c>
      <c r="AW25" s="29">
        <v>24815.916143547372</v>
      </c>
      <c r="AX25" s="29">
        <v>23633.293571165999</v>
      </c>
      <c r="AY25" s="29">
        <v>23173.173385423503</v>
      </c>
      <c r="AZ25" s="29">
        <v>22751.532128664399</v>
      </c>
      <c r="BA25" s="29">
        <v>23725.111955421387</v>
      </c>
      <c r="BB25" s="29">
        <v>23381.622003386132</v>
      </c>
      <c r="BC25" s="29">
        <v>23296.76856786057</v>
      </c>
      <c r="BD25" s="29">
        <v>22846.373475193806</v>
      </c>
      <c r="BE25" s="29">
        <v>21617.631727385826</v>
      </c>
      <c r="BF25" s="29">
        <v>23658.62164138829</v>
      </c>
      <c r="BG25" s="29">
        <v>24369.327208820261</v>
      </c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</row>
    <row r="26" spans="1:91" x14ac:dyDescent="0.25">
      <c r="A26" s="30" t="s">
        <v>29</v>
      </c>
      <c r="AA26" s="29">
        <v>51901</v>
      </c>
      <c r="AB26" s="29">
        <v>52898</v>
      </c>
      <c r="AC26" s="29">
        <v>53874</v>
      </c>
      <c r="AD26" s="29">
        <v>56772</v>
      </c>
      <c r="AE26" s="29">
        <v>61284</v>
      </c>
      <c r="AF26" s="29">
        <v>62705</v>
      </c>
      <c r="AG26" s="29">
        <v>64072</v>
      </c>
      <c r="AH26" s="29">
        <v>66893</v>
      </c>
      <c r="AI26" s="29">
        <v>68021</v>
      </c>
      <c r="AJ26" s="29">
        <v>70311</v>
      </c>
      <c r="AK26" s="29">
        <v>70500</v>
      </c>
      <c r="AL26" s="29">
        <v>85488.639999999999</v>
      </c>
      <c r="AM26" s="29">
        <v>75866</v>
      </c>
      <c r="AN26" s="29">
        <v>77756.625026012029</v>
      </c>
      <c r="AO26" s="29">
        <v>78441.001270563196</v>
      </c>
      <c r="AP26" s="29">
        <v>78495.659525951312</v>
      </c>
      <c r="AQ26" s="29">
        <v>80344.221164056842</v>
      </c>
      <c r="AR26" s="29">
        <v>119979</v>
      </c>
      <c r="AS26" s="29">
        <v>126855</v>
      </c>
      <c r="AT26" s="29">
        <v>120206.75691287633</v>
      </c>
      <c r="AU26" s="29">
        <v>110738.2452064016</v>
      </c>
      <c r="AV26" s="29">
        <v>103803.03027298137</v>
      </c>
      <c r="AW26" s="29">
        <v>105605.2225970268</v>
      </c>
      <c r="AX26" s="29">
        <v>106581.57890487878</v>
      </c>
      <c r="AY26" s="29">
        <v>109301.40619692924</v>
      </c>
      <c r="AZ26" s="29">
        <v>109597.31844960712</v>
      </c>
      <c r="BA26" s="29">
        <v>113337.94163267993</v>
      </c>
      <c r="BB26" s="29">
        <v>116102.39910916959</v>
      </c>
      <c r="BC26" s="29">
        <v>120698.99421461202</v>
      </c>
      <c r="BD26" s="29">
        <v>124745.70718075465</v>
      </c>
      <c r="BE26" s="29">
        <v>117832.17393367999</v>
      </c>
      <c r="BF26" s="29">
        <v>131637.174901808</v>
      </c>
      <c r="BG26" s="29">
        <v>136223.78686582399</v>
      </c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</row>
    <row r="27" spans="1:91" x14ac:dyDescent="0.25">
      <c r="A27" s="30" t="s">
        <v>30</v>
      </c>
      <c r="AA27" s="29">
        <v>94341</v>
      </c>
      <c r="AB27" s="29">
        <v>96645</v>
      </c>
      <c r="AC27" s="29">
        <v>99510</v>
      </c>
      <c r="AD27" s="29">
        <v>103116</v>
      </c>
      <c r="AE27" s="29">
        <v>108932</v>
      </c>
      <c r="AF27" s="29">
        <v>115451</v>
      </c>
      <c r="AG27" s="29">
        <v>118899</v>
      </c>
      <c r="AH27" s="29">
        <v>124584</v>
      </c>
      <c r="AI27" s="29">
        <v>128359</v>
      </c>
      <c r="AJ27" s="29">
        <v>132386</v>
      </c>
      <c r="AK27" s="29">
        <v>135020</v>
      </c>
      <c r="AL27" s="29">
        <v>161169.12</v>
      </c>
      <c r="AM27" s="29">
        <v>138737</v>
      </c>
      <c r="AN27" s="29">
        <v>140159.96248174272</v>
      </c>
      <c r="AO27" s="29">
        <v>142369.77185656936</v>
      </c>
      <c r="AP27" s="29">
        <v>144027.63604132412</v>
      </c>
      <c r="AQ27" s="29">
        <v>142169.22730548185</v>
      </c>
      <c r="AR27" s="29">
        <v>184199</v>
      </c>
      <c r="AS27" s="29">
        <v>183826</v>
      </c>
      <c r="AT27" s="29">
        <v>168099.53433899098</v>
      </c>
      <c r="AU27" s="29">
        <v>175788.97173715092</v>
      </c>
      <c r="AV27" s="29">
        <v>163791.29311902044</v>
      </c>
      <c r="AW27" s="29">
        <v>163601.73110557569</v>
      </c>
      <c r="AX27" s="29">
        <v>168435.63414130086</v>
      </c>
      <c r="AY27" s="29">
        <v>169830.17838475661</v>
      </c>
      <c r="AZ27" s="29">
        <v>170246.27799988686</v>
      </c>
      <c r="BA27" s="29">
        <v>174556.97827435564</v>
      </c>
      <c r="BB27" s="29">
        <v>181490.18169777928</v>
      </c>
      <c r="BC27" s="29">
        <v>184165.1211510069</v>
      </c>
      <c r="BD27" s="29">
        <v>175304.70135307586</v>
      </c>
      <c r="BE27" s="29">
        <v>179816.80092319596</v>
      </c>
      <c r="BF27" s="29">
        <v>195389.15734589699</v>
      </c>
      <c r="BG27" s="29">
        <v>195048.63938260701</v>
      </c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</row>
    <row r="28" spans="1:91" s="32" customFormat="1" ht="15.75" x14ac:dyDescent="0.25">
      <c r="A28" s="31" t="s">
        <v>31</v>
      </c>
      <c r="AA28" s="25">
        <f>SUM(AA22:AA27)</f>
        <v>3539602.56</v>
      </c>
      <c r="AB28" s="25">
        <f t="shared" ref="AB28:BG28" si="16">SUM(AB22:AB27)</f>
        <v>3578582.44</v>
      </c>
      <c r="AC28" s="25">
        <f t="shared" si="16"/>
        <v>3676688.44</v>
      </c>
      <c r="AD28" s="25">
        <f t="shared" si="16"/>
        <v>3747067.87</v>
      </c>
      <c r="AE28" s="25">
        <f t="shared" si="16"/>
        <v>3939875</v>
      </c>
      <c r="AF28" s="25">
        <f t="shared" si="16"/>
        <v>3848458</v>
      </c>
      <c r="AG28" s="25">
        <f t="shared" si="16"/>
        <v>3951008.7272999999</v>
      </c>
      <c r="AH28" s="25">
        <f t="shared" si="16"/>
        <v>4071136.5328719998</v>
      </c>
      <c r="AI28" s="25">
        <f t="shared" si="16"/>
        <v>4182066.2400156059</v>
      </c>
      <c r="AJ28" s="25">
        <f t="shared" si="16"/>
        <v>4285299.4390774053</v>
      </c>
      <c r="AK28" s="25">
        <f t="shared" si="16"/>
        <v>4370488.7148582153</v>
      </c>
      <c r="AL28" s="25">
        <f t="shared" si="16"/>
        <v>4623397.8260386921</v>
      </c>
      <c r="AM28" s="25">
        <f t="shared" si="16"/>
        <v>4646520.9849062962</v>
      </c>
      <c r="AN28" s="25">
        <f t="shared" si="16"/>
        <v>4701825.0032426603</v>
      </c>
      <c r="AO28" s="25">
        <f t="shared" si="16"/>
        <v>4824654.4447763516</v>
      </c>
      <c r="AP28" s="25">
        <f t="shared" si="16"/>
        <v>4867608.4897589087</v>
      </c>
      <c r="AQ28" s="25">
        <f t="shared" si="16"/>
        <v>4908058.8374757674</v>
      </c>
      <c r="AR28" s="25">
        <f t="shared" si="16"/>
        <v>4959766.7012</v>
      </c>
      <c r="AS28" s="25">
        <f t="shared" si="16"/>
        <v>4877969.2900179997</v>
      </c>
      <c r="AT28" s="25">
        <f t="shared" si="16"/>
        <v>5000591.895902345</v>
      </c>
      <c r="AU28" s="25">
        <f t="shared" si="16"/>
        <v>5009805.5620214241</v>
      </c>
      <c r="AV28" s="25">
        <f t="shared" si="16"/>
        <v>4997049.3066988336</v>
      </c>
      <c r="AW28" s="25">
        <f t="shared" si="16"/>
        <v>5046332.4132198012</v>
      </c>
      <c r="AX28" s="25">
        <f t="shared" si="16"/>
        <v>5083123.4649372865</v>
      </c>
      <c r="AY28" s="25">
        <f t="shared" si="16"/>
        <v>5158160.8548277542</v>
      </c>
      <c r="AZ28" s="25">
        <f t="shared" si="16"/>
        <v>5282710.2500658771</v>
      </c>
      <c r="BA28" s="25">
        <f t="shared" si="16"/>
        <v>5411827.6229987508</v>
      </c>
      <c r="BB28" s="25">
        <f t="shared" si="16"/>
        <v>5482189.7570441701</v>
      </c>
      <c r="BC28" s="25">
        <f t="shared" si="16"/>
        <v>5545845.3035231996</v>
      </c>
      <c r="BD28" s="25">
        <f t="shared" si="16"/>
        <v>5579125.9722718718</v>
      </c>
      <c r="BE28" s="25">
        <f t="shared" si="16"/>
        <v>4934929.062720011</v>
      </c>
      <c r="BF28" s="25">
        <f t="shared" si="16"/>
        <v>5335698.541654665</v>
      </c>
      <c r="BG28" s="25">
        <f t="shared" si="16"/>
        <v>5027965.0069534928</v>
      </c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</row>
    <row r="29" spans="1:91" x14ac:dyDescent="0.25"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</row>
    <row r="30" spans="1:91" x14ac:dyDescent="0.25">
      <c r="A30" s="30" t="s">
        <v>32</v>
      </c>
      <c r="AA30" s="29">
        <v>20981</v>
      </c>
      <c r="AB30" s="29">
        <v>21090</v>
      </c>
      <c r="AC30" s="29">
        <v>20336</v>
      </c>
      <c r="AD30" s="29">
        <v>20247</v>
      </c>
      <c r="AE30" s="29">
        <v>18832</v>
      </c>
      <c r="AF30" s="29">
        <v>18818</v>
      </c>
      <c r="AG30" s="29">
        <v>16802.168100000003</v>
      </c>
      <c r="AH30" s="29">
        <v>17509.219211999996</v>
      </c>
      <c r="AI30" s="29">
        <v>17873.721648999999</v>
      </c>
      <c r="AJ30" s="29">
        <v>18683.797939</v>
      </c>
      <c r="AK30" s="29">
        <v>18807.334752999999</v>
      </c>
      <c r="AL30" s="29">
        <v>19582.868181999998</v>
      </c>
      <c r="AM30" s="29">
        <v>19678.689117000002</v>
      </c>
      <c r="AN30" s="29">
        <v>19178.851354999999</v>
      </c>
      <c r="AO30" s="29">
        <v>18920.853862999997</v>
      </c>
      <c r="AP30" s="29">
        <v>19424.922553999997</v>
      </c>
      <c r="AQ30" s="29">
        <v>20390.185932999997</v>
      </c>
      <c r="AR30" s="29">
        <v>20388.053</v>
      </c>
      <c r="AS30" s="29">
        <v>21198.098654000001</v>
      </c>
      <c r="AT30" s="29">
        <v>21099.988628999999</v>
      </c>
      <c r="AU30" s="29">
        <v>20569.726839999999</v>
      </c>
      <c r="AV30" s="29">
        <v>19905.426138999999</v>
      </c>
      <c r="AW30" s="29">
        <v>20129.730629000001</v>
      </c>
      <c r="AX30" s="29">
        <v>18926.876337000002</v>
      </c>
      <c r="AY30" s="29">
        <v>18964.660620999999</v>
      </c>
      <c r="AZ30" s="29">
        <v>18506.425159999999</v>
      </c>
      <c r="BA30" s="29">
        <v>18149.823675</v>
      </c>
      <c r="BB30" s="29">
        <v>17075.697165000001</v>
      </c>
      <c r="BC30" s="29">
        <v>16584.114250999999</v>
      </c>
      <c r="BD30" s="29">
        <v>16387.317525999999</v>
      </c>
      <c r="BE30" s="29">
        <v>11736.487144000001</v>
      </c>
      <c r="BF30" s="29">
        <v>8243.0161960000005</v>
      </c>
      <c r="BG30" s="29">
        <v>10111.540220999999</v>
      </c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</row>
    <row r="31" spans="1:91" x14ac:dyDescent="0.25">
      <c r="A31" s="30" t="s">
        <v>33</v>
      </c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>
        <v>653.14929600000005</v>
      </c>
      <c r="AW31" s="29">
        <v>1012.461811</v>
      </c>
      <c r="AX31" s="29">
        <v>2330.5266470000001</v>
      </c>
      <c r="AY31" s="29">
        <v>2464.2874219999999</v>
      </c>
      <c r="AZ31" s="29">
        <v>1586.7355230000001</v>
      </c>
      <c r="BA31" s="29">
        <v>2261.1835350000001</v>
      </c>
      <c r="BB31" s="29">
        <v>2147.8257210000002</v>
      </c>
      <c r="BC31" s="29">
        <v>2040.4712919999999</v>
      </c>
      <c r="BD31" s="29">
        <v>1979.8159760000001</v>
      </c>
      <c r="BE31" s="29">
        <v>879.57698000000005</v>
      </c>
      <c r="BF31" s="29">
        <v>505.66693800000002</v>
      </c>
      <c r="BG31" s="29">
        <v>750.25525600000003</v>
      </c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</row>
    <row r="32" spans="1:91" x14ac:dyDescent="0.25">
      <c r="A32" s="30" t="s">
        <v>34</v>
      </c>
      <c r="AA32" s="29">
        <v>193</v>
      </c>
      <c r="AB32" s="29">
        <v>195</v>
      </c>
      <c r="AC32" s="29">
        <v>199</v>
      </c>
      <c r="AD32" s="29">
        <v>188</v>
      </c>
      <c r="AE32" s="29">
        <v>187</v>
      </c>
      <c r="AF32" s="29">
        <v>187</v>
      </c>
      <c r="AG32" s="29">
        <v>184.16370000000001</v>
      </c>
      <c r="AH32" s="29">
        <v>189.170345</v>
      </c>
      <c r="AI32" s="29">
        <v>181.71669800000001</v>
      </c>
      <c r="AJ32" s="29">
        <v>186.10567</v>
      </c>
      <c r="AK32" s="29">
        <v>191.89107100000004</v>
      </c>
      <c r="AL32" s="29">
        <v>186.99797199999998</v>
      </c>
      <c r="AM32" s="29">
        <v>187.793553</v>
      </c>
      <c r="AN32" s="29">
        <v>176.144657</v>
      </c>
      <c r="AO32" s="29">
        <v>173.21470899999997</v>
      </c>
      <c r="AP32" s="29">
        <v>172.98174700000001</v>
      </c>
      <c r="AQ32" s="29">
        <v>163.88912900000003</v>
      </c>
      <c r="AR32" s="29">
        <v>155.51650000000001</v>
      </c>
      <c r="AS32" s="29">
        <v>160.68531200000001</v>
      </c>
      <c r="AT32" s="29">
        <v>168.066937</v>
      </c>
      <c r="AU32" s="29">
        <v>158.87200799999999</v>
      </c>
      <c r="AV32" s="29">
        <v>160.306691</v>
      </c>
      <c r="AW32" s="29">
        <v>161.88904700000001</v>
      </c>
      <c r="AX32" s="29">
        <v>156.31329400000001</v>
      </c>
      <c r="AY32" s="29">
        <v>157.73160200000001</v>
      </c>
      <c r="AZ32" s="29">
        <v>146.21782099999999</v>
      </c>
      <c r="BA32" s="29">
        <v>153.97867400000001</v>
      </c>
      <c r="BB32" s="29">
        <v>140.21642199999999</v>
      </c>
      <c r="BC32" s="29">
        <v>126.282285</v>
      </c>
      <c r="BD32" s="29">
        <v>125.805218</v>
      </c>
      <c r="BE32" s="29">
        <v>89.173112000000003</v>
      </c>
      <c r="BF32" s="29">
        <v>56.164338000000001</v>
      </c>
      <c r="BG32" s="29">
        <v>77.939828000000006</v>
      </c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</row>
    <row r="33" spans="1:71" ht="15.75" x14ac:dyDescent="0.25">
      <c r="A33" s="24" t="s">
        <v>35</v>
      </c>
      <c r="AA33" s="25">
        <f>SUM(AA30:AA32)</f>
        <v>21174</v>
      </c>
      <c r="AB33" s="25">
        <f t="shared" ref="AB33:BG33" si="17">SUM(AB30:AB32)</f>
        <v>21285</v>
      </c>
      <c r="AC33" s="25">
        <f t="shared" si="17"/>
        <v>20535</v>
      </c>
      <c r="AD33" s="25">
        <f t="shared" si="17"/>
        <v>20435</v>
      </c>
      <c r="AE33" s="25">
        <f t="shared" si="17"/>
        <v>19019</v>
      </c>
      <c r="AF33" s="25">
        <f t="shared" si="17"/>
        <v>19005</v>
      </c>
      <c r="AG33" s="25">
        <f t="shared" si="17"/>
        <v>16986.331800000004</v>
      </c>
      <c r="AH33" s="25">
        <f t="shared" si="17"/>
        <v>17698.389556999995</v>
      </c>
      <c r="AI33" s="25">
        <f t="shared" si="17"/>
        <v>18055.438346999999</v>
      </c>
      <c r="AJ33" s="25">
        <f t="shared" si="17"/>
        <v>18869.903609000001</v>
      </c>
      <c r="AK33" s="25">
        <f t="shared" si="17"/>
        <v>18999.225824000001</v>
      </c>
      <c r="AL33" s="25">
        <f t="shared" si="17"/>
        <v>19769.866153999999</v>
      </c>
      <c r="AM33" s="25">
        <f t="shared" si="17"/>
        <v>19866.482670000001</v>
      </c>
      <c r="AN33" s="25">
        <f t="shared" si="17"/>
        <v>19354.996012</v>
      </c>
      <c r="AO33" s="25">
        <f t="shared" si="17"/>
        <v>19094.068571999996</v>
      </c>
      <c r="AP33" s="25">
        <f t="shared" si="17"/>
        <v>19597.904300999999</v>
      </c>
      <c r="AQ33" s="25">
        <f t="shared" si="17"/>
        <v>20554.075061999996</v>
      </c>
      <c r="AR33" s="25">
        <f t="shared" si="17"/>
        <v>20543.569500000001</v>
      </c>
      <c r="AS33" s="25">
        <f t="shared" si="17"/>
        <v>21358.783966000003</v>
      </c>
      <c r="AT33" s="25">
        <f t="shared" si="17"/>
        <v>21268.055565999999</v>
      </c>
      <c r="AU33" s="25">
        <f t="shared" si="17"/>
        <v>20728.598847999998</v>
      </c>
      <c r="AV33" s="25">
        <f t="shared" si="17"/>
        <v>20718.882126</v>
      </c>
      <c r="AW33" s="25">
        <f t="shared" si="17"/>
        <v>21304.081487000003</v>
      </c>
      <c r="AX33" s="25">
        <f t="shared" si="17"/>
        <v>21413.716278</v>
      </c>
      <c r="AY33" s="25">
        <f t="shared" si="17"/>
        <v>21586.679645</v>
      </c>
      <c r="AZ33" s="25">
        <f t="shared" si="17"/>
        <v>20239.378503999997</v>
      </c>
      <c r="BA33" s="25">
        <f t="shared" si="17"/>
        <v>20564.985884000002</v>
      </c>
      <c r="BB33" s="25">
        <f t="shared" si="17"/>
        <v>19363.739308000004</v>
      </c>
      <c r="BC33" s="25">
        <f t="shared" si="17"/>
        <v>18750.867827999999</v>
      </c>
      <c r="BD33" s="25">
        <f t="shared" si="17"/>
        <v>18492.938720000002</v>
      </c>
      <c r="BE33" s="25">
        <f t="shared" si="17"/>
        <v>12705.237236000001</v>
      </c>
      <c r="BF33" s="25">
        <f t="shared" si="17"/>
        <v>8804.8474720000013</v>
      </c>
      <c r="BG33" s="25">
        <f t="shared" si="17"/>
        <v>10939.735305</v>
      </c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</row>
    <row r="34" spans="1:71" x14ac:dyDescent="0.25">
      <c r="A34" s="30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</row>
    <row r="35" spans="1:71" x14ac:dyDescent="0.25">
      <c r="A35" s="30" t="s">
        <v>36</v>
      </c>
      <c r="AA35" s="29">
        <v>7082</v>
      </c>
      <c r="AB35" s="29">
        <v>7344</v>
      </c>
      <c r="AC35" s="29">
        <v>7320</v>
      </c>
      <c r="AD35" s="29">
        <v>6940</v>
      </c>
      <c r="AE35" s="29">
        <v>7996</v>
      </c>
      <c r="AF35" s="29">
        <v>8244</v>
      </c>
      <c r="AG35" s="29">
        <v>8350.4012999999995</v>
      </c>
      <c r="AH35" s="29">
        <v>8037.4858980000008</v>
      </c>
      <c r="AI35" s="29">
        <v>8702.2589120000011</v>
      </c>
      <c r="AJ35" s="29">
        <v>8764.0169889999997</v>
      </c>
      <c r="AK35" s="29">
        <v>9399.8729629999998</v>
      </c>
      <c r="AL35" s="29">
        <v>9543.5642550000011</v>
      </c>
      <c r="AM35" s="29">
        <v>9499.8287029999992</v>
      </c>
      <c r="AN35" s="29">
        <v>9555.383124</v>
      </c>
      <c r="AO35" s="29">
        <v>9715.2788890000011</v>
      </c>
      <c r="AP35" s="29">
        <v>9470.1332469999998</v>
      </c>
      <c r="AQ35" s="29">
        <v>10358.926487000002</v>
      </c>
      <c r="AR35" s="29">
        <v>11136.821900000001</v>
      </c>
      <c r="AS35" s="29">
        <v>11031.999811</v>
      </c>
      <c r="AT35" s="29">
        <v>11129.418953</v>
      </c>
      <c r="AU35" s="29">
        <v>10773.7353</v>
      </c>
      <c r="AV35" s="29">
        <v>11314.228574000001</v>
      </c>
      <c r="AW35" s="29">
        <v>11120.63185</v>
      </c>
      <c r="AX35" s="29">
        <v>11735.558829</v>
      </c>
      <c r="AY35" s="29">
        <v>11599.846942</v>
      </c>
      <c r="AZ35" s="29">
        <v>11687.41799</v>
      </c>
      <c r="BA35" s="29">
        <v>11767.703304999999</v>
      </c>
      <c r="BB35" s="29">
        <v>12250.669639</v>
      </c>
      <c r="BC35" s="29">
        <v>12609.891154999999</v>
      </c>
      <c r="BD35" s="29">
        <v>12707.307116</v>
      </c>
      <c r="BE35" s="29">
        <v>6020.8763829999998</v>
      </c>
      <c r="BF35" s="29">
        <v>3706.5763750000001</v>
      </c>
      <c r="BG35" s="29">
        <v>5924.2964480000001</v>
      </c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</row>
    <row r="36" spans="1:71" x14ac:dyDescent="0.25">
      <c r="A36" s="30" t="s">
        <v>37</v>
      </c>
      <c r="AA36" s="29">
        <v>571</v>
      </c>
      <c r="AB36" s="29">
        <v>662</v>
      </c>
      <c r="AC36" s="29">
        <v>701</v>
      </c>
      <c r="AD36" s="29">
        <v>705</v>
      </c>
      <c r="AE36" s="29">
        <v>833</v>
      </c>
      <c r="AF36" s="29">
        <v>860</v>
      </c>
      <c r="AG36" s="29">
        <v>955.24509999999998</v>
      </c>
      <c r="AH36" s="29">
        <v>1023.7081319999999</v>
      </c>
      <c r="AI36" s="29">
        <v>1115.35194</v>
      </c>
      <c r="AJ36" s="29">
        <v>1190.168551</v>
      </c>
      <c r="AK36" s="29">
        <v>1339.431795</v>
      </c>
      <c r="AL36" s="29">
        <v>1427.305259</v>
      </c>
      <c r="AM36" s="29">
        <v>1431.6725369999999</v>
      </c>
      <c r="AN36" s="29">
        <v>1476.0326319999997</v>
      </c>
      <c r="AO36" s="29">
        <v>1576.197658</v>
      </c>
      <c r="AP36" s="29">
        <v>1699.5838489999999</v>
      </c>
      <c r="AQ36" s="29">
        <v>1865.7201999999997</v>
      </c>
      <c r="AR36" s="29">
        <v>1930.2944</v>
      </c>
      <c r="AS36" s="29">
        <v>2081.062559</v>
      </c>
      <c r="AT36" s="29">
        <v>2196.117518</v>
      </c>
      <c r="AU36" s="29">
        <v>2172.7471529999998</v>
      </c>
      <c r="AV36" s="29">
        <v>2363.430715</v>
      </c>
      <c r="AW36" s="29">
        <v>2488.8479259999999</v>
      </c>
      <c r="AX36" s="29">
        <v>2564.6256589999998</v>
      </c>
      <c r="AY36" s="29">
        <v>2674.5207209999999</v>
      </c>
      <c r="AZ36" s="29">
        <v>2678.1120999999998</v>
      </c>
      <c r="BA36" s="29">
        <v>2755.9249209999998</v>
      </c>
      <c r="BB36" s="29">
        <v>2776.0459599999999</v>
      </c>
      <c r="BC36" s="29">
        <v>2728.4780609999998</v>
      </c>
      <c r="BD36" s="29">
        <v>2692.6561099999999</v>
      </c>
      <c r="BE36" s="29">
        <v>1834.1855929999999</v>
      </c>
      <c r="BF36" s="29">
        <v>1040.6861719999999</v>
      </c>
      <c r="BG36" s="29">
        <v>1473.5166879999999</v>
      </c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</row>
    <row r="37" spans="1:71" x14ac:dyDescent="0.25">
      <c r="A37" s="30" t="s">
        <v>38</v>
      </c>
      <c r="AA37" s="29">
        <v>11475</v>
      </c>
      <c r="AB37" s="29">
        <v>10528</v>
      </c>
      <c r="AC37" s="29">
        <v>10737</v>
      </c>
      <c r="AD37" s="29">
        <v>10231</v>
      </c>
      <c r="AE37" s="29">
        <v>10668</v>
      </c>
      <c r="AF37" s="29">
        <v>10559</v>
      </c>
      <c r="AG37" s="29">
        <v>11530.220300000001</v>
      </c>
      <c r="AH37" s="29">
        <v>12056.0676</v>
      </c>
      <c r="AI37" s="29">
        <v>12284.382321999999</v>
      </c>
      <c r="AJ37" s="29">
        <v>12902.056581000001</v>
      </c>
      <c r="AK37" s="29">
        <v>13843.512074999999</v>
      </c>
      <c r="AL37" s="29">
        <v>14178.091572000001</v>
      </c>
      <c r="AM37" s="29">
        <v>13663.224326</v>
      </c>
      <c r="AN37" s="29">
        <v>13606.195594000001</v>
      </c>
      <c r="AO37" s="29">
        <v>14354.281087000001</v>
      </c>
      <c r="AP37" s="29">
        <v>14417.698761</v>
      </c>
      <c r="AQ37" s="29">
        <v>14721.465516</v>
      </c>
      <c r="AR37" s="29">
        <v>16137.9522</v>
      </c>
      <c r="AS37" s="29">
        <v>16849.920437000001</v>
      </c>
      <c r="AT37" s="29">
        <v>16805.109970000001</v>
      </c>
      <c r="AU37" s="29">
        <v>16406.938677999999</v>
      </c>
      <c r="AV37" s="29">
        <v>17316.613255</v>
      </c>
      <c r="AW37" s="29">
        <v>17516.432841999998</v>
      </c>
      <c r="AX37" s="29">
        <v>18004.627035000001</v>
      </c>
      <c r="AY37" s="29">
        <v>18339.048674999998</v>
      </c>
      <c r="AZ37" s="29">
        <v>18283.014310999999</v>
      </c>
      <c r="BA37" s="29">
        <v>18356.560739</v>
      </c>
      <c r="BB37" s="29">
        <v>17591.049738000002</v>
      </c>
      <c r="BC37" s="29">
        <v>16914.100309000001</v>
      </c>
      <c r="BD37" s="29">
        <v>17365.828963</v>
      </c>
      <c r="BE37" s="29">
        <v>8947.3054759999995</v>
      </c>
      <c r="BF37" s="29">
        <v>7405.0892560000002</v>
      </c>
      <c r="BG37" s="29">
        <v>9801.9196709999997</v>
      </c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</row>
    <row r="38" spans="1:71" ht="15.75" x14ac:dyDescent="0.25">
      <c r="A38" s="24" t="s">
        <v>39</v>
      </c>
      <c r="AA38" s="25">
        <f>SUM(AA35:AA37)</f>
        <v>19128</v>
      </c>
      <c r="AB38" s="25">
        <f t="shared" ref="AB38:BG38" si="18">SUM(AB35:AB37)</f>
        <v>18534</v>
      </c>
      <c r="AC38" s="25">
        <f t="shared" si="18"/>
        <v>18758</v>
      </c>
      <c r="AD38" s="25">
        <f t="shared" si="18"/>
        <v>17876</v>
      </c>
      <c r="AE38" s="25">
        <f t="shared" si="18"/>
        <v>19497</v>
      </c>
      <c r="AF38" s="25">
        <f t="shared" si="18"/>
        <v>19663</v>
      </c>
      <c r="AG38" s="25">
        <f t="shared" si="18"/>
        <v>20835.866699999999</v>
      </c>
      <c r="AH38" s="25">
        <f t="shared" si="18"/>
        <v>21117.261630000001</v>
      </c>
      <c r="AI38" s="25">
        <f t="shared" si="18"/>
        <v>22101.993174000003</v>
      </c>
      <c r="AJ38" s="25">
        <f t="shared" si="18"/>
        <v>22856.242121000003</v>
      </c>
      <c r="AK38" s="25">
        <f t="shared" si="18"/>
        <v>24582.816832999997</v>
      </c>
      <c r="AL38" s="25">
        <f t="shared" si="18"/>
        <v>25148.961086000003</v>
      </c>
      <c r="AM38" s="25">
        <f t="shared" si="18"/>
        <v>24594.725566000001</v>
      </c>
      <c r="AN38" s="25">
        <f t="shared" si="18"/>
        <v>24637.611349999999</v>
      </c>
      <c r="AO38" s="25">
        <f t="shared" si="18"/>
        <v>25645.757634000001</v>
      </c>
      <c r="AP38" s="25">
        <f t="shared" si="18"/>
        <v>25587.415857</v>
      </c>
      <c r="AQ38" s="25">
        <f t="shared" si="18"/>
        <v>26946.112203000004</v>
      </c>
      <c r="AR38" s="25">
        <f t="shared" si="18"/>
        <v>29205.068500000001</v>
      </c>
      <c r="AS38" s="25">
        <f t="shared" si="18"/>
        <v>29962.982807</v>
      </c>
      <c r="AT38" s="25">
        <f t="shared" si="18"/>
        <v>30130.646441000001</v>
      </c>
      <c r="AU38" s="25">
        <f t="shared" si="18"/>
        <v>29353.421130999999</v>
      </c>
      <c r="AV38" s="25">
        <f t="shared" si="18"/>
        <v>30994.272543999999</v>
      </c>
      <c r="AW38" s="25">
        <f t="shared" si="18"/>
        <v>31125.912617999998</v>
      </c>
      <c r="AX38" s="25">
        <f t="shared" si="18"/>
        <v>32304.811523</v>
      </c>
      <c r="AY38" s="25">
        <f t="shared" si="18"/>
        <v>32613.416337999999</v>
      </c>
      <c r="AZ38" s="25">
        <f t="shared" si="18"/>
        <v>32648.544400999999</v>
      </c>
      <c r="BA38" s="25">
        <f t="shared" si="18"/>
        <v>32880.188965000001</v>
      </c>
      <c r="BB38" s="25">
        <f t="shared" si="18"/>
        <v>32617.765337000001</v>
      </c>
      <c r="BC38" s="25">
        <f t="shared" si="18"/>
        <v>32252.469525</v>
      </c>
      <c r="BD38" s="25">
        <f t="shared" si="18"/>
        <v>32765.792189</v>
      </c>
      <c r="BE38" s="25">
        <f t="shared" si="18"/>
        <v>16802.367451999999</v>
      </c>
      <c r="BF38" s="25">
        <f t="shared" si="18"/>
        <v>12152.351803000001</v>
      </c>
      <c r="BG38" s="25">
        <f t="shared" si="18"/>
        <v>17199.732807</v>
      </c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</row>
    <row r="39" spans="1:71" x14ac:dyDescent="0.25">
      <c r="A39" s="30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</row>
    <row r="40" spans="1:71" x14ac:dyDescent="0.25">
      <c r="A40" s="30" t="s">
        <v>40</v>
      </c>
      <c r="AA40" s="29">
        <v>286</v>
      </c>
      <c r="AB40" s="29">
        <v>282</v>
      </c>
      <c r="AC40" s="29">
        <v>271</v>
      </c>
      <c r="AD40" s="29">
        <v>260</v>
      </c>
      <c r="AE40" s="29">
        <v>260</v>
      </c>
      <c r="AF40" s="29">
        <v>260</v>
      </c>
      <c r="AG40" s="29">
        <v>255.38840000000002</v>
      </c>
      <c r="AH40" s="29">
        <v>254.21924200000004</v>
      </c>
      <c r="AI40" s="29">
        <v>280.125878</v>
      </c>
      <c r="AJ40" s="29">
        <v>294.71404899999999</v>
      </c>
      <c r="AK40" s="29">
        <v>298.132858</v>
      </c>
      <c r="AL40" s="29">
        <v>295.33117599999997</v>
      </c>
      <c r="AM40" s="29">
        <v>301.363563</v>
      </c>
      <c r="AN40" s="29">
        <v>366.84362800000002</v>
      </c>
      <c r="AO40" s="29">
        <v>356.984306</v>
      </c>
      <c r="AP40" s="29">
        <v>359.19848399999995</v>
      </c>
      <c r="AQ40" s="29">
        <v>359.85686900000002</v>
      </c>
      <c r="AR40" s="29">
        <v>380.78190000000001</v>
      </c>
      <c r="AS40" s="29">
        <v>390.45811700000002</v>
      </c>
      <c r="AT40" s="29">
        <v>364.67172900000003</v>
      </c>
      <c r="AU40" s="29">
        <v>389.20500600000003</v>
      </c>
      <c r="AV40" s="29">
        <v>389.38419099999999</v>
      </c>
      <c r="AW40" s="29">
        <v>402.115701</v>
      </c>
      <c r="AX40" s="29">
        <v>402.30593399999998</v>
      </c>
      <c r="AY40" s="29">
        <v>414.20945999999998</v>
      </c>
      <c r="AZ40" s="29">
        <v>450.52650199999999</v>
      </c>
      <c r="BA40" s="29">
        <v>489.35633300000001</v>
      </c>
      <c r="BB40" s="29">
        <v>486.03749599999998</v>
      </c>
      <c r="BC40" s="29">
        <v>519.78385800000001</v>
      </c>
      <c r="BD40" s="29">
        <v>546.56959700000004</v>
      </c>
      <c r="BE40" s="29">
        <v>411.191959</v>
      </c>
      <c r="BF40" s="29">
        <v>268.01794899999999</v>
      </c>
      <c r="BG40" s="29">
        <v>377.48324200000002</v>
      </c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</row>
    <row r="41" spans="1:71" x14ac:dyDescent="0.25">
      <c r="A41" s="30" t="s">
        <v>41</v>
      </c>
      <c r="AA41" s="29">
        <v>124</v>
      </c>
      <c r="AB41" s="29">
        <v>148</v>
      </c>
      <c r="AC41" s="29">
        <v>182</v>
      </c>
      <c r="AD41" s="29">
        <v>251</v>
      </c>
      <c r="AE41" s="29">
        <v>232</v>
      </c>
      <c r="AF41" s="29">
        <v>273</v>
      </c>
      <c r="AG41" s="29">
        <v>515.5963999999949</v>
      </c>
      <c r="AH41" s="29">
        <v>579.27095199999894</v>
      </c>
      <c r="AI41" s="29">
        <v>654.07030799999484</v>
      </c>
      <c r="AJ41" s="29">
        <v>699.01640200000111</v>
      </c>
      <c r="AK41" s="29">
        <v>632.40979800000787</v>
      </c>
      <c r="AL41" s="29">
        <v>667.59748699999909</v>
      </c>
      <c r="AM41" s="29">
        <v>682.52739499999007</v>
      </c>
      <c r="AN41" s="29">
        <v>628.79707700001018</v>
      </c>
      <c r="AO41" s="29">
        <v>745.12879600000451</v>
      </c>
      <c r="AP41" s="29">
        <v>841.65538500000548</v>
      </c>
      <c r="AQ41" s="29">
        <v>890.82436499999312</v>
      </c>
      <c r="AR41" s="29">
        <v>966.1105000000025</v>
      </c>
      <c r="AS41" s="29">
        <v>1155.9272169999999</v>
      </c>
      <c r="AT41" s="29">
        <v>1253.9602890000001</v>
      </c>
      <c r="AU41" s="29">
        <v>1314.7709150000001</v>
      </c>
      <c r="AV41" s="29">
        <v>1379.3117219999999</v>
      </c>
      <c r="AW41" s="29">
        <v>1485.809925</v>
      </c>
      <c r="AX41" s="29">
        <v>1494.6165370000001</v>
      </c>
      <c r="AY41" s="29">
        <v>1534.0180089999999</v>
      </c>
      <c r="AZ41" s="29">
        <v>1487.977903</v>
      </c>
      <c r="BA41" s="29">
        <v>1522.03243</v>
      </c>
      <c r="BB41" s="29">
        <v>1494.7848240000001</v>
      </c>
      <c r="BC41" s="29">
        <v>1456.074891</v>
      </c>
      <c r="BD41" s="29">
        <v>1453.218335</v>
      </c>
      <c r="BE41" s="29">
        <v>974.63186199999996</v>
      </c>
      <c r="BF41" s="29">
        <v>665.32886499999995</v>
      </c>
      <c r="BG41" s="29">
        <v>792.89804300000003</v>
      </c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</row>
    <row r="42" spans="1:71" ht="15.75" x14ac:dyDescent="0.25">
      <c r="A42" s="24" t="s">
        <v>42</v>
      </c>
      <c r="AA42" s="34">
        <f>SUM(AA40:AA41,AA38,AA33)</f>
        <v>40712</v>
      </c>
      <c r="AB42" s="34">
        <f t="shared" ref="AB42:BG42" si="19">SUM(AB40:AB41,AB38,AB33)</f>
        <v>40249</v>
      </c>
      <c r="AC42" s="34">
        <f t="shared" si="19"/>
        <v>39746</v>
      </c>
      <c r="AD42" s="34">
        <f t="shared" si="19"/>
        <v>38822</v>
      </c>
      <c r="AE42" s="34">
        <f t="shared" si="19"/>
        <v>39008</v>
      </c>
      <c r="AF42" s="34">
        <f t="shared" si="19"/>
        <v>39201</v>
      </c>
      <c r="AG42" s="34">
        <f t="shared" si="19"/>
        <v>38593.183299999997</v>
      </c>
      <c r="AH42" s="34">
        <f t="shared" si="19"/>
        <v>39649.141380999994</v>
      </c>
      <c r="AI42" s="34">
        <f t="shared" si="19"/>
        <v>41091.627706999992</v>
      </c>
      <c r="AJ42" s="34">
        <f t="shared" si="19"/>
        <v>42719.876181</v>
      </c>
      <c r="AK42" s="34">
        <f t="shared" si="19"/>
        <v>44512.585313000003</v>
      </c>
      <c r="AL42" s="34">
        <f t="shared" si="19"/>
        <v>45881.755902999997</v>
      </c>
      <c r="AM42" s="34">
        <f t="shared" si="19"/>
        <v>45445.099193999995</v>
      </c>
      <c r="AN42" s="34">
        <f t="shared" si="19"/>
        <v>44988.248067000008</v>
      </c>
      <c r="AO42" s="34">
        <f t="shared" si="19"/>
        <v>45841.939308000001</v>
      </c>
      <c r="AP42" s="34">
        <f t="shared" si="19"/>
        <v>46386.174027000001</v>
      </c>
      <c r="AQ42" s="34">
        <f t="shared" si="19"/>
        <v>48750.868498999989</v>
      </c>
      <c r="AR42" s="34">
        <f t="shared" si="19"/>
        <v>51095.530400000003</v>
      </c>
      <c r="AS42" s="34">
        <f t="shared" si="19"/>
        <v>52868.152107000002</v>
      </c>
      <c r="AT42" s="34">
        <f t="shared" si="19"/>
        <v>53017.334025000004</v>
      </c>
      <c r="AU42" s="34">
        <f t="shared" si="19"/>
        <v>51785.995899999994</v>
      </c>
      <c r="AV42" s="34">
        <f t="shared" si="19"/>
        <v>53481.850582999999</v>
      </c>
      <c r="AW42" s="34">
        <f t="shared" si="19"/>
        <v>54317.919731000002</v>
      </c>
      <c r="AX42" s="34">
        <f t="shared" si="19"/>
        <v>55615.450272000002</v>
      </c>
      <c r="AY42" s="34">
        <f t="shared" si="19"/>
        <v>56148.323451999997</v>
      </c>
      <c r="AZ42" s="34">
        <f t="shared" si="19"/>
        <v>54826.427309999999</v>
      </c>
      <c r="BA42" s="34">
        <f t="shared" si="19"/>
        <v>55456.563612000005</v>
      </c>
      <c r="BB42" s="34">
        <f t="shared" si="19"/>
        <v>53962.326965000007</v>
      </c>
      <c r="BC42" s="34">
        <f t="shared" si="19"/>
        <v>52979.196102000002</v>
      </c>
      <c r="BD42" s="34">
        <f t="shared" si="19"/>
        <v>53258.518840999997</v>
      </c>
      <c r="BE42" s="34">
        <f t="shared" si="19"/>
        <v>30893.428508999998</v>
      </c>
      <c r="BF42" s="34">
        <f t="shared" si="19"/>
        <v>21890.546089000003</v>
      </c>
      <c r="BG42" s="34">
        <f t="shared" si="19"/>
        <v>29309.849396999998</v>
      </c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</row>
    <row r="44" spans="1:71" x14ac:dyDescent="0.25">
      <c r="A44" s="35" t="s">
        <v>43</v>
      </c>
      <c r="B44" s="29">
        <v>13260</v>
      </c>
      <c r="C44" s="29"/>
      <c r="D44" s="29"/>
      <c r="E44" s="29"/>
      <c r="F44" s="29"/>
      <c r="G44" s="29">
        <v>6179</v>
      </c>
      <c r="H44" s="29"/>
      <c r="I44" s="29"/>
      <c r="J44" s="29"/>
      <c r="K44" s="29"/>
      <c r="L44" s="29">
        <v>3931</v>
      </c>
      <c r="M44" s="29"/>
      <c r="N44" s="29"/>
      <c r="O44" s="29"/>
      <c r="P44" s="29"/>
      <c r="Q44" s="29">
        <v>4503</v>
      </c>
      <c r="R44" s="29"/>
      <c r="S44" s="29"/>
      <c r="T44" s="29"/>
      <c r="U44" s="29"/>
      <c r="V44" s="29">
        <v>4825</v>
      </c>
      <c r="W44" s="29"/>
      <c r="X44" s="29"/>
      <c r="Y44" s="29"/>
      <c r="Z44" s="29"/>
      <c r="AA44" s="29">
        <v>6057</v>
      </c>
      <c r="AB44" s="29">
        <v>6273</v>
      </c>
      <c r="AC44" s="29">
        <v>6091</v>
      </c>
      <c r="AD44" s="29">
        <v>6199</v>
      </c>
      <c r="AE44" s="29">
        <v>5921</v>
      </c>
      <c r="AF44" s="29">
        <v>5545</v>
      </c>
      <c r="AG44" s="29">
        <v>5050</v>
      </c>
      <c r="AH44" s="29">
        <v>5166</v>
      </c>
      <c r="AI44" s="29">
        <v>5304</v>
      </c>
      <c r="AJ44" s="29">
        <v>5330</v>
      </c>
      <c r="AK44" s="29">
        <v>5573.9916949999997</v>
      </c>
      <c r="AL44" s="29">
        <v>5571</v>
      </c>
      <c r="AM44" s="29">
        <v>5313.8277230000003</v>
      </c>
      <c r="AN44" s="29">
        <v>5679.9337930000002</v>
      </c>
      <c r="AO44" s="29">
        <v>5510.88</v>
      </c>
      <c r="AP44" s="29">
        <v>5381.3719999999994</v>
      </c>
      <c r="AQ44" s="29">
        <v>5409.8040000000001</v>
      </c>
      <c r="AR44" s="29">
        <v>5782.8180000000002</v>
      </c>
      <c r="AS44" s="29">
        <v>6178.5059999999994</v>
      </c>
      <c r="AT44" s="29">
        <v>5914.0330000000004</v>
      </c>
      <c r="AU44" s="29">
        <v>6419.7687269999997</v>
      </c>
      <c r="AV44" s="29">
        <v>6567.8390909999989</v>
      </c>
      <c r="AW44" s="29">
        <v>6803.8689760000007</v>
      </c>
      <c r="AX44" s="29">
        <v>6809.5782929999996</v>
      </c>
      <c r="AY44" s="29">
        <v>6674.6713220000001</v>
      </c>
      <c r="AZ44" s="29">
        <v>6535.9128009999995</v>
      </c>
      <c r="BA44" s="29">
        <v>6519.6</v>
      </c>
      <c r="BB44" s="29">
        <v>6563</v>
      </c>
      <c r="BC44" s="29">
        <v>6361</v>
      </c>
      <c r="BD44" s="29">
        <v>6487.2486840000001</v>
      </c>
      <c r="BE44" s="29">
        <v>3450.2113960000001</v>
      </c>
      <c r="BF44" s="29">
        <v>2860.29</v>
      </c>
      <c r="BG44" s="29">
        <v>4887.7799409999998</v>
      </c>
      <c r="BH44" s="29">
        <v>5826</v>
      </c>
    </row>
    <row r="46" spans="1:71" ht="15.75" x14ac:dyDescent="0.25">
      <c r="BC46" s="36">
        <f>(BC20/(('US Fuel Production'!B16*1000)+'[2]Jet Fuel'!B$33))*1000000</f>
        <v>2.2989164321732098</v>
      </c>
      <c r="BD46" s="36">
        <f>(BD20/(('US Fuel Production'!C16*1000)+'[2]Jet Fuel'!C$33))*1000000</f>
        <v>2.3515950826359879</v>
      </c>
      <c r="BE46" s="36">
        <f>(BE20/(('US Fuel Production'!D16*1000)+'[2]Jet Fuel'!D$33))*1000000</f>
        <v>1.5427523005144539</v>
      </c>
      <c r="BF46" s="36">
        <f>(BF20/(('US Fuel Production'!E16*1000)+'[2]Jet Fuel'!E$33))*1000000</f>
        <v>2.2759573228692607</v>
      </c>
      <c r="BG46" s="36">
        <f>(BG20/(('US Fuel Production'!F16*1000)+'[2]Jet Fuel'!F$33))*1000000</f>
        <v>2.4698156874064727</v>
      </c>
      <c r="BH46" s="36">
        <f>(BH20/(('US Fuel Production'!G16*1000)+'[2]Jet Fuel'!G$33))*1000000</f>
        <v>2.5418827635193662</v>
      </c>
      <c r="BI46" s="37">
        <v>2.35</v>
      </c>
      <c r="BJ46" s="37">
        <v>2.35</v>
      </c>
      <c r="BK46" s="37">
        <v>2.35</v>
      </c>
      <c r="BL46" s="37">
        <v>2.35</v>
      </c>
      <c r="BM46" s="37">
        <v>2.35</v>
      </c>
      <c r="BN46" s="37">
        <v>2.35</v>
      </c>
      <c r="BO46" s="37">
        <v>2.35</v>
      </c>
      <c r="BP46" s="37">
        <v>2.35</v>
      </c>
      <c r="BQ46" s="37">
        <v>2.35</v>
      </c>
      <c r="BR46" s="37">
        <v>2.35</v>
      </c>
      <c r="BS46" s="37">
        <v>2.35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9F8F-550C-4F99-B715-8CD1615A463A}">
  <dimension ref="A2:Q17"/>
  <sheetViews>
    <sheetView zoomScale="85" zoomScaleNormal="85" workbookViewId="0">
      <selection activeCell="B711" sqref="B711"/>
    </sheetView>
  </sheetViews>
  <sheetFormatPr defaultRowHeight="15" x14ac:dyDescent="0.25"/>
  <cols>
    <col min="1" max="1" width="12.7109375" customWidth="1"/>
    <col min="2" max="18" width="12.85546875" customWidth="1"/>
  </cols>
  <sheetData>
    <row r="2" spans="1:17" ht="19.5" thickBot="1" x14ac:dyDescent="0.35">
      <c r="A2" s="38" t="s">
        <v>44</v>
      </c>
      <c r="B2" s="39"/>
      <c r="C2" s="39"/>
      <c r="D2" s="39"/>
      <c r="E2" s="39"/>
      <c r="F2" s="39"/>
      <c r="G2" s="39"/>
      <c r="H2" s="39"/>
    </row>
    <row r="3" spans="1:17" ht="15.75" thickBot="1" x14ac:dyDescent="0.3">
      <c r="A3" s="40" t="s">
        <v>45</v>
      </c>
      <c r="B3" s="41">
        <v>2018</v>
      </c>
      <c r="C3" s="41">
        <v>2019</v>
      </c>
      <c r="D3" s="41">
        <v>2020</v>
      </c>
      <c r="E3" s="41">
        <v>2021</v>
      </c>
      <c r="F3" s="41">
        <v>2022</v>
      </c>
      <c r="G3" s="41">
        <v>2023</v>
      </c>
      <c r="H3" s="41">
        <v>2024</v>
      </c>
      <c r="I3" s="41">
        <v>2025</v>
      </c>
      <c r="J3" s="41">
        <v>2026</v>
      </c>
      <c r="K3" s="41">
        <v>2027</v>
      </c>
      <c r="L3" s="41">
        <v>2028</v>
      </c>
      <c r="M3" s="41">
        <v>2029</v>
      </c>
      <c r="N3" s="41">
        <v>2030</v>
      </c>
      <c r="O3" s="41">
        <v>2031</v>
      </c>
      <c r="P3" s="41">
        <v>2032</v>
      </c>
      <c r="Q3" s="41">
        <v>2033</v>
      </c>
    </row>
    <row r="4" spans="1:17" x14ac:dyDescent="0.25">
      <c r="A4" s="42" t="s">
        <v>46</v>
      </c>
      <c r="B4" s="43">
        <f>'US Jet Fuel'!$B639</f>
        <v>24037440</v>
      </c>
      <c r="C4" s="43">
        <f>'US Jet Fuel'!$B651</f>
        <v>24849930</v>
      </c>
      <c r="D4" s="43">
        <f>'US Jet Fuel'!$B663</f>
        <v>25647090</v>
      </c>
      <c r="E4" s="43">
        <f>'US Jet Fuel'!$B675</f>
        <v>17338230</v>
      </c>
      <c r="F4" s="43">
        <f>'US Jet Fuel'!$B687</f>
        <v>21737940</v>
      </c>
      <c r="G4" s="43">
        <f>'US Jet Fuel'!$B699</f>
        <v>23424240</v>
      </c>
      <c r="H4" s="43">
        <f>'US Jet Fuel'!$B711</f>
        <v>23546880</v>
      </c>
      <c r="I4" s="44">
        <f>I$16*(SUM(D4:H4)/SUM(D$16:H$16))</f>
        <v>26217591.232193608</v>
      </c>
      <c r="J4" s="44">
        <f t="shared" ref="J4:Q4" si="0">J$16*(SUM(E4:I4)/SUM(E$16:I$16))</f>
        <v>24326864.347431637</v>
      </c>
      <c r="K4" s="44">
        <f t="shared" si="0"/>
        <v>25384149.23221004</v>
      </c>
      <c r="L4" s="44">
        <f t="shared" si="0"/>
        <v>26029431.510877602</v>
      </c>
      <c r="M4" s="44">
        <f t="shared" si="0"/>
        <v>26492211.691376258</v>
      </c>
      <c r="N4" s="44">
        <f t="shared" si="0"/>
        <v>27072963.749977231</v>
      </c>
      <c r="O4" s="44">
        <f t="shared" si="0"/>
        <v>27370191.672039483</v>
      </c>
      <c r="P4" s="44">
        <f t="shared" si="0"/>
        <v>28040687.770131093</v>
      </c>
      <c r="Q4" s="44">
        <f t="shared" si="0"/>
        <v>28549908.497392133</v>
      </c>
    </row>
    <row r="5" spans="1:17" x14ac:dyDescent="0.25">
      <c r="A5" s="42" t="s">
        <v>47</v>
      </c>
      <c r="B5" s="43">
        <f>'US Jet Fuel'!$B640</f>
        <v>24374700</v>
      </c>
      <c r="C5" s="43">
        <f>'US Jet Fuel'!$B652</f>
        <v>24635310</v>
      </c>
      <c r="D5" s="43">
        <f>'US Jet Fuel'!$B664</f>
        <v>24819270</v>
      </c>
      <c r="E5" s="43">
        <f>'US Jet Fuel'!$B676</f>
        <v>16663710</v>
      </c>
      <c r="F5" s="43">
        <f>'US Jet Fuel'!$B688</f>
        <v>21737940</v>
      </c>
      <c r="G5" s="43">
        <f>'US Jet Fuel'!$B700</f>
        <v>23240280</v>
      </c>
      <c r="H5" s="43">
        <f>'US Jet Fuel'!$B712</f>
        <v>23976120</v>
      </c>
      <c r="I5" s="44">
        <f>I$16*(SUM(D5:H5)/SUM(D$16:H$16))</f>
        <v>25922526.384397853</v>
      </c>
      <c r="J5" s="44">
        <f t="shared" ref="J5:Q14" si="1">J$16*(SUM(E5:I5)/SUM(E$16:I$16))</f>
        <v>24169913.521980964</v>
      </c>
      <c r="K5" s="44">
        <f t="shared" si="1"/>
        <v>25340143.74393741</v>
      </c>
      <c r="L5" s="44">
        <f t="shared" si="1"/>
        <v>25976326.022637405</v>
      </c>
      <c r="M5" s="44">
        <f t="shared" si="1"/>
        <v>26466905.411770236</v>
      </c>
      <c r="N5" s="44">
        <f t="shared" si="1"/>
        <v>26951892.735215209</v>
      </c>
      <c r="O5" s="44">
        <f t="shared" si="1"/>
        <v>27285430.508723531</v>
      </c>
      <c r="P5" s="44">
        <f t="shared" si="1"/>
        <v>27971141.770377345</v>
      </c>
      <c r="Q5" s="44">
        <f t="shared" si="1"/>
        <v>28475091.755893972</v>
      </c>
    </row>
    <row r="6" spans="1:17" x14ac:dyDescent="0.25">
      <c r="A6" s="42" t="s">
        <v>48</v>
      </c>
      <c r="B6" s="43">
        <f>'US Jet Fuel'!$B641</f>
        <v>26152980</v>
      </c>
      <c r="C6" s="43">
        <f>'US Jet Fuel'!$B653</f>
        <v>26229630</v>
      </c>
      <c r="D6" s="43">
        <f>'US Jet Fuel'!$B665</f>
        <v>21278040</v>
      </c>
      <c r="E6" s="43">
        <f>'US Jet Fuel'!$B677</f>
        <v>17629500</v>
      </c>
      <c r="F6" s="43">
        <f>'US Jet Fuel'!$B689</f>
        <v>23301600</v>
      </c>
      <c r="G6" s="43">
        <f>'US Jet Fuel'!$B701</f>
        <v>24727290</v>
      </c>
      <c r="H6" s="43">
        <f>'US Jet Fuel'!$B713</f>
        <v>25309830</v>
      </c>
      <c r="I6" s="44">
        <f t="shared" ref="H6:I14" si="2">I$16*(SUM(D6:H6)/SUM(D$16:H$16))</f>
        <v>26347131.897079553</v>
      </c>
      <c r="J6" s="44">
        <f t="shared" si="1"/>
        <v>25421259.258884415</v>
      </c>
      <c r="K6" s="44">
        <f t="shared" si="1"/>
        <v>26630138.022834618</v>
      </c>
      <c r="L6" s="44">
        <f t="shared" si="1"/>
        <v>27201907.400306065</v>
      </c>
      <c r="M6" s="44">
        <f t="shared" si="1"/>
        <v>27633200.327153306</v>
      </c>
      <c r="N6" s="44">
        <f t="shared" si="1"/>
        <v>28081140.192466665</v>
      </c>
      <c r="O6" s="44">
        <f t="shared" si="1"/>
        <v>28568675.541696839</v>
      </c>
      <c r="P6" s="44">
        <f t="shared" si="1"/>
        <v>29262350.61300106</v>
      </c>
      <c r="Q6" s="44">
        <f t="shared" si="1"/>
        <v>29764137.024393655</v>
      </c>
    </row>
    <row r="7" spans="1:17" x14ac:dyDescent="0.25">
      <c r="A7" s="42" t="s">
        <v>49</v>
      </c>
      <c r="B7" s="43">
        <f>'US Jet Fuel'!$B642</f>
        <v>24987900</v>
      </c>
      <c r="C7" s="43">
        <f>'US Jet Fuel'!$B654</f>
        <v>26919480</v>
      </c>
      <c r="D7" s="43">
        <f>'US Jet Fuel'!$B666</f>
        <v>10393740</v>
      </c>
      <c r="E7" s="43">
        <f>'US Jet Fuel'!$B678</f>
        <v>19806360</v>
      </c>
      <c r="F7" s="43">
        <f>'US Jet Fuel'!$B690</f>
        <v>23715510</v>
      </c>
      <c r="G7" s="43">
        <f>'US Jet Fuel'!$B702</f>
        <v>24619980</v>
      </c>
      <c r="H7" s="43">
        <f>'US Jet Fuel'!$B714</f>
        <v>26183640</v>
      </c>
      <c r="I7" s="44">
        <f t="shared" si="2"/>
        <v>24580341.162107404</v>
      </c>
      <c r="J7" s="44">
        <f t="shared" si="1"/>
        <v>25765902.863394283</v>
      </c>
      <c r="K7" s="44">
        <f t="shared" si="1"/>
        <v>26578682.16960635</v>
      </c>
      <c r="L7" s="44">
        <f t="shared" si="1"/>
        <v>27052147.189587209</v>
      </c>
      <c r="M7" s="44">
        <f t="shared" si="1"/>
        <v>27474980.852713112</v>
      </c>
      <c r="N7" s="44">
        <f t="shared" si="1"/>
        <v>27705642.879249621</v>
      </c>
      <c r="O7" s="44">
        <f t="shared" si="1"/>
        <v>28486062.802540001</v>
      </c>
      <c r="P7" s="44">
        <f t="shared" si="1"/>
        <v>29089137.74641113</v>
      </c>
      <c r="Q7" s="44">
        <f t="shared" si="1"/>
        <v>29565500.627345856</v>
      </c>
    </row>
    <row r="8" spans="1:17" x14ac:dyDescent="0.25">
      <c r="A8" s="42" t="s">
        <v>50</v>
      </c>
      <c r="B8" s="43">
        <f>'US Jet Fuel'!$B643</f>
        <v>25831050</v>
      </c>
      <c r="C8" s="43">
        <f>'US Jet Fuel'!$B655</f>
        <v>27180090</v>
      </c>
      <c r="D8" s="43">
        <f>'US Jet Fuel'!$B667</f>
        <v>9152010</v>
      </c>
      <c r="E8" s="43">
        <f>'US Jet Fuel'!$B679</f>
        <v>19806360</v>
      </c>
      <c r="F8" s="43">
        <f>'US Jet Fuel'!$B691</f>
        <v>24390030</v>
      </c>
      <c r="G8" s="43">
        <f>'US Jet Fuel'!$B703</f>
        <v>25601100</v>
      </c>
      <c r="H8" s="43">
        <f>'US Jet Fuel'!$B715</f>
        <v>27103440</v>
      </c>
      <c r="I8" s="44">
        <f t="shared" si="2"/>
        <v>24893397.768915098</v>
      </c>
      <c r="J8" s="44">
        <f t="shared" si="1"/>
        <v>26391816.01050299</v>
      </c>
      <c r="K8" s="44">
        <f t="shared" si="1"/>
        <v>27326754.888661604</v>
      </c>
      <c r="L8" s="44">
        <f t="shared" si="1"/>
        <v>27812056.323613364</v>
      </c>
      <c r="M8" s="44">
        <f t="shared" si="1"/>
        <v>28185651.78814901</v>
      </c>
      <c r="N8" s="44">
        <f t="shared" si="1"/>
        <v>28371162.813613951</v>
      </c>
      <c r="O8" s="44">
        <f t="shared" si="1"/>
        <v>29229044.605278205</v>
      </c>
      <c r="P8" s="44">
        <f t="shared" si="1"/>
        <v>29857620.678796936</v>
      </c>
      <c r="Q8" s="44">
        <f t="shared" si="1"/>
        <v>30336859.201849435</v>
      </c>
    </row>
    <row r="9" spans="1:17" x14ac:dyDescent="0.25">
      <c r="A9" s="42" t="s">
        <v>51</v>
      </c>
      <c r="B9" s="43">
        <f>'US Jet Fuel'!$B644</f>
        <v>28467810</v>
      </c>
      <c r="C9" s="43">
        <f>'US Jet Fuel'!$B656</f>
        <v>27624660</v>
      </c>
      <c r="D9" s="43">
        <f>'US Jet Fuel'!$B668</f>
        <v>12018720</v>
      </c>
      <c r="E9" s="43">
        <f>'US Jet Fuel'!$B680</f>
        <v>21860580</v>
      </c>
      <c r="F9" s="43">
        <f>'US Jet Fuel'!$B692</f>
        <v>25846380</v>
      </c>
      <c r="G9" s="43">
        <f>'US Jet Fuel'!$B704</f>
        <v>26904150</v>
      </c>
      <c r="H9" s="43">
        <f>'US Jet Fuel'!$B716</f>
        <v>26214300</v>
      </c>
      <c r="I9" s="44">
        <f t="shared" si="2"/>
        <v>26487467.617372654</v>
      </c>
      <c r="J9" s="44">
        <f t="shared" si="1"/>
        <v>27587639.780897435</v>
      </c>
      <c r="K9" s="44">
        <f t="shared" si="1"/>
        <v>28318709.166327979</v>
      </c>
      <c r="L9" s="44">
        <f t="shared" si="1"/>
        <v>28700692.917152196</v>
      </c>
      <c r="M9" s="44">
        <f t="shared" si="1"/>
        <v>28983837.08354437</v>
      </c>
      <c r="N9" s="44">
        <f t="shared" si="1"/>
        <v>29523773.269032568</v>
      </c>
      <c r="O9" s="44">
        <f t="shared" si="1"/>
        <v>30293156.988406315</v>
      </c>
      <c r="P9" s="44">
        <f t="shared" si="1"/>
        <v>30894826.952859517</v>
      </c>
      <c r="Q9" s="44">
        <f t="shared" si="1"/>
        <v>31381690.732550208</v>
      </c>
    </row>
    <row r="10" spans="1:17" x14ac:dyDescent="0.25">
      <c r="A10" s="42" t="s">
        <v>52</v>
      </c>
      <c r="B10" s="43">
        <f>'US Jet Fuel'!$B645</f>
        <v>27180090</v>
      </c>
      <c r="C10" s="43">
        <f>'US Jet Fuel'!$B657</f>
        <v>28314510</v>
      </c>
      <c r="D10" s="43">
        <f>'US Jet Fuel'!$B669</f>
        <v>14839440</v>
      </c>
      <c r="E10" s="43">
        <f>'US Jet Fuel'!$B681</f>
        <v>23010330</v>
      </c>
      <c r="F10" s="43">
        <f>'US Jet Fuel'!$B693</f>
        <v>24573990</v>
      </c>
      <c r="G10" s="43">
        <f>'US Jet Fuel'!$B705</f>
        <v>26873490</v>
      </c>
      <c r="H10" s="43">
        <f>'US Jet Fuel'!$B717</f>
        <v>28084560</v>
      </c>
      <c r="I10" s="44">
        <f t="shared" si="2"/>
        <v>27552579.750879284</v>
      </c>
      <c r="J10" s="44">
        <f t="shared" si="1"/>
        <v>28190491.631393827</v>
      </c>
      <c r="K10" s="44">
        <f t="shared" si="1"/>
        <v>28794485.41237082</v>
      </c>
      <c r="L10" s="44">
        <f t="shared" si="1"/>
        <v>29544340.711004026</v>
      </c>
      <c r="M10" s="44">
        <f t="shared" si="1"/>
        <v>30009213.965517592</v>
      </c>
      <c r="N10" s="44">
        <f t="shared" si="1"/>
        <v>30369528.263775032</v>
      </c>
      <c r="O10" s="44">
        <f t="shared" si="1"/>
        <v>31096109.692618601</v>
      </c>
      <c r="P10" s="44">
        <f t="shared" si="1"/>
        <v>31740929.095395975</v>
      </c>
      <c r="Q10" s="44">
        <f t="shared" si="1"/>
        <v>32304520.459656078</v>
      </c>
    </row>
    <row r="11" spans="1:17" x14ac:dyDescent="0.25">
      <c r="A11" s="42" t="s">
        <v>53</v>
      </c>
      <c r="B11" s="43">
        <f>'US Jet Fuel'!$B646</f>
        <v>28483140</v>
      </c>
      <c r="C11" s="43">
        <f>'US Jet Fuel'!$B658</f>
        <v>28222530</v>
      </c>
      <c r="D11" s="43">
        <f>'US Jet Fuel'!$B670</f>
        <v>15575280</v>
      </c>
      <c r="E11" s="43">
        <f>'US Jet Fuel'!$B682</f>
        <v>23960790</v>
      </c>
      <c r="F11" s="43">
        <f>'US Jet Fuel'!$B694</f>
        <v>25355820</v>
      </c>
      <c r="G11" s="43">
        <f>'US Jet Fuel'!$B706</f>
        <v>26183640</v>
      </c>
      <c r="H11" s="44">
        <f t="shared" si="2"/>
        <v>27723051.798123598</v>
      </c>
      <c r="I11" s="44">
        <f t="shared" si="2"/>
        <v>27885133.133354791</v>
      </c>
      <c r="J11" s="44">
        <f t="shared" si="1"/>
        <v>28410105.425449096</v>
      </c>
      <c r="K11" s="44">
        <f t="shared" si="1"/>
        <v>28854647.579302289</v>
      </c>
      <c r="L11" s="44">
        <f t="shared" si="1"/>
        <v>29451357.007265985</v>
      </c>
      <c r="M11" s="44">
        <f t="shared" si="1"/>
        <v>30042531.089171428</v>
      </c>
      <c r="N11" s="44">
        <f t="shared" si="1"/>
        <v>30486010.864550199</v>
      </c>
      <c r="O11" s="44">
        <f t="shared" si="1"/>
        <v>31167356.302130979</v>
      </c>
      <c r="P11" s="44">
        <f t="shared" si="1"/>
        <v>31780808.163968373</v>
      </c>
      <c r="Q11" s="44">
        <f t="shared" si="1"/>
        <v>32340035.461757082</v>
      </c>
    </row>
    <row r="12" spans="1:17" x14ac:dyDescent="0.25">
      <c r="A12" s="42" t="s">
        <v>54</v>
      </c>
      <c r="B12" s="43">
        <f>'US Jet Fuel'!$B647</f>
        <v>26122320</v>
      </c>
      <c r="C12" s="43">
        <f>'US Jet Fuel'!$B659</f>
        <v>26091660</v>
      </c>
      <c r="D12" s="43">
        <f>'US Jet Fuel'!$B671</f>
        <v>14118930</v>
      </c>
      <c r="E12" s="43">
        <f>'US Jet Fuel'!$B683</f>
        <v>22765050</v>
      </c>
      <c r="F12" s="43">
        <f>'US Jet Fuel'!$B695</f>
        <v>23516220</v>
      </c>
      <c r="G12" s="43">
        <f>'US Jet Fuel'!$B707</f>
        <v>25923030</v>
      </c>
      <c r="H12" s="44">
        <f t="shared" si="2"/>
        <v>26123507.945983082</v>
      </c>
      <c r="I12" s="44">
        <f t="shared" si="2"/>
        <v>26394189.312491626</v>
      </c>
      <c r="J12" s="44">
        <f t="shared" si="1"/>
        <v>27026217.594906993</v>
      </c>
      <c r="K12" s="44">
        <f t="shared" si="1"/>
        <v>27455189.804403409</v>
      </c>
      <c r="L12" s="44">
        <f t="shared" si="1"/>
        <v>28152118.368464231</v>
      </c>
      <c r="M12" s="44">
        <f t="shared" si="1"/>
        <v>28528402.836055595</v>
      </c>
      <c r="N12" s="44">
        <f t="shared" si="1"/>
        <v>28992172.856900211</v>
      </c>
      <c r="O12" s="44">
        <f t="shared" si="1"/>
        <v>29666495.584831193</v>
      </c>
      <c r="P12" s="44">
        <f t="shared" si="1"/>
        <v>30253754.747241586</v>
      </c>
      <c r="Q12" s="44">
        <f t="shared" si="1"/>
        <v>30788861.633052021</v>
      </c>
    </row>
    <row r="13" spans="1:17" x14ac:dyDescent="0.25">
      <c r="A13" s="42" t="s">
        <v>55</v>
      </c>
      <c r="B13" s="43">
        <f>'US Jet Fuel'!$B648</f>
        <v>25677750</v>
      </c>
      <c r="C13" s="43">
        <f>'US Jet Fuel'!$B660</f>
        <v>26474910</v>
      </c>
      <c r="D13" s="43">
        <f>'US Jet Fuel'!$B672</f>
        <v>15421980</v>
      </c>
      <c r="E13" s="43">
        <f>'US Jet Fuel'!$B684</f>
        <v>22489110</v>
      </c>
      <c r="F13" s="43">
        <f>'US Jet Fuel'!$B696</f>
        <v>23884140</v>
      </c>
      <c r="G13" s="43">
        <f>'US Jet Fuel'!$B708</f>
        <v>26015010</v>
      </c>
      <c r="H13" s="44">
        <f t="shared" si="2"/>
        <v>26558127.879081398</v>
      </c>
      <c r="I13" s="44">
        <f t="shared" si="2"/>
        <v>26845246.098746397</v>
      </c>
      <c r="J13" s="44">
        <f t="shared" si="1"/>
        <v>27257998.959543329</v>
      </c>
      <c r="K13" s="44">
        <f t="shared" si="1"/>
        <v>27790944.207969699</v>
      </c>
      <c r="L13" s="44">
        <f t="shared" si="1"/>
        <v>28479380.956623267</v>
      </c>
      <c r="M13" s="44">
        <f t="shared" si="1"/>
        <v>28904234.508623455</v>
      </c>
      <c r="N13" s="44">
        <f t="shared" si="1"/>
        <v>29355046.151867963</v>
      </c>
      <c r="O13" s="44">
        <f t="shared" si="1"/>
        <v>30012260.1300078</v>
      </c>
      <c r="P13" s="44">
        <f t="shared" si="1"/>
        <v>30623993.606311236</v>
      </c>
      <c r="Q13" s="44">
        <f t="shared" si="1"/>
        <v>31165698.969148852</v>
      </c>
    </row>
    <row r="14" spans="1:17" x14ac:dyDescent="0.25">
      <c r="A14" s="42" t="s">
        <v>56</v>
      </c>
      <c r="B14" s="43">
        <f>'US Jet Fuel'!$B649</f>
        <v>26919480</v>
      </c>
      <c r="C14" s="43">
        <f>'US Jet Fuel'!$B661</f>
        <v>26229630</v>
      </c>
      <c r="D14" s="43">
        <f>'US Jet Fuel'!$B673</f>
        <v>17322900</v>
      </c>
      <c r="E14" s="43">
        <f>'US Jet Fuel'!$B685</f>
        <v>23102310</v>
      </c>
      <c r="F14" s="43">
        <f>'US Jet Fuel'!$B697</f>
        <v>24282720</v>
      </c>
      <c r="G14" s="43">
        <f>'US Jet Fuel'!$B709</f>
        <v>24880590</v>
      </c>
      <c r="H14" s="44">
        <f t="shared" si="2"/>
        <v>26914373.72588329</v>
      </c>
      <c r="I14" s="44">
        <f t="shared" si="2"/>
        <v>27346275.122104634</v>
      </c>
      <c r="J14" s="44">
        <f t="shared" si="1"/>
        <v>27417188.214768354</v>
      </c>
      <c r="K14" s="44">
        <f t="shared" si="1"/>
        <v>27850677.496689215</v>
      </c>
      <c r="L14" s="44">
        <f t="shared" si="1"/>
        <v>28467049.758858025</v>
      </c>
      <c r="M14" s="44">
        <f t="shared" si="1"/>
        <v>29128800.763399459</v>
      </c>
      <c r="N14" s="44">
        <f t="shared" si="1"/>
        <v>29551519.534196392</v>
      </c>
      <c r="O14" s="44">
        <f t="shared" si="1"/>
        <v>30145111.124737393</v>
      </c>
      <c r="P14" s="44">
        <f t="shared" si="1"/>
        <v>30751389.114709552</v>
      </c>
      <c r="Q14" s="44">
        <f t="shared" si="1"/>
        <v>31307164.34886327</v>
      </c>
    </row>
    <row r="15" spans="1:17" x14ac:dyDescent="0.25">
      <c r="A15" s="42" t="s">
        <v>57</v>
      </c>
      <c r="B15" s="43">
        <f>'US Jet Fuel'!$B650</f>
        <v>25693080</v>
      </c>
      <c r="C15" s="43">
        <f>'US Jet Fuel'!$B662</f>
        <v>27731970</v>
      </c>
      <c r="D15" s="43">
        <f>'US Jet Fuel'!$B674</f>
        <v>17598840</v>
      </c>
      <c r="E15" s="43">
        <f>'US Jet Fuel'!$B686</f>
        <v>23255610</v>
      </c>
      <c r="F15" s="43">
        <f>'US Jet Fuel'!$B698</f>
        <v>24420690</v>
      </c>
      <c r="G15" s="43">
        <f>'US Jet Fuel'!$B710</f>
        <v>25570440</v>
      </c>
      <c r="H15" s="44">
        <f>H16-SUM(H4:H14)</f>
        <v>28562168.650928617</v>
      </c>
      <c r="I15" s="44">
        <f>I16-SUM(I4:I14)</f>
        <v>28028120.520357132</v>
      </c>
      <c r="J15" s="44">
        <f t="shared" ref="J15:Q15" si="3">J16-SUM(J4:J14)</f>
        <v>28134602.39084667</v>
      </c>
      <c r="K15" s="44">
        <f t="shared" si="3"/>
        <v>28675478.275686562</v>
      </c>
      <c r="L15" s="44">
        <f t="shared" si="3"/>
        <v>29433191.833610654</v>
      </c>
      <c r="M15" s="44">
        <f t="shared" si="3"/>
        <v>30150029.682526112</v>
      </c>
      <c r="N15" s="44">
        <f t="shared" si="3"/>
        <v>30439146.689154983</v>
      </c>
      <c r="O15" s="44">
        <f t="shared" si="3"/>
        <v>31080105.046989679</v>
      </c>
      <c r="P15" s="44">
        <f t="shared" si="3"/>
        <v>31733359.740796149</v>
      </c>
      <c r="Q15" s="44">
        <f t="shared" si="3"/>
        <v>32320531.288097382</v>
      </c>
    </row>
    <row r="16" spans="1:17" ht="15.75" thickBot="1" x14ac:dyDescent="0.3">
      <c r="A16" s="42" t="s">
        <v>58</v>
      </c>
      <c r="B16" s="43">
        <f>SUM(B4:B15)</f>
        <v>313927740</v>
      </c>
      <c r="C16" s="43">
        <f t="shared" ref="C16:G16" si="4">SUM(C4:C15)</f>
        <v>320504310</v>
      </c>
      <c r="D16" s="43">
        <f t="shared" si="4"/>
        <v>198186240</v>
      </c>
      <c r="E16" s="43">
        <f t="shared" si="4"/>
        <v>251687940</v>
      </c>
      <c r="F16" s="43">
        <f t="shared" si="4"/>
        <v>286762980</v>
      </c>
      <c r="G16" s="43">
        <f t="shared" si="4"/>
        <v>303963240</v>
      </c>
      <c r="H16" s="44">
        <f>'[2]Jet Fuel'!H$6*1000</f>
        <v>316300000</v>
      </c>
      <c r="I16" s="44">
        <f>'[2]Jet Fuel'!I$6*1000</f>
        <v>318500000</v>
      </c>
      <c r="J16" s="44">
        <f>'[2]Jet Fuel'!J$6*1000</f>
        <v>320100000</v>
      </c>
      <c r="K16" s="44">
        <f>'[2]Jet Fuel'!K$6*1000</f>
        <v>329000000</v>
      </c>
      <c r="L16" s="44">
        <f>'[2]Jet Fuel'!L$6*1000</f>
        <v>336300000</v>
      </c>
      <c r="M16" s="44">
        <f>'[2]Jet Fuel'!M$6*1000</f>
        <v>342000000</v>
      </c>
      <c r="N16" s="44">
        <f>'[2]Jet Fuel'!N$6*1000</f>
        <v>346900000</v>
      </c>
      <c r="O16" s="44">
        <f>'[2]Jet Fuel'!O$6*1000</f>
        <v>354400000</v>
      </c>
      <c r="P16" s="44">
        <f>'[2]Jet Fuel'!P$6*1000</f>
        <v>362000000</v>
      </c>
      <c r="Q16" s="44">
        <f>'[2]Jet Fuel'!Q$6*1000</f>
        <v>368300000</v>
      </c>
    </row>
    <row r="17" spans="1:1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9443-7563-4D47-BE21-2CE0AF5FFB63}">
  <dimension ref="A1:E842"/>
  <sheetViews>
    <sheetView tabSelected="1" zoomScaleNormal="100" workbookViewId="0">
      <pane xSplit="1" ySplit="2" topLeftCell="B706" activePane="bottomRight" state="frozen"/>
      <selection activeCell="B711" sqref="B711"/>
      <selection pane="topRight" activeCell="B711" sqref="B711"/>
      <selection pane="bottomLeft" activeCell="B711" sqref="B711"/>
      <selection pane="bottomRight" activeCell="B711" sqref="B711"/>
    </sheetView>
  </sheetViews>
  <sheetFormatPr defaultRowHeight="15" x14ac:dyDescent="0.25"/>
  <cols>
    <col min="1" max="1" width="13.5703125" customWidth="1"/>
    <col min="2" max="3" width="14.28515625" style="49" customWidth="1"/>
    <col min="5" max="5" width="13.28515625" bestFit="1" customWidth="1"/>
  </cols>
  <sheetData>
    <row r="1" spans="1:3" ht="30" customHeight="1" x14ac:dyDescent="0.25">
      <c r="B1" s="50" t="s">
        <v>59</v>
      </c>
      <c r="C1" s="50" t="s">
        <v>60</v>
      </c>
    </row>
    <row r="2" spans="1:3" ht="30" customHeight="1" x14ac:dyDescent="0.25">
      <c r="A2" s="45" t="s">
        <v>61</v>
      </c>
      <c r="B2" s="50"/>
      <c r="C2" s="50"/>
    </row>
    <row r="3" spans="1:3" x14ac:dyDescent="0.25">
      <c r="A3" s="46">
        <v>23743</v>
      </c>
      <c r="B3" s="13">
        <v>4844280</v>
      </c>
      <c r="C3" s="13">
        <v>427224</v>
      </c>
    </row>
    <row r="4" spans="1:3" x14ac:dyDescent="0.25">
      <c r="A4" s="46">
        <v>23774</v>
      </c>
      <c r="B4" s="13">
        <v>4369050</v>
      </c>
      <c r="C4" s="13">
        <v>448518</v>
      </c>
    </row>
    <row r="5" spans="1:3" x14ac:dyDescent="0.25">
      <c r="A5" s="46">
        <v>23802</v>
      </c>
      <c r="B5" s="13">
        <v>4844280</v>
      </c>
      <c r="C5" s="13">
        <v>451794</v>
      </c>
    </row>
    <row r="6" spans="1:3" x14ac:dyDescent="0.25">
      <c r="A6" s="46">
        <v>23833</v>
      </c>
      <c r="B6" s="13">
        <v>4782960</v>
      </c>
      <c r="C6" s="13">
        <v>476742</v>
      </c>
    </row>
    <row r="7" spans="1:3" x14ac:dyDescent="0.25">
      <c r="A7" s="46">
        <v>23863</v>
      </c>
      <c r="B7" s="13">
        <v>5135550</v>
      </c>
      <c r="C7" s="13">
        <v>486276</v>
      </c>
    </row>
    <row r="8" spans="1:3" x14ac:dyDescent="0.25">
      <c r="A8" s="46">
        <v>23894</v>
      </c>
      <c r="B8" s="13">
        <v>5058900</v>
      </c>
      <c r="C8" s="13">
        <v>502236</v>
      </c>
    </row>
    <row r="9" spans="1:3" x14ac:dyDescent="0.25">
      <c r="A9" s="46">
        <v>23924</v>
      </c>
      <c r="B9" s="13">
        <v>5350170</v>
      </c>
      <c r="C9" s="13">
        <v>517734</v>
      </c>
    </row>
    <row r="10" spans="1:3" x14ac:dyDescent="0.25">
      <c r="A10" s="46">
        <v>23955</v>
      </c>
      <c r="B10" s="13">
        <v>5288850</v>
      </c>
      <c r="C10" s="13">
        <v>491778</v>
      </c>
    </row>
    <row r="11" spans="1:3" x14ac:dyDescent="0.25">
      <c r="A11" s="46">
        <v>23986</v>
      </c>
      <c r="B11" s="13">
        <v>5687430</v>
      </c>
      <c r="C11" s="13">
        <v>452130</v>
      </c>
    </row>
    <row r="12" spans="1:3" x14ac:dyDescent="0.25">
      <c r="A12" s="46">
        <v>24016</v>
      </c>
      <c r="B12" s="13">
        <v>5120220</v>
      </c>
      <c r="C12" s="13">
        <v>449022</v>
      </c>
    </row>
    <row r="13" spans="1:3" x14ac:dyDescent="0.25">
      <c r="A13" s="46">
        <v>24047</v>
      </c>
      <c r="B13" s="13">
        <v>5120220</v>
      </c>
      <c r="C13" s="13">
        <v>465444</v>
      </c>
    </row>
    <row r="14" spans="1:3" x14ac:dyDescent="0.25">
      <c r="A14" s="46">
        <v>24077</v>
      </c>
      <c r="B14" s="13">
        <v>5702760</v>
      </c>
      <c r="C14" s="13">
        <v>435162</v>
      </c>
    </row>
    <row r="15" spans="1:3" x14ac:dyDescent="0.25">
      <c r="A15" s="46">
        <v>24108</v>
      </c>
      <c r="B15" s="13">
        <v>5580120</v>
      </c>
      <c r="C15" s="13">
        <v>441630</v>
      </c>
    </row>
    <row r="16" spans="1:3" x14ac:dyDescent="0.25">
      <c r="A16" s="46">
        <v>24139</v>
      </c>
      <c r="B16" s="13">
        <v>6147330</v>
      </c>
      <c r="C16" s="13">
        <v>457296</v>
      </c>
    </row>
    <row r="17" spans="1:3" x14ac:dyDescent="0.25">
      <c r="A17" s="46">
        <v>24167</v>
      </c>
      <c r="B17" s="13">
        <v>5994030</v>
      </c>
      <c r="C17" s="13">
        <v>483882</v>
      </c>
    </row>
    <row r="18" spans="1:3" x14ac:dyDescent="0.25">
      <c r="A18" s="46">
        <v>24198</v>
      </c>
      <c r="B18" s="13">
        <v>6530580</v>
      </c>
      <c r="C18" s="13">
        <v>454482</v>
      </c>
    </row>
    <row r="19" spans="1:3" x14ac:dyDescent="0.25">
      <c r="A19" s="46">
        <v>24228</v>
      </c>
      <c r="B19" s="13">
        <v>5656770</v>
      </c>
      <c r="C19" s="13">
        <v>507150</v>
      </c>
    </row>
    <row r="20" spans="1:3" x14ac:dyDescent="0.25">
      <c r="A20" s="46">
        <v>24259</v>
      </c>
      <c r="B20" s="13">
        <v>6453930</v>
      </c>
      <c r="C20" s="13">
        <v>516894</v>
      </c>
    </row>
    <row r="21" spans="1:3" x14ac:dyDescent="0.25">
      <c r="A21" s="46">
        <v>24289</v>
      </c>
      <c r="B21" s="13">
        <v>4461030</v>
      </c>
      <c r="C21" s="13">
        <v>645708</v>
      </c>
    </row>
    <row r="22" spans="1:3" x14ac:dyDescent="0.25">
      <c r="A22" s="46">
        <v>24320</v>
      </c>
      <c r="B22" s="13">
        <v>4690980</v>
      </c>
      <c r="C22" s="13">
        <v>670740</v>
      </c>
    </row>
    <row r="23" spans="1:3" x14ac:dyDescent="0.25">
      <c r="A23" s="46">
        <v>24351</v>
      </c>
      <c r="B23" s="13">
        <v>6177990</v>
      </c>
      <c r="C23" s="13">
        <v>635838</v>
      </c>
    </row>
    <row r="24" spans="1:3" x14ac:dyDescent="0.25">
      <c r="A24" s="46">
        <v>24381</v>
      </c>
      <c r="B24" s="13">
        <v>6775860</v>
      </c>
      <c r="C24" s="13">
        <v>571074</v>
      </c>
    </row>
    <row r="25" spans="1:3" x14ac:dyDescent="0.25">
      <c r="A25" s="46">
        <v>24412</v>
      </c>
      <c r="B25" s="13">
        <v>6469260</v>
      </c>
      <c r="C25" s="13">
        <v>589554</v>
      </c>
    </row>
    <row r="26" spans="1:3" x14ac:dyDescent="0.25">
      <c r="A26" s="46">
        <v>24442</v>
      </c>
      <c r="B26" s="13">
        <v>7097790</v>
      </c>
      <c r="C26" s="13">
        <v>509838</v>
      </c>
    </row>
    <row r="27" spans="1:3" x14ac:dyDescent="0.25">
      <c r="A27" s="46">
        <v>24473</v>
      </c>
      <c r="B27" s="13">
        <v>6699210</v>
      </c>
      <c r="C27" s="13">
        <v>511938</v>
      </c>
    </row>
    <row r="28" spans="1:3" x14ac:dyDescent="0.25">
      <c r="A28" s="46">
        <v>24504</v>
      </c>
      <c r="B28" s="13">
        <v>7143780</v>
      </c>
      <c r="C28" s="13">
        <v>543690</v>
      </c>
    </row>
    <row r="29" spans="1:3" x14ac:dyDescent="0.25">
      <c r="A29" s="46">
        <v>24532</v>
      </c>
      <c r="B29" s="13">
        <v>7435050</v>
      </c>
      <c r="C29" s="13">
        <v>531888</v>
      </c>
    </row>
    <row r="30" spans="1:3" x14ac:dyDescent="0.25">
      <c r="A30" s="46">
        <v>24563</v>
      </c>
      <c r="B30" s="13">
        <v>7542360</v>
      </c>
      <c r="C30" s="13">
        <v>534366</v>
      </c>
    </row>
    <row r="31" spans="1:3" x14ac:dyDescent="0.25">
      <c r="A31" s="46">
        <v>24593</v>
      </c>
      <c r="B31" s="13">
        <v>7879620</v>
      </c>
      <c r="C31" s="13">
        <v>555660</v>
      </c>
    </row>
    <row r="32" spans="1:3" x14ac:dyDescent="0.25">
      <c r="A32" s="46">
        <v>24624</v>
      </c>
      <c r="B32" s="13">
        <v>8216880</v>
      </c>
      <c r="C32" s="13">
        <v>562338</v>
      </c>
    </row>
    <row r="33" spans="1:3" x14ac:dyDescent="0.25">
      <c r="A33" s="46">
        <v>24654</v>
      </c>
      <c r="B33" s="13">
        <v>8477490</v>
      </c>
      <c r="C33" s="13">
        <v>545160</v>
      </c>
    </row>
    <row r="34" spans="1:3" x14ac:dyDescent="0.25">
      <c r="A34" s="46">
        <v>24685</v>
      </c>
      <c r="B34" s="13">
        <v>8170890</v>
      </c>
      <c r="C34" s="13">
        <v>558348</v>
      </c>
    </row>
    <row r="35" spans="1:3" x14ac:dyDescent="0.25">
      <c r="A35" s="46">
        <v>24716</v>
      </c>
      <c r="B35" s="13">
        <v>7619010</v>
      </c>
      <c r="C35" s="13">
        <v>573594</v>
      </c>
    </row>
    <row r="36" spans="1:3" x14ac:dyDescent="0.25">
      <c r="A36" s="46">
        <v>24746</v>
      </c>
      <c r="B36" s="13">
        <v>9121350</v>
      </c>
      <c r="C36" s="13">
        <v>572502</v>
      </c>
    </row>
    <row r="37" spans="1:3" x14ac:dyDescent="0.25">
      <c r="A37" s="46">
        <v>24777</v>
      </c>
      <c r="B37" s="13">
        <v>8170890</v>
      </c>
      <c r="C37" s="13">
        <v>576450</v>
      </c>
    </row>
    <row r="38" spans="1:3" x14ac:dyDescent="0.25">
      <c r="A38" s="46">
        <v>24807</v>
      </c>
      <c r="B38" s="13">
        <v>8814750</v>
      </c>
      <c r="C38" s="13">
        <v>553308</v>
      </c>
    </row>
    <row r="39" spans="1:3" x14ac:dyDescent="0.25">
      <c r="A39" s="46">
        <v>24838</v>
      </c>
      <c r="B39" s="13">
        <v>8508150</v>
      </c>
      <c r="C39" s="13">
        <v>573426</v>
      </c>
    </row>
    <row r="40" spans="1:3" x14ac:dyDescent="0.25">
      <c r="A40" s="46">
        <v>24869</v>
      </c>
      <c r="B40" s="13">
        <v>9458610</v>
      </c>
      <c r="C40" s="13">
        <v>581868</v>
      </c>
    </row>
    <row r="41" spans="1:3" x14ac:dyDescent="0.25">
      <c r="A41" s="46">
        <v>24898</v>
      </c>
      <c r="B41" s="13">
        <v>8569470</v>
      </c>
      <c r="C41" s="13">
        <v>599550</v>
      </c>
    </row>
    <row r="42" spans="1:3" x14ac:dyDescent="0.25">
      <c r="A42" s="46">
        <v>24929</v>
      </c>
      <c r="B42" s="13">
        <v>9152010</v>
      </c>
      <c r="C42" s="13">
        <v>613620</v>
      </c>
    </row>
    <row r="43" spans="1:3" x14ac:dyDescent="0.25">
      <c r="A43" s="46">
        <v>24959</v>
      </c>
      <c r="B43" s="13">
        <v>8293530</v>
      </c>
      <c r="C43" s="13">
        <v>693210</v>
      </c>
    </row>
    <row r="44" spans="1:3" x14ac:dyDescent="0.25">
      <c r="A44" s="46">
        <v>24990</v>
      </c>
      <c r="B44" s="13">
        <v>9458610</v>
      </c>
      <c r="C44" s="13">
        <v>638232</v>
      </c>
    </row>
    <row r="45" spans="1:3" x14ac:dyDescent="0.25">
      <c r="A45" s="46">
        <v>25020</v>
      </c>
      <c r="B45" s="13">
        <v>9857190</v>
      </c>
      <c r="C45" s="13">
        <v>654276</v>
      </c>
    </row>
    <row r="46" spans="1:3" x14ac:dyDescent="0.25">
      <c r="A46" s="46">
        <v>25051</v>
      </c>
      <c r="B46" s="13">
        <v>9964500</v>
      </c>
      <c r="C46" s="13">
        <v>665280</v>
      </c>
    </row>
    <row r="47" spans="1:3" x14ac:dyDescent="0.25">
      <c r="A47" s="46">
        <v>25082</v>
      </c>
      <c r="B47" s="13">
        <v>9826530</v>
      </c>
      <c r="C47" s="13">
        <v>659568</v>
      </c>
    </row>
    <row r="48" spans="1:3" x14ac:dyDescent="0.25">
      <c r="A48" s="46">
        <v>25112</v>
      </c>
      <c r="B48" s="13">
        <v>9918510</v>
      </c>
      <c r="C48" s="13">
        <v>674982</v>
      </c>
    </row>
    <row r="49" spans="1:3" x14ac:dyDescent="0.25">
      <c r="A49" s="46">
        <v>25143</v>
      </c>
      <c r="B49" s="13">
        <v>9473940</v>
      </c>
      <c r="C49" s="13">
        <v>652554</v>
      </c>
    </row>
    <row r="50" spans="1:3" x14ac:dyDescent="0.25">
      <c r="A50" s="46">
        <v>25173</v>
      </c>
      <c r="B50" s="13">
        <v>9519930</v>
      </c>
      <c r="C50" s="13">
        <v>645666</v>
      </c>
    </row>
    <row r="51" spans="1:3" x14ac:dyDescent="0.25">
      <c r="A51" s="46">
        <v>25204</v>
      </c>
      <c r="B51" s="13">
        <v>10163790</v>
      </c>
      <c r="C51" s="13">
        <v>595392</v>
      </c>
    </row>
    <row r="52" spans="1:3" x14ac:dyDescent="0.25">
      <c r="A52" s="46">
        <v>25235</v>
      </c>
      <c r="B52" s="13">
        <v>9918510</v>
      </c>
      <c r="C52" s="13">
        <v>675948</v>
      </c>
    </row>
    <row r="53" spans="1:3" x14ac:dyDescent="0.25">
      <c r="A53" s="46">
        <v>25263</v>
      </c>
      <c r="B53" s="13">
        <v>9673230</v>
      </c>
      <c r="C53" s="13">
        <v>719166</v>
      </c>
    </row>
    <row r="54" spans="1:3" x14ac:dyDescent="0.25">
      <c r="A54" s="46">
        <v>25294</v>
      </c>
      <c r="B54" s="13">
        <v>10102470</v>
      </c>
      <c r="C54" s="13">
        <v>767256</v>
      </c>
    </row>
    <row r="55" spans="1:3" x14ac:dyDescent="0.25">
      <c r="A55" s="46">
        <v>25324</v>
      </c>
      <c r="B55" s="13">
        <v>9795870</v>
      </c>
      <c r="C55" s="13">
        <v>825846</v>
      </c>
    </row>
    <row r="56" spans="1:3" x14ac:dyDescent="0.25">
      <c r="A56" s="46">
        <v>25355</v>
      </c>
      <c r="B56" s="13">
        <v>11144910</v>
      </c>
      <c r="C56" s="13">
        <v>819630</v>
      </c>
    </row>
    <row r="57" spans="1:3" x14ac:dyDescent="0.25">
      <c r="A57" s="46">
        <v>25385</v>
      </c>
      <c r="B57" s="13">
        <v>10577700</v>
      </c>
      <c r="C57" s="13">
        <v>862512</v>
      </c>
    </row>
    <row r="58" spans="1:3" x14ac:dyDescent="0.25">
      <c r="A58" s="46">
        <v>25416</v>
      </c>
      <c r="B58" s="13">
        <v>10593030</v>
      </c>
      <c r="C58" s="13">
        <v>896574</v>
      </c>
    </row>
    <row r="59" spans="1:3" x14ac:dyDescent="0.25">
      <c r="A59" s="46">
        <v>25447</v>
      </c>
      <c r="B59" s="13">
        <v>11604810</v>
      </c>
      <c r="C59" s="13">
        <v>840126</v>
      </c>
    </row>
    <row r="60" spans="1:3" x14ac:dyDescent="0.25">
      <c r="A60" s="46">
        <v>25477</v>
      </c>
      <c r="B60" s="13">
        <v>10301760</v>
      </c>
      <c r="C60" s="13">
        <v>845922</v>
      </c>
    </row>
    <row r="61" spans="1:3" x14ac:dyDescent="0.25">
      <c r="A61" s="46">
        <v>25508</v>
      </c>
      <c r="B61" s="13">
        <v>11328870</v>
      </c>
      <c r="C61" s="13">
        <v>859866</v>
      </c>
    </row>
    <row r="62" spans="1:3" x14ac:dyDescent="0.25">
      <c r="A62" s="46">
        <v>25538</v>
      </c>
      <c r="B62" s="13">
        <v>12401970</v>
      </c>
      <c r="C62" s="13">
        <v>819714</v>
      </c>
    </row>
    <row r="63" spans="1:3" x14ac:dyDescent="0.25">
      <c r="A63" s="46">
        <v>25569</v>
      </c>
      <c r="B63" s="13">
        <v>10945620</v>
      </c>
      <c r="C63" s="13">
        <v>792834</v>
      </c>
    </row>
    <row r="64" spans="1:3" x14ac:dyDescent="0.25">
      <c r="A64" s="46">
        <v>25600</v>
      </c>
      <c r="B64" s="13">
        <v>11788770</v>
      </c>
      <c r="C64" s="13">
        <v>775782</v>
      </c>
    </row>
    <row r="65" spans="1:3" x14ac:dyDescent="0.25">
      <c r="A65" s="46">
        <v>25628</v>
      </c>
      <c r="B65" s="13">
        <v>10424400</v>
      </c>
      <c r="C65" s="13">
        <v>833238</v>
      </c>
    </row>
    <row r="66" spans="1:3" x14ac:dyDescent="0.25">
      <c r="A66" s="46">
        <v>25659</v>
      </c>
      <c r="B66" s="13">
        <v>10439730</v>
      </c>
      <c r="C66" s="13">
        <v>920136</v>
      </c>
    </row>
    <row r="67" spans="1:3" x14ac:dyDescent="0.25">
      <c r="A67" s="46">
        <v>25689</v>
      </c>
      <c r="B67" s="13">
        <v>9995160</v>
      </c>
      <c r="C67" s="13">
        <v>912702</v>
      </c>
    </row>
    <row r="68" spans="1:3" x14ac:dyDescent="0.25">
      <c r="A68" s="46">
        <v>25720</v>
      </c>
      <c r="B68" s="13">
        <v>11451510</v>
      </c>
      <c r="C68" s="13">
        <v>917028</v>
      </c>
    </row>
    <row r="69" spans="1:3" x14ac:dyDescent="0.25">
      <c r="A69" s="46">
        <v>25750</v>
      </c>
      <c r="B69" s="13">
        <v>10991610</v>
      </c>
      <c r="C69" s="13">
        <v>944160</v>
      </c>
    </row>
    <row r="70" spans="1:3" x14ac:dyDescent="0.25">
      <c r="A70" s="46">
        <v>25781</v>
      </c>
      <c r="B70" s="13">
        <v>11405520</v>
      </c>
      <c r="C70" s="13">
        <v>954492</v>
      </c>
    </row>
    <row r="71" spans="1:3" x14ac:dyDescent="0.25">
      <c r="A71" s="46">
        <v>25812</v>
      </c>
      <c r="B71" s="13">
        <v>11926740</v>
      </c>
      <c r="C71" s="13">
        <v>942648</v>
      </c>
    </row>
    <row r="72" spans="1:3" x14ac:dyDescent="0.25">
      <c r="A72" s="46">
        <v>25842</v>
      </c>
      <c r="B72" s="13">
        <v>10715670</v>
      </c>
      <c r="C72" s="13">
        <v>982212</v>
      </c>
    </row>
    <row r="73" spans="1:3" x14ac:dyDescent="0.25">
      <c r="A73" s="46">
        <v>25873</v>
      </c>
      <c r="B73" s="13">
        <v>10930290</v>
      </c>
      <c r="C73" s="13">
        <v>936096</v>
      </c>
    </row>
    <row r="74" spans="1:3" x14ac:dyDescent="0.25">
      <c r="A74" s="46">
        <v>25903</v>
      </c>
      <c r="B74" s="13">
        <v>11144910</v>
      </c>
      <c r="C74" s="13">
        <v>881538</v>
      </c>
    </row>
    <row r="75" spans="1:3" x14ac:dyDescent="0.25">
      <c r="A75" s="46">
        <v>25934</v>
      </c>
      <c r="B75" s="13">
        <v>11006940</v>
      </c>
      <c r="C75" s="13">
        <v>868560</v>
      </c>
    </row>
    <row r="76" spans="1:3" x14ac:dyDescent="0.25">
      <c r="A76" s="46">
        <v>25965</v>
      </c>
      <c r="B76" s="13">
        <v>12279330</v>
      </c>
      <c r="C76" s="13">
        <v>839664</v>
      </c>
    </row>
    <row r="77" spans="1:3" x14ac:dyDescent="0.25">
      <c r="A77" s="46">
        <v>25993</v>
      </c>
      <c r="B77" s="13">
        <v>11420850</v>
      </c>
      <c r="C77" s="13">
        <v>848988</v>
      </c>
    </row>
    <row r="78" spans="1:3" x14ac:dyDescent="0.25">
      <c r="A78" s="46">
        <v>26024</v>
      </c>
      <c r="B78" s="13">
        <v>10776990</v>
      </c>
      <c r="C78" s="13">
        <v>867636</v>
      </c>
    </row>
    <row r="79" spans="1:3" x14ac:dyDescent="0.25">
      <c r="A79" s="46">
        <v>26054</v>
      </c>
      <c r="B79" s="13">
        <v>10761660</v>
      </c>
      <c r="C79" s="13">
        <v>916524</v>
      </c>
    </row>
    <row r="80" spans="1:3" x14ac:dyDescent="0.25">
      <c r="A80" s="46">
        <v>26085</v>
      </c>
      <c r="B80" s="13">
        <v>11773440</v>
      </c>
      <c r="C80" s="13">
        <v>916398</v>
      </c>
    </row>
    <row r="81" spans="1:3" x14ac:dyDescent="0.25">
      <c r="A81" s="46">
        <v>26115</v>
      </c>
      <c r="B81" s="13">
        <v>11298210</v>
      </c>
      <c r="C81" s="13">
        <v>909090</v>
      </c>
    </row>
    <row r="82" spans="1:3" x14ac:dyDescent="0.25">
      <c r="A82" s="46">
        <v>26146</v>
      </c>
      <c r="B82" s="13">
        <v>11650800</v>
      </c>
      <c r="C82" s="13">
        <v>882630</v>
      </c>
    </row>
    <row r="83" spans="1:3" x14ac:dyDescent="0.25">
      <c r="A83" s="46">
        <v>26177</v>
      </c>
      <c r="B83" s="13">
        <v>11022270</v>
      </c>
      <c r="C83" s="13">
        <v>900354</v>
      </c>
    </row>
    <row r="84" spans="1:3" x14ac:dyDescent="0.25">
      <c r="A84" s="46">
        <v>26207</v>
      </c>
      <c r="B84" s="13">
        <v>11911410</v>
      </c>
      <c r="C84" s="13">
        <v>855288</v>
      </c>
    </row>
    <row r="85" spans="1:3" x14ac:dyDescent="0.25">
      <c r="A85" s="46">
        <v>26238</v>
      </c>
      <c r="B85" s="13">
        <v>11374860</v>
      </c>
      <c r="C85" s="13">
        <v>879228</v>
      </c>
    </row>
    <row r="86" spans="1:3" x14ac:dyDescent="0.25">
      <c r="A86" s="46">
        <v>26268</v>
      </c>
      <c r="B86" s="13">
        <v>12846540</v>
      </c>
      <c r="C86" s="13">
        <v>871374</v>
      </c>
    </row>
    <row r="87" spans="1:3" x14ac:dyDescent="0.25">
      <c r="A87" s="46">
        <v>26299</v>
      </c>
      <c r="B87" s="13">
        <v>12294660</v>
      </c>
      <c r="C87" s="13">
        <v>806358</v>
      </c>
    </row>
    <row r="88" spans="1:3" x14ac:dyDescent="0.25">
      <c r="A88" s="46">
        <v>26330</v>
      </c>
      <c r="B88" s="13">
        <v>13521060</v>
      </c>
      <c r="C88" s="13">
        <v>793422</v>
      </c>
    </row>
    <row r="89" spans="1:3" x14ac:dyDescent="0.25">
      <c r="A89" s="46">
        <v>26359</v>
      </c>
      <c r="B89" s="13">
        <v>12202680</v>
      </c>
      <c r="C89" s="13">
        <v>847602</v>
      </c>
    </row>
    <row r="90" spans="1:3" x14ac:dyDescent="0.25">
      <c r="A90" s="46">
        <v>26390</v>
      </c>
      <c r="B90" s="13">
        <v>11052930</v>
      </c>
      <c r="C90" s="13">
        <v>886074</v>
      </c>
    </row>
    <row r="91" spans="1:3" x14ac:dyDescent="0.25">
      <c r="A91" s="46">
        <v>26420</v>
      </c>
      <c r="B91" s="13">
        <v>11252220</v>
      </c>
      <c r="C91" s="13">
        <v>957264</v>
      </c>
    </row>
    <row r="92" spans="1:3" x14ac:dyDescent="0.25">
      <c r="A92" s="46">
        <v>26451</v>
      </c>
      <c r="B92" s="13">
        <v>13751010</v>
      </c>
      <c r="C92" s="13">
        <v>943614</v>
      </c>
    </row>
    <row r="93" spans="1:3" x14ac:dyDescent="0.25">
      <c r="A93" s="46">
        <v>26481</v>
      </c>
      <c r="B93" s="13">
        <v>11788770</v>
      </c>
      <c r="C93" s="13">
        <v>990570</v>
      </c>
    </row>
    <row r="94" spans="1:3" x14ac:dyDescent="0.25">
      <c r="A94" s="46">
        <v>26512</v>
      </c>
      <c r="B94" s="13">
        <v>11129580</v>
      </c>
      <c r="C94" s="13">
        <v>1055544</v>
      </c>
    </row>
    <row r="95" spans="1:3" x14ac:dyDescent="0.25">
      <c r="A95" s="46">
        <v>26543</v>
      </c>
      <c r="B95" s="13">
        <v>12248670</v>
      </c>
      <c r="C95" s="13">
        <v>1026816</v>
      </c>
    </row>
    <row r="96" spans="1:3" x14ac:dyDescent="0.25">
      <c r="A96" s="46">
        <v>26573</v>
      </c>
      <c r="B96" s="13">
        <v>14026950</v>
      </c>
      <c r="C96" s="13">
        <v>953400</v>
      </c>
    </row>
    <row r="97" spans="1:3" x14ac:dyDescent="0.25">
      <c r="A97" s="46">
        <v>26604</v>
      </c>
      <c r="B97" s="13">
        <v>12080040</v>
      </c>
      <c r="C97" s="13">
        <v>882126</v>
      </c>
    </row>
    <row r="98" spans="1:3" x14ac:dyDescent="0.25">
      <c r="A98" s="46">
        <v>26634</v>
      </c>
      <c r="B98" s="13">
        <v>12509280</v>
      </c>
      <c r="C98" s="13">
        <v>812532</v>
      </c>
    </row>
    <row r="99" spans="1:3" x14ac:dyDescent="0.25">
      <c r="A99" s="46">
        <v>26665</v>
      </c>
      <c r="B99" s="13">
        <v>14011620</v>
      </c>
      <c r="C99" s="13">
        <v>792162</v>
      </c>
    </row>
    <row r="100" spans="1:3" x14ac:dyDescent="0.25">
      <c r="A100" s="46">
        <v>26696</v>
      </c>
      <c r="B100" s="13">
        <v>13812330</v>
      </c>
      <c r="C100" s="13">
        <v>837942</v>
      </c>
    </row>
    <row r="101" spans="1:3" x14ac:dyDescent="0.25">
      <c r="A101" s="46">
        <v>26724</v>
      </c>
      <c r="B101" s="13">
        <v>12325320</v>
      </c>
      <c r="C101" s="13">
        <v>910812</v>
      </c>
    </row>
    <row r="102" spans="1:3" x14ac:dyDescent="0.25">
      <c r="A102" s="46">
        <v>26755</v>
      </c>
      <c r="B102" s="13">
        <v>11758110</v>
      </c>
      <c r="C102" s="13">
        <v>952224</v>
      </c>
    </row>
    <row r="103" spans="1:3" x14ac:dyDescent="0.25">
      <c r="A103" s="46">
        <v>26785</v>
      </c>
      <c r="B103" s="13">
        <v>13674360</v>
      </c>
      <c r="C103" s="13">
        <v>872340</v>
      </c>
    </row>
    <row r="104" spans="1:3" x14ac:dyDescent="0.25">
      <c r="A104" s="46">
        <v>26816</v>
      </c>
      <c r="B104" s="13">
        <v>12018720</v>
      </c>
      <c r="C104" s="13">
        <v>875448</v>
      </c>
    </row>
    <row r="105" spans="1:3" x14ac:dyDescent="0.25">
      <c r="A105" s="46">
        <v>26846</v>
      </c>
      <c r="B105" s="13">
        <v>12999840</v>
      </c>
      <c r="C105" s="13">
        <v>898002</v>
      </c>
    </row>
    <row r="106" spans="1:3" x14ac:dyDescent="0.25">
      <c r="A106" s="46">
        <v>26877</v>
      </c>
      <c r="B106" s="13">
        <v>12509280</v>
      </c>
      <c r="C106" s="13">
        <v>864486</v>
      </c>
    </row>
    <row r="107" spans="1:3" x14ac:dyDescent="0.25">
      <c r="A107" s="46">
        <v>26908</v>
      </c>
      <c r="B107" s="13">
        <v>13137810</v>
      </c>
      <c r="C107" s="13">
        <v>860874</v>
      </c>
    </row>
    <row r="108" spans="1:3" x14ac:dyDescent="0.25">
      <c r="A108" s="46">
        <v>26938</v>
      </c>
      <c r="B108" s="13">
        <v>13015170</v>
      </c>
      <c r="C108" s="13">
        <v>896070</v>
      </c>
    </row>
    <row r="109" spans="1:3" x14ac:dyDescent="0.25">
      <c r="A109" s="46">
        <v>26969</v>
      </c>
      <c r="B109" s="13">
        <v>12708570</v>
      </c>
      <c r="C109" s="13">
        <v>991200</v>
      </c>
    </row>
    <row r="110" spans="1:3" x14ac:dyDescent="0.25">
      <c r="A110" s="46">
        <v>26999</v>
      </c>
      <c r="B110" s="13">
        <v>12999840</v>
      </c>
      <c r="C110" s="13">
        <v>963690</v>
      </c>
    </row>
    <row r="111" spans="1:3" x14ac:dyDescent="0.25">
      <c r="A111" s="46">
        <v>27030</v>
      </c>
      <c r="B111" s="13">
        <v>11068260</v>
      </c>
      <c r="C111" s="13">
        <v>1003968</v>
      </c>
    </row>
    <row r="112" spans="1:3" x14ac:dyDescent="0.25">
      <c r="A112" s="46">
        <v>27061</v>
      </c>
      <c r="B112" s="13">
        <v>10639020</v>
      </c>
      <c r="C112" s="13">
        <v>989016</v>
      </c>
    </row>
    <row r="113" spans="1:3" x14ac:dyDescent="0.25">
      <c r="A113" s="46">
        <v>27089</v>
      </c>
      <c r="B113" s="13">
        <v>11528160</v>
      </c>
      <c r="C113" s="13">
        <v>977970</v>
      </c>
    </row>
    <row r="114" spans="1:3" x14ac:dyDescent="0.25">
      <c r="A114" s="46">
        <v>27120</v>
      </c>
      <c r="B114" s="13">
        <v>11083590</v>
      </c>
      <c r="C114" s="13">
        <v>1045296</v>
      </c>
    </row>
    <row r="115" spans="1:3" x14ac:dyDescent="0.25">
      <c r="A115" s="46">
        <v>27150</v>
      </c>
      <c r="B115" s="13">
        <v>11988060</v>
      </c>
      <c r="C115" s="13">
        <v>1076166</v>
      </c>
    </row>
    <row r="116" spans="1:3" x14ac:dyDescent="0.25">
      <c r="A116" s="46">
        <v>27181</v>
      </c>
      <c r="B116" s="13">
        <v>10884300</v>
      </c>
      <c r="C116" s="13">
        <v>1071966</v>
      </c>
    </row>
    <row r="117" spans="1:3" x14ac:dyDescent="0.25">
      <c r="A117" s="46">
        <v>27211</v>
      </c>
      <c r="B117" s="13">
        <v>12478620</v>
      </c>
      <c r="C117" s="13">
        <v>1059870</v>
      </c>
    </row>
    <row r="118" spans="1:3" x14ac:dyDescent="0.25">
      <c r="A118" s="46">
        <v>27242</v>
      </c>
      <c r="B118" s="13">
        <v>12141360</v>
      </c>
      <c r="C118" s="13">
        <v>1060374</v>
      </c>
    </row>
    <row r="119" spans="1:3" x14ac:dyDescent="0.25">
      <c r="A119" s="46">
        <v>27273</v>
      </c>
      <c r="B119" s="13">
        <v>12969180</v>
      </c>
      <c r="C119" s="13">
        <v>1025094</v>
      </c>
    </row>
    <row r="120" spans="1:3" x14ac:dyDescent="0.25">
      <c r="A120" s="46">
        <v>27303</v>
      </c>
      <c r="B120" s="13">
        <v>11988060</v>
      </c>
      <c r="C120" s="13">
        <v>1048236</v>
      </c>
    </row>
    <row r="121" spans="1:3" x14ac:dyDescent="0.25">
      <c r="A121" s="46">
        <v>27334</v>
      </c>
      <c r="B121" s="13">
        <v>12141360</v>
      </c>
      <c r="C121" s="13">
        <v>996786</v>
      </c>
    </row>
    <row r="122" spans="1:3" x14ac:dyDescent="0.25">
      <c r="A122" s="46">
        <v>27364</v>
      </c>
      <c r="B122" s="13">
        <v>12785220</v>
      </c>
      <c r="C122" s="13">
        <v>1004052</v>
      </c>
    </row>
    <row r="123" spans="1:3" x14ac:dyDescent="0.25">
      <c r="A123" s="46">
        <v>27395</v>
      </c>
      <c r="B123" s="13">
        <v>13352430</v>
      </c>
      <c r="C123" s="13">
        <v>1040466</v>
      </c>
    </row>
    <row r="124" spans="1:3" x14ac:dyDescent="0.25">
      <c r="A124" s="46">
        <v>27426</v>
      </c>
      <c r="B124" s="13">
        <v>13321770</v>
      </c>
      <c r="C124" s="13">
        <v>996156</v>
      </c>
    </row>
    <row r="125" spans="1:3" x14ac:dyDescent="0.25">
      <c r="A125" s="46">
        <v>27454</v>
      </c>
      <c r="B125" s="13">
        <v>11911410</v>
      </c>
      <c r="C125" s="13">
        <v>1020642</v>
      </c>
    </row>
    <row r="126" spans="1:3" x14ac:dyDescent="0.25">
      <c r="A126" s="46">
        <v>27485</v>
      </c>
      <c r="B126" s="13">
        <v>12478620</v>
      </c>
      <c r="C126" s="13">
        <v>1028412</v>
      </c>
    </row>
    <row r="127" spans="1:3" x14ac:dyDescent="0.25">
      <c r="A127" s="46">
        <v>27515</v>
      </c>
      <c r="B127" s="13">
        <v>11681460</v>
      </c>
      <c r="C127" s="13">
        <v>1059870</v>
      </c>
    </row>
    <row r="128" spans="1:3" x14ac:dyDescent="0.25">
      <c r="A128" s="46">
        <v>27546</v>
      </c>
      <c r="B128" s="13">
        <v>12218010</v>
      </c>
      <c r="C128" s="13">
        <v>1011528</v>
      </c>
    </row>
    <row r="129" spans="1:3" x14ac:dyDescent="0.25">
      <c r="A129" s="46">
        <v>27576</v>
      </c>
      <c r="B129" s="13">
        <v>11666130</v>
      </c>
      <c r="C129" s="13">
        <v>1017240</v>
      </c>
    </row>
    <row r="130" spans="1:3" x14ac:dyDescent="0.25">
      <c r="A130" s="46">
        <v>27607</v>
      </c>
      <c r="B130" s="13">
        <v>12785220</v>
      </c>
      <c r="C130" s="13">
        <v>1068858</v>
      </c>
    </row>
    <row r="131" spans="1:3" x14ac:dyDescent="0.25">
      <c r="A131" s="46">
        <v>27638</v>
      </c>
      <c r="B131" s="13">
        <v>12355980</v>
      </c>
      <c r="C131" s="13">
        <v>1070748</v>
      </c>
    </row>
    <row r="132" spans="1:3" x14ac:dyDescent="0.25">
      <c r="A132" s="46">
        <v>27668</v>
      </c>
      <c r="B132" s="13">
        <v>11896080</v>
      </c>
      <c r="C132" s="13">
        <v>1030932</v>
      </c>
    </row>
    <row r="133" spans="1:3" x14ac:dyDescent="0.25">
      <c r="A133" s="46">
        <v>27699</v>
      </c>
      <c r="B133" s="13">
        <v>11696790</v>
      </c>
      <c r="C133" s="13">
        <v>972930</v>
      </c>
    </row>
    <row r="134" spans="1:3" x14ac:dyDescent="0.25">
      <c r="A134" s="46">
        <v>27729</v>
      </c>
      <c r="B134" s="13">
        <v>10317090</v>
      </c>
      <c r="C134" s="13">
        <v>1056636</v>
      </c>
    </row>
    <row r="135" spans="1:3" x14ac:dyDescent="0.25">
      <c r="A135" s="46">
        <v>27760</v>
      </c>
      <c r="B135" s="13">
        <v>12355980</v>
      </c>
      <c r="C135" s="13">
        <v>1027950</v>
      </c>
    </row>
    <row r="136" spans="1:3" x14ac:dyDescent="0.25">
      <c r="A136" s="46">
        <v>27791</v>
      </c>
      <c r="B136" s="13">
        <v>11911410</v>
      </c>
      <c r="C136" s="13">
        <v>1051218</v>
      </c>
    </row>
    <row r="137" spans="1:3" x14ac:dyDescent="0.25">
      <c r="A137" s="46">
        <v>27820</v>
      </c>
      <c r="B137" s="13">
        <v>11865420</v>
      </c>
      <c r="C137" s="13">
        <v>1129590</v>
      </c>
    </row>
    <row r="138" spans="1:3" x14ac:dyDescent="0.25">
      <c r="A138" s="46">
        <v>27851</v>
      </c>
      <c r="B138" s="13">
        <v>12325320</v>
      </c>
      <c r="C138" s="13">
        <v>1157814</v>
      </c>
    </row>
    <row r="139" spans="1:3" x14ac:dyDescent="0.25">
      <c r="A139" s="46">
        <v>27881</v>
      </c>
      <c r="B139" s="13">
        <v>11420850</v>
      </c>
      <c r="C139" s="13">
        <v>1175706</v>
      </c>
    </row>
    <row r="140" spans="1:3" x14ac:dyDescent="0.25">
      <c r="A140" s="46">
        <v>27912</v>
      </c>
      <c r="B140" s="13">
        <v>11896080</v>
      </c>
      <c r="C140" s="13">
        <v>1155588</v>
      </c>
    </row>
    <row r="141" spans="1:3" x14ac:dyDescent="0.25">
      <c r="A141" s="46">
        <v>27942</v>
      </c>
      <c r="B141" s="13">
        <v>13567050</v>
      </c>
      <c r="C141" s="13">
        <v>1119426</v>
      </c>
    </row>
    <row r="142" spans="1:3" x14ac:dyDescent="0.25">
      <c r="A142" s="46">
        <v>27973</v>
      </c>
      <c r="B142" s="13">
        <v>11896080</v>
      </c>
      <c r="C142" s="13">
        <v>1125096</v>
      </c>
    </row>
    <row r="143" spans="1:3" x14ac:dyDescent="0.25">
      <c r="A143" s="46">
        <v>28004</v>
      </c>
      <c r="B143" s="13">
        <v>12340650</v>
      </c>
      <c r="C143" s="13">
        <v>1146348</v>
      </c>
    </row>
    <row r="144" spans="1:3" x14ac:dyDescent="0.25">
      <c r="A144" s="46">
        <v>28034</v>
      </c>
      <c r="B144" s="13">
        <v>11252220</v>
      </c>
      <c r="C144" s="13">
        <v>1135722</v>
      </c>
    </row>
    <row r="145" spans="1:3" x14ac:dyDescent="0.25">
      <c r="A145" s="46">
        <v>28065</v>
      </c>
      <c r="B145" s="13">
        <v>11758110</v>
      </c>
      <c r="C145" s="13">
        <v>1136100</v>
      </c>
    </row>
    <row r="146" spans="1:3" x14ac:dyDescent="0.25">
      <c r="A146" s="46">
        <v>28095</v>
      </c>
      <c r="B146" s="13">
        <v>12463290</v>
      </c>
      <c r="C146" s="13">
        <v>1074780</v>
      </c>
    </row>
    <row r="147" spans="1:3" x14ac:dyDescent="0.25">
      <c r="A147" s="46">
        <v>28126</v>
      </c>
      <c r="B147" s="13">
        <v>13475070</v>
      </c>
      <c r="C147" s="13">
        <v>983136</v>
      </c>
    </row>
    <row r="148" spans="1:3" x14ac:dyDescent="0.25">
      <c r="A148" s="46">
        <v>28157</v>
      </c>
      <c r="B148" s="13">
        <v>12831210</v>
      </c>
      <c r="C148" s="13">
        <v>1008714</v>
      </c>
    </row>
    <row r="149" spans="1:3" x14ac:dyDescent="0.25">
      <c r="A149" s="46">
        <v>28185</v>
      </c>
      <c r="B149" s="13">
        <v>12386640</v>
      </c>
      <c r="C149" s="13">
        <v>1036308</v>
      </c>
    </row>
    <row r="150" spans="1:3" x14ac:dyDescent="0.25">
      <c r="A150" s="46">
        <v>28216</v>
      </c>
      <c r="B150" s="13">
        <v>12110700</v>
      </c>
      <c r="C150" s="13">
        <v>1128666</v>
      </c>
    </row>
    <row r="151" spans="1:3" x14ac:dyDescent="0.25">
      <c r="A151" s="46">
        <v>28246</v>
      </c>
      <c r="B151" s="13">
        <v>12018720</v>
      </c>
      <c r="C151" s="13">
        <v>1179486</v>
      </c>
    </row>
    <row r="152" spans="1:3" x14ac:dyDescent="0.25">
      <c r="A152" s="46">
        <v>28277</v>
      </c>
      <c r="B152" s="13">
        <v>11972730</v>
      </c>
      <c r="C152" s="13">
        <v>1215858</v>
      </c>
    </row>
    <row r="153" spans="1:3" x14ac:dyDescent="0.25">
      <c r="A153" s="46">
        <v>28307</v>
      </c>
      <c r="B153" s="13">
        <v>12923190</v>
      </c>
      <c r="C153" s="13">
        <v>1211238</v>
      </c>
    </row>
    <row r="154" spans="1:3" x14ac:dyDescent="0.25">
      <c r="A154" s="46">
        <v>28338</v>
      </c>
      <c r="B154" s="13">
        <v>13751010</v>
      </c>
      <c r="C154" s="13">
        <v>1178478</v>
      </c>
    </row>
    <row r="155" spans="1:3" x14ac:dyDescent="0.25">
      <c r="A155" s="46">
        <v>28369</v>
      </c>
      <c r="B155" s="13">
        <v>12953850</v>
      </c>
      <c r="C155" s="13">
        <v>1212708</v>
      </c>
    </row>
    <row r="156" spans="1:3" x14ac:dyDescent="0.25">
      <c r="A156" s="46">
        <v>28399</v>
      </c>
      <c r="B156" s="13">
        <v>12524610</v>
      </c>
      <c r="C156" s="13">
        <v>1194270</v>
      </c>
    </row>
    <row r="157" spans="1:3" x14ac:dyDescent="0.25">
      <c r="A157" s="46">
        <v>28430</v>
      </c>
      <c r="B157" s="13">
        <v>12355980</v>
      </c>
      <c r="C157" s="13">
        <v>1228794</v>
      </c>
    </row>
    <row r="158" spans="1:3" x14ac:dyDescent="0.25">
      <c r="A158" s="46">
        <v>28460</v>
      </c>
      <c r="B158" s="13">
        <v>13551720</v>
      </c>
      <c r="C158" s="13">
        <v>1187046</v>
      </c>
    </row>
    <row r="159" spans="1:3" x14ac:dyDescent="0.25">
      <c r="A159" s="46">
        <v>28491</v>
      </c>
      <c r="B159" s="13">
        <v>12662580</v>
      </c>
      <c r="C159" s="13">
        <v>1180410</v>
      </c>
    </row>
    <row r="160" spans="1:3" x14ac:dyDescent="0.25">
      <c r="A160" s="46">
        <v>28522</v>
      </c>
      <c r="B160" s="13">
        <v>13781670</v>
      </c>
      <c r="C160" s="13">
        <v>1160376</v>
      </c>
    </row>
    <row r="161" spans="1:3" x14ac:dyDescent="0.25">
      <c r="A161" s="46">
        <v>28550</v>
      </c>
      <c r="B161" s="13">
        <v>13919640</v>
      </c>
      <c r="C161" s="13">
        <v>1099560</v>
      </c>
    </row>
    <row r="162" spans="1:3" x14ac:dyDescent="0.25">
      <c r="A162" s="46">
        <v>28581</v>
      </c>
      <c r="B162" s="13">
        <v>12294660</v>
      </c>
      <c r="C162" s="13">
        <v>1193514</v>
      </c>
    </row>
    <row r="163" spans="1:3" x14ac:dyDescent="0.25">
      <c r="A163" s="46">
        <v>28611</v>
      </c>
      <c r="B163" s="13">
        <v>11911410</v>
      </c>
      <c r="C163" s="13">
        <v>1345512</v>
      </c>
    </row>
    <row r="164" spans="1:3" x14ac:dyDescent="0.25">
      <c r="A164" s="46">
        <v>28642</v>
      </c>
      <c r="B164" s="13">
        <v>13107150</v>
      </c>
      <c r="C164" s="13">
        <v>1328754</v>
      </c>
    </row>
    <row r="165" spans="1:3" x14ac:dyDescent="0.25">
      <c r="A165" s="46">
        <v>28672</v>
      </c>
      <c r="B165" s="13">
        <v>12585930</v>
      </c>
      <c r="C165" s="13">
        <v>1329678</v>
      </c>
    </row>
    <row r="166" spans="1:3" x14ac:dyDescent="0.25">
      <c r="A166" s="46">
        <v>28703</v>
      </c>
      <c r="B166" s="13">
        <v>13904310</v>
      </c>
      <c r="C166" s="13">
        <v>1233708</v>
      </c>
    </row>
    <row r="167" spans="1:3" x14ac:dyDescent="0.25">
      <c r="A167" s="46">
        <v>28734</v>
      </c>
      <c r="B167" s="13">
        <v>13475070</v>
      </c>
      <c r="C167" s="13">
        <v>1231272</v>
      </c>
    </row>
    <row r="168" spans="1:3" x14ac:dyDescent="0.25">
      <c r="A168" s="46">
        <v>28764</v>
      </c>
      <c r="B168" s="13">
        <v>13168470</v>
      </c>
      <c r="C168" s="13">
        <v>1165836</v>
      </c>
    </row>
    <row r="169" spans="1:3" x14ac:dyDescent="0.25">
      <c r="A169" s="46">
        <v>28795</v>
      </c>
      <c r="B169" s="13">
        <v>13873650</v>
      </c>
      <c r="C169" s="13">
        <v>1140678</v>
      </c>
    </row>
    <row r="170" spans="1:3" x14ac:dyDescent="0.25">
      <c r="A170" s="46">
        <v>28825</v>
      </c>
      <c r="B170" s="13">
        <v>13168470</v>
      </c>
      <c r="C170" s="13">
        <v>1163694</v>
      </c>
    </row>
    <row r="171" spans="1:3" x14ac:dyDescent="0.25">
      <c r="A171" s="46">
        <v>28856</v>
      </c>
      <c r="B171" s="13">
        <v>14072940</v>
      </c>
      <c r="C171" s="13">
        <v>1087674</v>
      </c>
    </row>
    <row r="172" spans="1:3" x14ac:dyDescent="0.25">
      <c r="A172" s="46">
        <v>28887</v>
      </c>
      <c r="B172" s="13">
        <v>14578830</v>
      </c>
      <c r="C172" s="13">
        <v>1043112</v>
      </c>
    </row>
    <row r="173" spans="1:3" x14ac:dyDescent="0.25">
      <c r="A173" s="46">
        <v>28915</v>
      </c>
      <c r="B173" s="13">
        <v>14042280</v>
      </c>
      <c r="C173" s="13">
        <v>1134126</v>
      </c>
    </row>
    <row r="174" spans="1:3" x14ac:dyDescent="0.25">
      <c r="A174" s="46">
        <v>28946</v>
      </c>
      <c r="B174" s="13">
        <v>12172020</v>
      </c>
      <c r="C174" s="13">
        <v>1260462</v>
      </c>
    </row>
    <row r="175" spans="1:3" x14ac:dyDescent="0.25">
      <c r="A175" s="46">
        <v>28976</v>
      </c>
      <c r="B175" s="13">
        <v>12202680</v>
      </c>
      <c r="C175" s="13">
        <v>1341732</v>
      </c>
    </row>
    <row r="176" spans="1:3" x14ac:dyDescent="0.25">
      <c r="A176" s="46">
        <v>29007</v>
      </c>
      <c r="B176" s="13">
        <v>13153140</v>
      </c>
      <c r="C176" s="13">
        <v>1268862</v>
      </c>
    </row>
    <row r="177" spans="1:3" x14ac:dyDescent="0.25">
      <c r="A177" s="46">
        <v>29037</v>
      </c>
      <c r="B177" s="13">
        <v>13551720</v>
      </c>
      <c r="C177" s="13">
        <v>1217832</v>
      </c>
    </row>
    <row r="178" spans="1:3" x14ac:dyDescent="0.25">
      <c r="A178" s="46">
        <v>29068</v>
      </c>
      <c r="B178" s="13">
        <v>13751010</v>
      </c>
      <c r="C178" s="13">
        <v>1230138</v>
      </c>
    </row>
    <row r="179" spans="1:3" x14ac:dyDescent="0.25">
      <c r="A179" s="46">
        <v>29099</v>
      </c>
      <c r="B179" s="13">
        <v>13919640</v>
      </c>
      <c r="C179" s="13">
        <v>1164534</v>
      </c>
    </row>
    <row r="180" spans="1:3" x14ac:dyDescent="0.25">
      <c r="A180" s="46">
        <v>29129</v>
      </c>
      <c r="B180" s="13">
        <v>13015170</v>
      </c>
      <c r="C180" s="13">
        <v>1248450</v>
      </c>
    </row>
    <row r="181" spans="1:3" x14ac:dyDescent="0.25">
      <c r="A181" s="46">
        <v>29160</v>
      </c>
      <c r="B181" s="13">
        <v>13061160</v>
      </c>
      <c r="C181" s="13">
        <v>1312500</v>
      </c>
    </row>
    <row r="182" spans="1:3" x14ac:dyDescent="0.25">
      <c r="A182" s="46">
        <v>29190</v>
      </c>
      <c r="B182" s="13">
        <v>13720350</v>
      </c>
      <c r="C182" s="13">
        <v>1382682</v>
      </c>
    </row>
    <row r="183" spans="1:3" x14ac:dyDescent="0.25">
      <c r="A183" s="46">
        <v>29221</v>
      </c>
      <c r="B183" s="13">
        <v>13751010</v>
      </c>
      <c r="C183" s="13">
        <v>1378734</v>
      </c>
    </row>
    <row r="184" spans="1:3" x14ac:dyDescent="0.25">
      <c r="A184" s="46">
        <v>29252</v>
      </c>
      <c r="B184" s="13">
        <v>13536390</v>
      </c>
      <c r="C184" s="13">
        <v>1345974</v>
      </c>
    </row>
    <row r="185" spans="1:3" x14ac:dyDescent="0.25">
      <c r="A185" s="46">
        <v>29281</v>
      </c>
      <c r="B185" s="13">
        <v>13275780</v>
      </c>
      <c r="C185" s="13">
        <v>1377642</v>
      </c>
    </row>
    <row r="186" spans="1:3" x14ac:dyDescent="0.25">
      <c r="A186" s="46">
        <v>29312</v>
      </c>
      <c r="B186" s="13">
        <v>13597710</v>
      </c>
      <c r="C186" s="13">
        <v>1403976</v>
      </c>
    </row>
    <row r="187" spans="1:3" x14ac:dyDescent="0.25">
      <c r="A187" s="46">
        <v>29342</v>
      </c>
      <c r="B187" s="13">
        <v>12172020</v>
      </c>
      <c r="C187" s="13">
        <v>1500786</v>
      </c>
    </row>
    <row r="188" spans="1:3" x14ac:dyDescent="0.25">
      <c r="A188" s="46">
        <v>29373</v>
      </c>
      <c r="B188" s="13">
        <v>12938520</v>
      </c>
      <c r="C188" s="13">
        <v>1526616</v>
      </c>
    </row>
    <row r="189" spans="1:3" x14ac:dyDescent="0.25">
      <c r="A189" s="46">
        <v>29403</v>
      </c>
      <c r="B189" s="13">
        <v>13858320</v>
      </c>
      <c r="C189" s="13">
        <v>1437576</v>
      </c>
    </row>
    <row r="190" spans="1:3" x14ac:dyDescent="0.25">
      <c r="A190" s="46">
        <v>29434</v>
      </c>
      <c r="B190" s="13">
        <v>12539940</v>
      </c>
      <c r="C190" s="13">
        <v>1412880</v>
      </c>
    </row>
    <row r="191" spans="1:3" x14ac:dyDescent="0.25">
      <c r="A191" s="46">
        <v>29465</v>
      </c>
      <c r="B191" s="13">
        <v>12785220</v>
      </c>
      <c r="C191" s="13">
        <v>1492512</v>
      </c>
    </row>
    <row r="192" spans="1:3" x14ac:dyDescent="0.25">
      <c r="A192" s="46">
        <v>29495</v>
      </c>
      <c r="B192" s="13">
        <v>12616590</v>
      </c>
      <c r="C192" s="13">
        <v>1540140</v>
      </c>
    </row>
    <row r="193" spans="1:3" x14ac:dyDescent="0.25">
      <c r="A193" s="46">
        <v>29526</v>
      </c>
      <c r="B193" s="13">
        <v>12401970</v>
      </c>
      <c r="C193" s="13">
        <v>1575336</v>
      </c>
    </row>
    <row r="194" spans="1:3" x14ac:dyDescent="0.25">
      <c r="A194" s="46">
        <v>29556</v>
      </c>
      <c r="B194" s="13">
        <v>13061160</v>
      </c>
      <c r="C194" s="13">
        <v>1500366</v>
      </c>
    </row>
    <row r="195" spans="1:3" x14ac:dyDescent="0.25">
      <c r="A195" s="46">
        <v>29587</v>
      </c>
      <c r="B195" s="13">
        <v>13613040</v>
      </c>
      <c r="C195" s="13">
        <v>1400616</v>
      </c>
    </row>
    <row r="196" spans="1:3" x14ac:dyDescent="0.25">
      <c r="A196" s="46">
        <v>29618</v>
      </c>
      <c r="B196" s="13">
        <v>12723900</v>
      </c>
      <c r="C196" s="13">
        <v>1373526</v>
      </c>
    </row>
    <row r="197" spans="1:3" x14ac:dyDescent="0.25">
      <c r="A197" s="46">
        <v>29646</v>
      </c>
      <c r="B197" s="13">
        <v>12877200</v>
      </c>
      <c r="C197" s="13">
        <v>1397340</v>
      </c>
    </row>
    <row r="198" spans="1:3" x14ac:dyDescent="0.25">
      <c r="A198" s="46">
        <v>29677</v>
      </c>
      <c r="B198" s="13">
        <v>11957400</v>
      </c>
      <c r="C198" s="13">
        <v>1464708</v>
      </c>
    </row>
    <row r="199" spans="1:3" x14ac:dyDescent="0.25">
      <c r="A199" s="46">
        <v>29707</v>
      </c>
      <c r="B199" s="13">
        <v>10945620</v>
      </c>
      <c r="C199" s="13">
        <v>1629054</v>
      </c>
    </row>
    <row r="200" spans="1:3" x14ac:dyDescent="0.25">
      <c r="A200" s="46">
        <v>29738</v>
      </c>
      <c r="B200" s="13">
        <v>12846540</v>
      </c>
      <c r="C200" s="13">
        <v>1630566</v>
      </c>
    </row>
    <row r="201" spans="1:3" x14ac:dyDescent="0.25">
      <c r="A201" s="46">
        <v>29768</v>
      </c>
      <c r="B201" s="13">
        <v>12953850</v>
      </c>
      <c r="C201" s="13">
        <v>1628340</v>
      </c>
    </row>
    <row r="202" spans="1:3" x14ac:dyDescent="0.25">
      <c r="A202" s="46">
        <v>29799</v>
      </c>
      <c r="B202" s="13">
        <v>12708570</v>
      </c>
      <c r="C202" s="13">
        <v>1589868</v>
      </c>
    </row>
    <row r="203" spans="1:3" x14ac:dyDescent="0.25">
      <c r="A203" s="46">
        <v>29830</v>
      </c>
      <c r="B203" s="13">
        <v>12309990</v>
      </c>
      <c r="C203" s="13">
        <v>1555932</v>
      </c>
    </row>
    <row r="204" spans="1:3" x14ac:dyDescent="0.25">
      <c r="A204" s="46">
        <v>29860</v>
      </c>
      <c r="B204" s="13">
        <v>11635470</v>
      </c>
      <c r="C204" s="13">
        <v>1514478</v>
      </c>
    </row>
    <row r="205" spans="1:3" x14ac:dyDescent="0.25">
      <c r="A205" s="46">
        <v>29891</v>
      </c>
      <c r="B205" s="13">
        <v>12064710</v>
      </c>
      <c r="C205" s="13">
        <v>1480962</v>
      </c>
    </row>
    <row r="206" spans="1:3" x14ac:dyDescent="0.25">
      <c r="A206" s="46">
        <v>29921</v>
      </c>
      <c r="B206" s="13">
        <v>12294660</v>
      </c>
      <c r="C206" s="13">
        <v>1428462</v>
      </c>
    </row>
    <row r="207" spans="1:3" x14ac:dyDescent="0.25">
      <c r="A207" s="46">
        <v>29952</v>
      </c>
      <c r="B207" s="13">
        <v>13352430</v>
      </c>
      <c r="C207" s="13">
        <v>1261848</v>
      </c>
    </row>
    <row r="208" spans="1:3" x14ac:dyDescent="0.25">
      <c r="A208" s="46">
        <v>29983</v>
      </c>
      <c r="B208" s="13">
        <v>12769890</v>
      </c>
      <c r="C208" s="13">
        <v>1296876</v>
      </c>
    </row>
    <row r="209" spans="1:3" x14ac:dyDescent="0.25">
      <c r="A209" s="46">
        <v>30011</v>
      </c>
      <c r="B209" s="13">
        <v>11788770</v>
      </c>
      <c r="C209" s="13">
        <v>1515948</v>
      </c>
    </row>
    <row r="210" spans="1:3" x14ac:dyDescent="0.25">
      <c r="A210" s="46">
        <v>30042</v>
      </c>
      <c r="B210" s="13">
        <v>11988060</v>
      </c>
      <c r="C210" s="13">
        <v>1585752</v>
      </c>
    </row>
    <row r="211" spans="1:3" x14ac:dyDescent="0.25">
      <c r="A211" s="46">
        <v>30072</v>
      </c>
      <c r="B211" s="13">
        <v>12248670</v>
      </c>
      <c r="C211" s="13">
        <v>1478526</v>
      </c>
    </row>
    <row r="212" spans="1:3" x14ac:dyDescent="0.25">
      <c r="A212" s="46">
        <v>30103</v>
      </c>
      <c r="B212" s="13">
        <v>11666130</v>
      </c>
      <c r="C212" s="13">
        <v>1423170</v>
      </c>
    </row>
    <row r="213" spans="1:3" x14ac:dyDescent="0.25">
      <c r="A213" s="46">
        <v>30133</v>
      </c>
      <c r="B213" s="13">
        <v>11957400</v>
      </c>
      <c r="C213" s="13">
        <v>1403430</v>
      </c>
    </row>
    <row r="214" spans="1:3" x14ac:dyDescent="0.25">
      <c r="A214" s="46">
        <v>30164</v>
      </c>
      <c r="B214" s="13">
        <v>11604810</v>
      </c>
      <c r="C214" s="13">
        <v>1457694</v>
      </c>
    </row>
    <row r="215" spans="1:3" x14ac:dyDescent="0.25">
      <c r="A215" s="46">
        <v>30195</v>
      </c>
      <c r="B215" s="13">
        <v>12877200</v>
      </c>
      <c r="C215" s="13">
        <v>1399734</v>
      </c>
    </row>
    <row r="216" spans="1:3" x14ac:dyDescent="0.25">
      <c r="A216" s="46">
        <v>30225</v>
      </c>
      <c r="B216" s="13">
        <v>11788770</v>
      </c>
      <c r="C216" s="13">
        <v>1448790</v>
      </c>
    </row>
    <row r="217" spans="1:3" x14ac:dyDescent="0.25">
      <c r="A217" s="46">
        <v>30256</v>
      </c>
      <c r="B217" s="13">
        <v>12953850</v>
      </c>
      <c r="C217" s="13">
        <v>1449672</v>
      </c>
    </row>
    <row r="218" spans="1:3" x14ac:dyDescent="0.25">
      <c r="A218" s="46">
        <v>30286</v>
      </c>
      <c r="B218" s="13">
        <v>12907860</v>
      </c>
      <c r="C218" s="13">
        <v>1309560</v>
      </c>
    </row>
    <row r="219" spans="1:3" x14ac:dyDescent="0.25">
      <c r="A219" s="46">
        <v>30317</v>
      </c>
      <c r="B219" s="13">
        <v>11758110</v>
      </c>
      <c r="C219" s="13">
        <v>1417836</v>
      </c>
    </row>
    <row r="220" spans="1:3" x14ac:dyDescent="0.25">
      <c r="A220" s="46">
        <v>30348</v>
      </c>
      <c r="B220" s="13">
        <v>12662580</v>
      </c>
      <c r="C220" s="13">
        <v>1371342</v>
      </c>
    </row>
    <row r="221" spans="1:3" x14ac:dyDescent="0.25">
      <c r="A221" s="46">
        <v>30376</v>
      </c>
      <c r="B221" s="13">
        <v>12003390</v>
      </c>
      <c r="C221" s="13">
        <v>1456770</v>
      </c>
    </row>
    <row r="222" spans="1:3" x14ac:dyDescent="0.25">
      <c r="A222" s="46">
        <v>30407</v>
      </c>
      <c r="B222" s="13">
        <v>12785220</v>
      </c>
      <c r="C222" s="13">
        <v>1423674</v>
      </c>
    </row>
    <row r="223" spans="1:3" x14ac:dyDescent="0.25">
      <c r="A223" s="46">
        <v>30437</v>
      </c>
      <c r="B223" s="13">
        <v>12064710</v>
      </c>
      <c r="C223" s="13">
        <v>1448370</v>
      </c>
    </row>
    <row r="224" spans="1:3" x14ac:dyDescent="0.25">
      <c r="A224" s="46">
        <v>30468</v>
      </c>
      <c r="B224" s="13">
        <v>13275780</v>
      </c>
      <c r="C224" s="13">
        <v>1436610</v>
      </c>
    </row>
    <row r="225" spans="1:3" x14ac:dyDescent="0.25">
      <c r="A225" s="46">
        <v>30498</v>
      </c>
      <c r="B225" s="13">
        <v>13199130</v>
      </c>
      <c r="C225" s="13">
        <v>1416492</v>
      </c>
    </row>
    <row r="226" spans="1:3" x14ac:dyDescent="0.25">
      <c r="A226" s="46">
        <v>30529</v>
      </c>
      <c r="B226" s="13">
        <v>13015170</v>
      </c>
      <c r="C226" s="13">
        <v>1412040</v>
      </c>
    </row>
    <row r="227" spans="1:3" x14ac:dyDescent="0.25">
      <c r="A227" s="46">
        <v>30560</v>
      </c>
      <c r="B227" s="13">
        <v>13505730</v>
      </c>
      <c r="C227" s="13">
        <v>1463784</v>
      </c>
    </row>
    <row r="228" spans="1:3" x14ac:dyDescent="0.25">
      <c r="A228" s="46">
        <v>30590</v>
      </c>
      <c r="B228" s="13">
        <v>12570600</v>
      </c>
      <c r="C228" s="13">
        <v>1561644</v>
      </c>
    </row>
    <row r="229" spans="1:3" x14ac:dyDescent="0.25">
      <c r="A229" s="46">
        <v>30621</v>
      </c>
      <c r="B229" s="13">
        <v>12555270</v>
      </c>
      <c r="C229" s="13">
        <v>1646904</v>
      </c>
    </row>
    <row r="230" spans="1:3" x14ac:dyDescent="0.25">
      <c r="A230" s="46">
        <v>30651</v>
      </c>
      <c r="B230" s="13">
        <v>14946750</v>
      </c>
      <c r="C230" s="13">
        <v>1358532</v>
      </c>
    </row>
    <row r="231" spans="1:3" x14ac:dyDescent="0.25">
      <c r="A231" s="46">
        <v>30682</v>
      </c>
      <c r="B231" s="13">
        <v>15498630</v>
      </c>
      <c r="C231" s="13">
        <v>1227828</v>
      </c>
    </row>
    <row r="232" spans="1:3" x14ac:dyDescent="0.25">
      <c r="A232" s="46">
        <v>30713</v>
      </c>
      <c r="B232" s="13">
        <v>14088270</v>
      </c>
      <c r="C232" s="13">
        <v>1383018</v>
      </c>
    </row>
    <row r="233" spans="1:3" x14ac:dyDescent="0.25">
      <c r="A233" s="46">
        <v>30742</v>
      </c>
      <c r="B233" s="13">
        <v>13766340</v>
      </c>
      <c r="C233" s="13">
        <v>1424514</v>
      </c>
    </row>
    <row r="234" spans="1:3" x14ac:dyDescent="0.25">
      <c r="A234" s="46">
        <v>30773</v>
      </c>
      <c r="B234" s="13">
        <v>13842990</v>
      </c>
      <c r="C234" s="13">
        <v>1430352</v>
      </c>
    </row>
    <row r="235" spans="1:3" x14ac:dyDescent="0.25">
      <c r="A235" s="46">
        <v>30803</v>
      </c>
      <c r="B235" s="13">
        <v>13873650</v>
      </c>
      <c r="C235" s="13">
        <v>1448496</v>
      </c>
    </row>
    <row r="236" spans="1:3" x14ac:dyDescent="0.25">
      <c r="A236" s="46">
        <v>30834</v>
      </c>
      <c r="B236" s="13">
        <v>13674360</v>
      </c>
      <c r="C236" s="13">
        <v>1515738</v>
      </c>
    </row>
    <row r="237" spans="1:3" x14ac:dyDescent="0.25">
      <c r="A237" s="46">
        <v>30864</v>
      </c>
      <c r="B237" s="13">
        <v>14655480</v>
      </c>
      <c r="C237" s="13">
        <v>1544760</v>
      </c>
    </row>
    <row r="238" spans="1:3" x14ac:dyDescent="0.25">
      <c r="A238" s="46">
        <v>30895</v>
      </c>
      <c r="B238" s="13">
        <v>15207360</v>
      </c>
      <c r="C238" s="13">
        <v>1618092</v>
      </c>
    </row>
    <row r="239" spans="1:3" x14ac:dyDescent="0.25">
      <c r="A239" s="46">
        <v>30926</v>
      </c>
      <c r="B239" s="13">
        <v>14977410</v>
      </c>
      <c r="C239" s="13">
        <v>1595538</v>
      </c>
    </row>
    <row r="240" spans="1:3" x14ac:dyDescent="0.25">
      <c r="A240" s="46">
        <v>30956</v>
      </c>
      <c r="B240" s="13">
        <v>15360660</v>
      </c>
      <c r="C240" s="13">
        <v>1604988</v>
      </c>
    </row>
    <row r="241" spans="1:3" x14ac:dyDescent="0.25">
      <c r="A241" s="46">
        <v>30987</v>
      </c>
      <c r="B241" s="13">
        <v>14164920</v>
      </c>
      <c r="C241" s="13">
        <v>1612842</v>
      </c>
    </row>
    <row r="242" spans="1:3" x14ac:dyDescent="0.25">
      <c r="A242" s="46">
        <v>31017</v>
      </c>
      <c r="B242" s="13">
        <v>16111830</v>
      </c>
      <c r="C242" s="13">
        <v>1474956</v>
      </c>
    </row>
    <row r="243" spans="1:3" x14ac:dyDescent="0.25">
      <c r="A243" s="46">
        <v>31048</v>
      </c>
      <c r="B243" s="13">
        <v>15605940</v>
      </c>
      <c r="C243" s="13">
        <v>1457022</v>
      </c>
    </row>
    <row r="244" spans="1:3" x14ac:dyDescent="0.25">
      <c r="A244" s="46">
        <v>31079</v>
      </c>
      <c r="B244" s="13">
        <v>14808780</v>
      </c>
      <c r="C244" s="13">
        <v>1482684</v>
      </c>
    </row>
    <row r="245" spans="1:3" x14ac:dyDescent="0.25">
      <c r="A245" s="46">
        <v>31107</v>
      </c>
      <c r="B245" s="13">
        <v>14962080</v>
      </c>
      <c r="C245" s="13">
        <v>1548330</v>
      </c>
    </row>
    <row r="246" spans="1:3" x14ac:dyDescent="0.25">
      <c r="A246" s="46">
        <v>31138</v>
      </c>
      <c r="B246" s="13">
        <v>15437310</v>
      </c>
      <c r="C246" s="13">
        <v>1471722</v>
      </c>
    </row>
    <row r="247" spans="1:3" x14ac:dyDescent="0.25">
      <c r="A247" s="46">
        <v>31168</v>
      </c>
      <c r="B247" s="13">
        <v>13888980</v>
      </c>
      <c r="C247" s="13">
        <v>1508808</v>
      </c>
    </row>
    <row r="248" spans="1:3" x14ac:dyDescent="0.25">
      <c r="A248" s="46">
        <v>31199</v>
      </c>
      <c r="B248" s="13">
        <v>13950300</v>
      </c>
      <c r="C248" s="13">
        <v>1534554</v>
      </c>
    </row>
    <row r="249" spans="1:3" x14ac:dyDescent="0.25">
      <c r="A249" s="46">
        <v>31229</v>
      </c>
      <c r="B249" s="13">
        <v>15467970</v>
      </c>
      <c r="C249" s="13">
        <v>1513554</v>
      </c>
    </row>
    <row r="250" spans="1:3" x14ac:dyDescent="0.25">
      <c r="A250" s="46">
        <v>31260</v>
      </c>
      <c r="B250" s="13">
        <v>15299340</v>
      </c>
      <c r="C250" s="13">
        <v>1456602</v>
      </c>
    </row>
    <row r="251" spans="1:3" x14ac:dyDescent="0.25">
      <c r="A251" s="46">
        <v>31291</v>
      </c>
      <c r="B251" s="13">
        <v>15360660</v>
      </c>
      <c r="C251" s="13">
        <v>1477854</v>
      </c>
    </row>
    <row r="252" spans="1:3" x14ac:dyDescent="0.25">
      <c r="A252" s="46">
        <v>31321</v>
      </c>
      <c r="B252" s="13">
        <v>15958530</v>
      </c>
      <c r="C252" s="13">
        <v>1493436</v>
      </c>
    </row>
    <row r="253" spans="1:3" x14ac:dyDescent="0.25">
      <c r="A253" s="46">
        <v>31352</v>
      </c>
      <c r="B253" s="13">
        <v>16341780</v>
      </c>
      <c r="C253" s="13">
        <v>1529136</v>
      </c>
    </row>
    <row r="254" spans="1:3" x14ac:dyDescent="0.25">
      <c r="A254" s="46">
        <v>31382</v>
      </c>
      <c r="B254" s="13">
        <v>17660160</v>
      </c>
      <c r="C254" s="13">
        <v>1420650</v>
      </c>
    </row>
    <row r="255" spans="1:3" x14ac:dyDescent="0.25">
      <c r="A255" s="46">
        <v>31413</v>
      </c>
      <c r="B255" s="13">
        <v>16709700</v>
      </c>
      <c r="C255" s="13">
        <v>1472142</v>
      </c>
    </row>
    <row r="256" spans="1:3" x14ac:dyDescent="0.25">
      <c r="A256" s="46">
        <v>31444</v>
      </c>
      <c r="B256" s="13">
        <v>16755690</v>
      </c>
      <c r="C256" s="13">
        <v>1588818</v>
      </c>
    </row>
    <row r="257" spans="1:3" x14ac:dyDescent="0.25">
      <c r="A257" s="46">
        <v>31472</v>
      </c>
      <c r="B257" s="13">
        <v>15437310</v>
      </c>
      <c r="C257" s="13">
        <v>1752618</v>
      </c>
    </row>
    <row r="258" spans="1:3" x14ac:dyDescent="0.25">
      <c r="A258" s="46">
        <v>31503</v>
      </c>
      <c r="B258" s="13">
        <v>16648380</v>
      </c>
      <c r="C258" s="13">
        <v>1630902</v>
      </c>
    </row>
    <row r="259" spans="1:3" x14ac:dyDescent="0.25">
      <c r="A259" s="46">
        <v>31533</v>
      </c>
      <c r="B259" s="13">
        <v>15789900</v>
      </c>
      <c r="C259" s="13">
        <v>1629894</v>
      </c>
    </row>
    <row r="260" spans="1:3" x14ac:dyDescent="0.25">
      <c r="A260" s="46">
        <v>31564</v>
      </c>
      <c r="B260" s="13">
        <v>16954980</v>
      </c>
      <c r="C260" s="13">
        <v>1667526</v>
      </c>
    </row>
    <row r="261" spans="1:3" x14ac:dyDescent="0.25">
      <c r="A261" s="46">
        <v>31594</v>
      </c>
      <c r="B261" s="13">
        <v>16725030</v>
      </c>
      <c r="C261" s="13">
        <v>1784202</v>
      </c>
    </row>
    <row r="262" spans="1:3" x14ac:dyDescent="0.25">
      <c r="A262" s="46">
        <v>31625</v>
      </c>
      <c r="B262" s="13">
        <v>17844120</v>
      </c>
      <c r="C262" s="13">
        <v>1759128</v>
      </c>
    </row>
    <row r="263" spans="1:3" x14ac:dyDescent="0.25">
      <c r="A263" s="46">
        <v>31656</v>
      </c>
      <c r="B263" s="13">
        <v>17200260</v>
      </c>
      <c r="C263" s="13">
        <v>1773786</v>
      </c>
    </row>
    <row r="264" spans="1:3" x14ac:dyDescent="0.25">
      <c r="A264" s="46">
        <v>31686</v>
      </c>
      <c r="B264" s="13">
        <v>16341780</v>
      </c>
      <c r="C264" s="13">
        <v>1841826</v>
      </c>
    </row>
    <row r="265" spans="1:3" x14ac:dyDescent="0.25">
      <c r="A265" s="46">
        <v>31717</v>
      </c>
      <c r="B265" s="13">
        <v>17951430</v>
      </c>
      <c r="C265" s="13">
        <v>1815954</v>
      </c>
    </row>
    <row r="266" spans="1:3" x14ac:dyDescent="0.25">
      <c r="A266" s="46">
        <v>31747</v>
      </c>
      <c r="B266" s="13">
        <v>18947880</v>
      </c>
      <c r="C266" s="13">
        <v>1792434</v>
      </c>
    </row>
    <row r="267" spans="1:3" x14ac:dyDescent="0.25">
      <c r="A267" s="46">
        <v>31778</v>
      </c>
      <c r="B267" s="13">
        <v>18426660</v>
      </c>
      <c r="C267" s="13">
        <v>1768872</v>
      </c>
    </row>
    <row r="268" spans="1:3" x14ac:dyDescent="0.25">
      <c r="A268" s="46">
        <v>31809</v>
      </c>
      <c r="B268" s="13">
        <v>18595290</v>
      </c>
      <c r="C268" s="13">
        <v>1728468</v>
      </c>
    </row>
    <row r="269" spans="1:3" x14ac:dyDescent="0.25">
      <c r="A269" s="46">
        <v>31837</v>
      </c>
      <c r="B269" s="13">
        <v>17920770</v>
      </c>
      <c r="C269" s="13">
        <v>1723848</v>
      </c>
    </row>
    <row r="270" spans="1:3" x14ac:dyDescent="0.25">
      <c r="A270" s="46">
        <v>31868</v>
      </c>
      <c r="B270" s="13">
        <v>17568180</v>
      </c>
      <c r="C270" s="13">
        <v>1679034</v>
      </c>
    </row>
    <row r="271" spans="1:3" x14ac:dyDescent="0.25">
      <c r="A271" s="46">
        <v>31898</v>
      </c>
      <c r="B271" s="13">
        <v>17138940</v>
      </c>
      <c r="C271" s="13">
        <v>1649634</v>
      </c>
    </row>
    <row r="272" spans="1:3" x14ac:dyDescent="0.25">
      <c r="A272" s="46">
        <v>31929</v>
      </c>
      <c r="B272" s="13">
        <v>17276910</v>
      </c>
      <c r="C272" s="13">
        <v>1624434</v>
      </c>
    </row>
    <row r="273" spans="1:3" x14ac:dyDescent="0.25">
      <c r="A273" s="46">
        <v>31959</v>
      </c>
      <c r="B273" s="13">
        <v>17859450</v>
      </c>
      <c r="C273" s="13">
        <v>1658118</v>
      </c>
    </row>
    <row r="274" spans="1:3" x14ac:dyDescent="0.25">
      <c r="A274" s="46">
        <v>31990</v>
      </c>
      <c r="B274" s="13">
        <v>18380670</v>
      </c>
      <c r="C274" s="13">
        <v>1712004</v>
      </c>
    </row>
    <row r="275" spans="1:3" x14ac:dyDescent="0.25">
      <c r="A275" s="46">
        <v>32021</v>
      </c>
      <c r="B275" s="13">
        <v>17460870</v>
      </c>
      <c r="C275" s="13">
        <v>1834728</v>
      </c>
    </row>
    <row r="276" spans="1:3" x14ac:dyDescent="0.25">
      <c r="A276" s="46">
        <v>32051</v>
      </c>
      <c r="B276" s="13">
        <v>19377120</v>
      </c>
      <c r="C276" s="13">
        <v>1795080</v>
      </c>
    </row>
    <row r="277" spans="1:3" x14ac:dyDescent="0.25">
      <c r="A277" s="46">
        <v>32082</v>
      </c>
      <c r="B277" s="13">
        <v>17445540</v>
      </c>
      <c r="C277" s="13">
        <v>1845354</v>
      </c>
    </row>
    <row r="278" spans="1:3" x14ac:dyDescent="0.25">
      <c r="A278" s="46">
        <v>32112</v>
      </c>
      <c r="B278" s="13">
        <v>19745040</v>
      </c>
      <c r="C278" s="13">
        <v>1762866</v>
      </c>
    </row>
    <row r="279" spans="1:3" x14ac:dyDescent="0.25">
      <c r="A279" s="46">
        <v>32143</v>
      </c>
      <c r="B279" s="13">
        <v>20848800</v>
      </c>
      <c r="C279" s="13">
        <v>1594992</v>
      </c>
    </row>
    <row r="280" spans="1:3" x14ac:dyDescent="0.25">
      <c r="A280" s="46">
        <v>32174</v>
      </c>
      <c r="B280" s="13">
        <v>19637730</v>
      </c>
      <c r="C280" s="13">
        <v>1542996</v>
      </c>
    </row>
    <row r="281" spans="1:3" x14ac:dyDescent="0.25">
      <c r="A281" s="46">
        <v>32203</v>
      </c>
      <c r="B281" s="13">
        <v>18319350</v>
      </c>
      <c r="C281" s="13">
        <v>1660134</v>
      </c>
    </row>
    <row r="282" spans="1:3" x14ac:dyDescent="0.25">
      <c r="A282" s="46">
        <v>32234</v>
      </c>
      <c r="B282" s="13">
        <v>17982090</v>
      </c>
      <c r="C282" s="13">
        <v>1638840</v>
      </c>
    </row>
    <row r="283" spans="1:3" x14ac:dyDescent="0.25">
      <c r="A283" s="46">
        <v>32264</v>
      </c>
      <c r="B283" s="13">
        <v>17736810</v>
      </c>
      <c r="C283" s="13">
        <v>1646820</v>
      </c>
    </row>
    <row r="284" spans="1:3" x14ac:dyDescent="0.25">
      <c r="A284" s="46">
        <v>32295</v>
      </c>
      <c r="B284" s="13">
        <v>18487980</v>
      </c>
      <c r="C284" s="13">
        <v>1630062</v>
      </c>
    </row>
    <row r="285" spans="1:3" x14ac:dyDescent="0.25">
      <c r="A285" s="46">
        <v>32325</v>
      </c>
      <c r="B285" s="13">
        <v>18288690</v>
      </c>
      <c r="C285" s="13">
        <v>1686216</v>
      </c>
    </row>
    <row r="286" spans="1:3" x14ac:dyDescent="0.25">
      <c r="A286" s="46">
        <v>32356</v>
      </c>
      <c r="B286" s="13">
        <v>18963210</v>
      </c>
      <c r="C286" s="13">
        <v>1669332</v>
      </c>
    </row>
    <row r="287" spans="1:3" x14ac:dyDescent="0.25">
      <c r="A287" s="46">
        <v>32387</v>
      </c>
      <c r="B287" s="13">
        <v>18641280</v>
      </c>
      <c r="C287" s="13">
        <v>1682520</v>
      </c>
    </row>
    <row r="288" spans="1:3" x14ac:dyDescent="0.25">
      <c r="A288" s="46">
        <v>32417</v>
      </c>
      <c r="B288" s="13">
        <v>19576410</v>
      </c>
      <c r="C288" s="13">
        <v>1711710</v>
      </c>
    </row>
    <row r="289" spans="1:3" x14ac:dyDescent="0.25">
      <c r="A289" s="46">
        <v>32448</v>
      </c>
      <c r="B289" s="13">
        <v>18717930</v>
      </c>
      <c r="C289" s="13">
        <v>1666056</v>
      </c>
    </row>
    <row r="290" spans="1:3" x14ac:dyDescent="0.25">
      <c r="A290" s="46">
        <v>32478</v>
      </c>
      <c r="B290" s="13">
        <v>20143620</v>
      </c>
      <c r="C290" s="13">
        <v>1584366</v>
      </c>
    </row>
    <row r="291" spans="1:3" x14ac:dyDescent="0.25">
      <c r="A291" s="46">
        <v>32509</v>
      </c>
      <c r="B291" s="13">
        <v>20450220</v>
      </c>
      <c r="C291" s="13">
        <v>1587054</v>
      </c>
    </row>
    <row r="292" spans="1:3" x14ac:dyDescent="0.25">
      <c r="A292" s="46">
        <v>32540</v>
      </c>
      <c r="B292" s="13">
        <v>20572860</v>
      </c>
      <c r="C292" s="13">
        <v>1550514</v>
      </c>
    </row>
    <row r="293" spans="1:3" x14ac:dyDescent="0.25">
      <c r="A293" s="46">
        <v>32568</v>
      </c>
      <c r="B293" s="13">
        <v>19576410</v>
      </c>
      <c r="C293" s="13">
        <v>1559250</v>
      </c>
    </row>
    <row r="294" spans="1:3" x14ac:dyDescent="0.25">
      <c r="A294" s="46">
        <v>32599</v>
      </c>
      <c r="B294" s="13">
        <v>17629500</v>
      </c>
      <c r="C294" s="13">
        <v>1600242</v>
      </c>
    </row>
    <row r="295" spans="1:3" x14ac:dyDescent="0.25">
      <c r="A295" s="46">
        <v>32629</v>
      </c>
      <c r="B295" s="13">
        <v>16908990</v>
      </c>
      <c r="C295" s="13">
        <v>1648206</v>
      </c>
    </row>
    <row r="296" spans="1:3" x14ac:dyDescent="0.25">
      <c r="A296" s="46">
        <v>32660</v>
      </c>
      <c r="B296" s="13">
        <v>19714380</v>
      </c>
      <c r="C296" s="13">
        <v>1613136</v>
      </c>
    </row>
    <row r="297" spans="1:3" x14ac:dyDescent="0.25">
      <c r="A297" s="46">
        <v>32690</v>
      </c>
      <c r="B297" s="13">
        <v>18687270</v>
      </c>
      <c r="C297" s="13">
        <v>1712886</v>
      </c>
    </row>
    <row r="298" spans="1:3" x14ac:dyDescent="0.25">
      <c r="A298" s="46">
        <v>32721</v>
      </c>
      <c r="B298" s="13">
        <v>19315800</v>
      </c>
      <c r="C298" s="13">
        <v>1775382</v>
      </c>
    </row>
    <row r="299" spans="1:3" x14ac:dyDescent="0.25">
      <c r="A299" s="46">
        <v>32752</v>
      </c>
      <c r="B299" s="13">
        <v>20174280</v>
      </c>
      <c r="C299" s="13">
        <v>1725318</v>
      </c>
    </row>
    <row r="300" spans="1:3" x14ac:dyDescent="0.25">
      <c r="A300" s="46">
        <v>32782</v>
      </c>
      <c r="B300" s="13">
        <v>19193160</v>
      </c>
      <c r="C300" s="13">
        <v>1843170</v>
      </c>
    </row>
    <row r="301" spans="1:3" x14ac:dyDescent="0.25">
      <c r="A301" s="46">
        <v>32813</v>
      </c>
      <c r="B301" s="13">
        <v>20496210</v>
      </c>
      <c r="C301" s="13">
        <v>1864716</v>
      </c>
    </row>
    <row r="302" spans="1:3" x14ac:dyDescent="0.25">
      <c r="A302" s="46">
        <v>32843</v>
      </c>
      <c r="B302" s="13">
        <v>23623530</v>
      </c>
      <c r="C302" s="13">
        <v>1447782</v>
      </c>
    </row>
    <row r="303" spans="1:3" x14ac:dyDescent="0.25">
      <c r="A303" s="46">
        <v>32874</v>
      </c>
      <c r="B303" s="13">
        <v>21523320</v>
      </c>
      <c r="C303" s="13">
        <v>1546440</v>
      </c>
    </row>
    <row r="304" spans="1:3" x14ac:dyDescent="0.25">
      <c r="A304" s="46">
        <v>32905</v>
      </c>
      <c r="B304" s="13">
        <v>20174280</v>
      </c>
      <c r="C304" s="13">
        <v>1689492</v>
      </c>
    </row>
    <row r="305" spans="1:3" x14ac:dyDescent="0.25">
      <c r="A305" s="46">
        <v>32933</v>
      </c>
      <c r="B305" s="13">
        <v>19760370</v>
      </c>
      <c r="C305" s="13">
        <v>1779288</v>
      </c>
    </row>
    <row r="306" spans="1:3" x14ac:dyDescent="0.25">
      <c r="A306" s="46">
        <v>32964</v>
      </c>
      <c r="B306" s="13">
        <v>20465550</v>
      </c>
      <c r="C306" s="13">
        <v>1696254</v>
      </c>
    </row>
    <row r="307" spans="1:3" x14ac:dyDescent="0.25">
      <c r="A307" s="46">
        <v>32994</v>
      </c>
      <c r="B307" s="13">
        <v>20128290</v>
      </c>
      <c r="C307" s="13">
        <v>1683108</v>
      </c>
    </row>
    <row r="308" spans="1:3" x14ac:dyDescent="0.25">
      <c r="A308" s="46">
        <v>33025</v>
      </c>
      <c r="B308" s="13">
        <v>20235600</v>
      </c>
      <c r="C308" s="13">
        <v>1694994</v>
      </c>
    </row>
    <row r="309" spans="1:3" x14ac:dyDescent="0.25">
      <c r="A309" s="46">
        <v>33055</v>
      </c>
      <c r="B309" s="13">
        <v>19300470</v>
      </c>
      <c r="C309" s="13">
        <v>1873116</v>
      </c>
    </row>
    <row r="310" spans="1:3" x14ac:dyDescent="0.25">
      <c r="A310" s="46">
        <v>33086</v>
      </c>
      <c r="B310" s="13">
        <v>20894790</v>
      </c>
      <c r="C310" s="13">
        <v>1792812</v>
      </c>
    </row>
    <row r="311" spans="1:3" x14ac:dyDescent="0.25">
      <c r="A311" s="46">
        <v>33117</v>
      </c>
      <c r="B311" s="13">
        <v>20373570</v>
      </c>
      <c r="C311" s="13">
        <v>1837962</v>
      </c>
    </row>
    <row r="312" spans="1:3" x14ac:dyDescent="0.25">
      <c r="A312" s="46">
        <v>33147</v>
      </c>
      <c r="B312" s="13">
        <v>21553980</v>
      </c>
      <c r="C312" s="13">
        <v>1885296</v>
      </c>
    </row>
    <row r="313" spans="1:3" x14ac:dyDescent="0.25">
      <c r="A313" s="46">
        <v>33178</v>
      </c>
      <c r="B313" s="13">
        <v>20986770</v>
      </c>
      <c r="C313" s="13">
        <v>1877610</v>
      </c>
    </row>
    <row r="314" spans="1:3" x14ac:dyDescent="0.25">
      <c r="A314" s="46">
        <v>33208</v>
      </c>
      <c r="B314" s="13">
        <v>21124740</v>
      </c>
      <c r="C314" s="13">
        <v>1928850</v>
      </c>
    </row>
    <row r="315" spans="1:3" x14ac:dyDescent="0.25">
      <c r="A315" s="46">
        <v>33239</v>
      </c>
      <c r="B315" s="13">
        <v>21124740</v>
      </c>
      <c r="C315" s="13">
        <v>1864170</v>
      </c>
    </row>
    <row r="316" spans="1:3" x14ac:dyDescent="0.25">
      <c r="A316" s="46">
        <v>33270</v>
      </c>
      <c r="B316" s="13">
        <v>20848800</v>
      </c>
      <c r="C316" s="13">
        <v>1742328</v>
      </c>
    </row>
    <row r="317" spans="1:3" x14ac:dyDescent="0.25">
      <c r="A317" s="46">
        <v>33298</v>
      </c>
      <c r="B317" s="13">
        <v>19469100</v>
      </c>
      <c r="C317" s="13">
        <v>1613262</v>
      </c>
    </row>
    <row r="318" spans="1:3" x14ac:dyDescent="0.25">
      <c r="A318" s="46">
        <v>33329</v>
      </c>
      <c r="B318" s="13">
        <v>17982090</v>
      </c>
      <c r="C318" s="13">
        <v>1609188</v>
      </c>
    </row>
    <row r="319" spans="1:3" x14ac:dyDescent="0.25">
      <c r="A319" s="46">
        <v>33359</v>
      </c>
      <c r="B319" s="13">
        <v>17522190</v>
      </c>
      <c r="C319" s="13">
        <v>1722546</v>
      </c>
    </row>
    <row r="320" spans="1:3" x14ac:dyDescent="0.25">
      <c r="A320" s="46">
        <v>33390</v>
      </c>
      <c r="B320" s="13">
        <v>19622400</v>
      </c>
      <c r="C320" s="13">
        <v>1802724</v>
      </c>
    </row>
    <row r="321" spans="1:3" x14ac:dyDescent="0.25">
      <c r="A321" s="46">
        <v>33420</v>
      </c>
      <c r="B321" s="13">
        <v>20588190</v>
      </c>
      <c r="C321" s="13">
        <v>1730736</v>
      </c>
    </row>
    <row r="322" spans="1:3" x14ac:dyDescent="0.25">
      <c r="A322" s="46">
        <v>33451</v>
      </c>
      <c r="B322" s="13">
        <v>20588190</v>
      </c>
      <c r="C322" s="13">
        <v>1778070</v>
      </c>
    </row>
    <row r="323" spans="1:3" x14ac:dyDescent="0.25">
      <c r="A323" s="46">
        <v>33482</v>
      </c>
      <c r="B323" s="13">
        <v>20250930</v>
      </c>
      <c r="C323" s="13">
        <v>1875342</v>
      </c>
    </row>
    <row r="324" spans="1:3" x14ac:dyDescent="0.25">
      <c r="A324" s="46">
        <v>33512</v>
      </c>
      <c r="B324" s="13">
        <v>20220270</v>
      </c>
      <c r="C324" s="13">
        <v>1799112</v>
      </c>
    </row>
    <row r="325" spans="1:3" x14ac:dyDescent="0.25">
      <c r="A325" s="46">
        <v>33543</v>
      </c>
      <c r="B325" s="13">
        <v>19653060</v>
      </c>
      <c r="C325" s="13">
        <v>1842876</v>
      </c>
    </row>
    <row r="326" spans="1:3" x14ac:dyDescent="0.25">
      <c r="A326" s="46">
        <v>33573</v>
      </c>
      <c r="B326" s="13">
        <v>20511540</v>
      </c>
      <c r="C326" s="13">
        <v>1850856</v>
      </c>
    </row>
    <row r="327" spans="1:3" x14ac:dyDescent="0.25">
      <c r="A327" s="46">
        <v>33604</v>
      </c>
      <c r="B327" s="13">
        <v>20143620</v>
      </c>
      <c r="C327" s="13">
        <v>1684494</v>
      </c>
    </row>
    <row r="328" spans="1:3" x14ac:dyDescent="0.25">
      <c r="A328" s="46">
        <v>33635</v>
      </c>
      <c r="B328" s="13">
        <v>19162500</v>
      </c>
      <c r="C328" s="13">
        <v>1588104</v>
      </c>
    </row>
    <row r="329" spans="1:3" x14ac:dyDescent="0.25">
      <c r="A329" s="46">
        <v>33664</v>
      </c>
      <c r="B329" s="13">
        <v>18671940</v>
      </c>
      <c r="C329" s="13">
        <v>1636782</v>
      </c>
    </row>
    <row r="330" spans="1:3" x14ac:dyDescent="0.25">
      <c r="A330" s="46">
        <v>33695</v>
      </c>
      <c r="B330" s="13">
        <v>19346460</v>
      </c>
      <c r="C330" s="13">
        <v>1545558</v>
      </c>
    </row>
    <row r="331" spans="1:3" x14ac:dyDescent="0.25">
      <c r="A331" s="46">
        <v>33725</v>
      </c>
      <c r="B331" s="13">
        <v>18365340</v>
      </c>
      <c r="C331" s="13">
        <v>1668030</v>
      </c>
    </row>
    <row r="332" spans="1:3" x14ac:dyDescent="0.25">
      <c r="A332" s="46">
        <v>33756</v>
      </c>
      <c r="B332" s="13">
        <v>20051640</v>
      </c>
      <c r="C332" s="13">
        <v>1646904</v>
      </c>
    </row>
    <row r="333" spans="1:3" x14ac:dyDescent="0.25">
      <c r="A333" s="46">
        <v>33786</v>
      </c>
      <c r="B333" s="13">
        <v>19622400</v>
      </c>
      <c r="C333" s="13">
        <v>1743000</v>
      </c>
    </row>
    <row r="334" spans="1:3" x14ac:dyDescent="0.25">
      <c r="A334" s="46">
        <v>33817</v>
      </c>
      <c r="B334" s="13">
        <v>22044540</v>
      </c>
      <c r="C334" s="13">
        <v>1718724</v>
      </c>
    </row>
    <row r="335" spans="1:3" x14ac:dyDescent="0.25">
      <c r="A335" s="46">
        <v>33848</v>
      </c>
      <c r="B335" s="13">
        <v>20128290</v>
      </c>
      <c r="C335" s="13">
        <v>1796466</v>
      </c>
    </row>
    <row r="336" spans="1:3" x14ac:dyDescent="0.25">
      <c r="A336" s="46">
        <v>33878</v>
      </c>
      <c r="B336" s="13">
        <v>20158950</v>
      </c>
      <c r="C336" s="13">
        <v>1798314</v>
      </c>
    </row>
    <row r="337" spans="1:3" x14ac:dyDescent="0.25">
      <c r="A337" s="46">
        <v>33909</v>
      </c>
      <c r="B337" s="13">
        <v>21630630</v>
      </c>
      <c r="C337" s="13">
        <v>1741026</v>
      </c>
    </row>
    <row r="338" spans="1:3" x14ac:dyDescent="0.25">
      <c r="A338" s="46">
        <v>33939</v>
      </c>
      <c r="B338" s="13">
        <v>21615300</v>
      </c>
      <c r="C338" s="13">
        <v>1622964</v>
      </c>
    </row>
    <row r="339" spans="1:3" x14ac:dyDescent="0.25">
      <c r="A339" s="46">
        <v>33970</v>
      </c>
      <c r="B339" s="13">
        <v>20986770</v>
      </c>
      <c r="C339" s="13">
        <v>1524978</v>
      </c>
    </row>
    <row r="340" spans="1:3" x14ac:dyDescent="0.25">
      <c r="A340" s="46">
        <v>34001</v>
      </c>
      <c r="B340" s="13">
        <v>20496210</v>
      </c>
      <c r="C340" s="13">
        <v>1599066</v>
      </c>
    </row>
    <row r="341" spans="1:3" x14ac:dyDescent="0.25">
      <c r="A341" s="46">
        <v>34029</v>
      </c>
      <c r="B341" s="13">
        <v>20465550</v>
      </c>
      <c r="C341" s="13">
        <v>1583190</v>
      </c>
    </row>
    <row r="342" spans="1:3" x14ac:dyDescent="0.25">
      <c r="A342" s="46">
        <v>34060</v>
      </c>
      <c r="B342" s="13">
        <v>19913670</v>
      </c>
      <c r="C342" s="13">
        <v>1570548</v>
      </c>
    </row>
    <row r="343" spans="1:3" x14ac:dyDescent="0.25">
      <c r="A343" s="46">
        <v>34090</v>
      </c>
      <c r="B343" s="13">
        <v>19745040</v>
      </c>
      <c r="C343" s="13">
        <v>1615278</v>
      </c>
    </row>
    <row r="344" spans="1:3" x14ac:dyDescent="0.25">
      <c r="A344" s="46">
        <v>34121</v>
      </c>
      <c r="B344" s="13">
        <v>20879460</v>
      </c>
      <c r="C344" s="13">
        <v>1728006</v>
      </c>
    </row>
    <row r="345" spans="1:3" x14ac:dyDescent="0.25">
      <c r="A345" s="46">
        <v>34151</v>
      </c>
      <c r="B345" s="13">
        <v>20511540</v>
      </c>
      <c r="C345" s="13">
        <v>1791300</v>
      </c>
    </row>
    <row r="346" spans="1:3" x14ac:dyDescent="0.25">
      <c r="A346" s="46">
        <v>34182</v>
      </c>
      <c r="B346" s="13">
        <v>21661290</v>
      </c>
      <c r="C346" s="13">
        <v>1664082</v>
      </c>
    </row>
    <row r="347" spans="1:3" x14ac:dyDescent="0.25">
      <c r="A347" s="46">
        <v>34213</v>
      </c>
      <c r="B347" s="13">
        <v>20802810</v>
      </c>
      <c r="C347" s="13">
        <v>1611456</v>
      </c>
    </row>
    <row r="348" spans="1:3" x14ac:dyDescent="0.25">
      <c r="A348" s="46">
        <v>34243</v>
      </c>
      <c r="B348" s="13">
        <v>21293370</v>
      </c>
      <c r="C348" s="13">
        <v>1572816</v>
      </c>
    </row>
    <row r="349" spans="1:3" x14ac:dyDescent="0.25">
      <c r="A349" s="46">
        <v>34274</v>
      </c>
      <c r="B349" s="13">
        <v>20802810</v>
      </c>
      <c r="C349" s="13">
        <v>1592346</v>
      </c>
    </row>
    <row r="350" spans="1:3" x14ac:dyDescent="0.25">
      <c r="A350" s="46">
        <v>34304</v>
      </c>
      <c r="B350" s="13">
        <v>22090530</v>
      </c>
      <c r="C350" s="13">
        <v>1597848</v>
      </c>
    </row>
    <row r="351" spans="1:3" x14ac:dyDescent="0.25">
      <c r="A351" s="46">
        <v>34335</v>
      </c>
      <c r="B351" s="13">
        <v>22381800</v>
      </c>
      <c r="C351" s="13">
        <v>1626114</v>
      </c>
    </row>
    <row r="352" spans="1:3" x14ac:dyDescent="0.25">
      <c r="A352" s="46">
        <v>34366</v>
      </c>
      <c r="B352" s="13">
        <v>22581090</v>
      </c>
      <c r="C352" s="13">
        <v>1589574</v>
      </c>
    </row>
    <row r="353" spans="1:3" x14ac:dyDescent="0.25">
      <c r="A353" s="46">
        <v>34394</v>
      </c>
      <c r="B353" s="13">
        <v>22136520</v>
      </c>
      <c r="C353" s="13">
        <v>1497762</v>
      </c>
    </row>
    <row r="354" spans="1:3" x14ac:dyDescent="0.25">
      <c r="A354" s="46">
        <v>34425</v>
      </c>
      <c r="B354" s="13">
        <v>22519770</v>
      </c>
      <c r="C354" s="13">
        <v>1526700</v>
      </c>
    </row>
    <row r="355" spans="1:3" x14ac:dyDescent="0.25">
      <c r="A355" s="46">
        <v>34455</v>
      </c>
      <c r="B355" s="13">
        <v>21492660</v>
      </c>
      <c r="C355" s="13">
        <v>1661394</v>
      </c>
    </row>
    <row r="356" spans="1:3" x14ac:dyDescent="0.25">
      <c r="A356" s="46">
        <v>34486</v>
      </c>
      <c r="B356" s="13">
        <v>23270940</v>
      </c>
      <c r="C356" s="13">
        <v>1663956</v>
      </c>
    </row>
    <row r="357" spans="1:3" x14ac:dyDescent="0.25">
      <c r="A357" s="46">
        <v>34516</v>
      </c>
      <c r="B357" s="13">
        <v>22320480</v>
      </c>
      <c r="C357" s="13">
        <v>1718640</v>
      </c>
    </row>
    <row r="358" spans="1:3" x14ac:dyDescent="0.25">
      <c r="A358" s="46">
        <v>34547</v>
      </c>
      <c r="B358" s="13">
        <v>23546880</v>
      </c>
      <c r="C358" s="13">
        <v>1771224</v>
      </c>
    </row>
    <row r="359" spans="1:3" x14ac:dyDescent="0.25">
      <c r="A359" s="46">
        <v>34578</v>
      </c>
      <c r="B359" s="13">
        <v>22397130</v>
      </c>
      <c r="C359" s="13">
        <v>1831872</v>
      </c>
    </row>
    <row r="360" spans="1:3" x14ac:dyDescent="0.25">
      <c r="A360" s="46">
        <v>34608</v>
      </c>
      <c r="B360" s="13">
        <v>23301600</v>
      </c>
      <c r="C360" s="13">
        <v>1793988</v>
      </c>
    </row>
    <row r="361" spans="1:3" x14ac:dyDescent="0.25">
      <c r="A361" s="46">
        <v>34639</v>
      </c>
      <c r="B361" s="13">
        <v>22903020</v>
      </c>
      <c r="C361" s="13">
        <v>1808352</v>
      </c>
    </row>
    <row r="362" spans="1:3" x14ac:dyDescent="0.25">
      <c r="A362" s="46">
        <v>34669</v>
      </c>
      <c r="B362" s="13">
        <v>23393580</v>
      </c>
      <c r="C362" s="13">
        <v>1916460</v>
      </c>
    </row>
    <row r="363" spans="1:3" x14ac:dyDescent="0.25">
      <c r="A363" s="46">
        <v>34700</v>
      </c>
      <c r="B363" s="13">
        <v>23378250</v>
      </c>
      <c r="C363" s="13">
        <v>1820406</v>
      </c>
    </row>
    <row r="364" spans="1:3" x14ac:dyDescent="0.25">
      <c r="A364" s="46">
        <v>34731</v>
      </c>
      <c r="B364" s="13">
        <v>23209620</v>
      </c>
      <c r="C364" s="13">
        <v>1766604</v>
      </c>
    </row>
    <row r="365" spans="1:3" x14ac:dyDescent="0.25">
      <c r="A365" s="46">
        <v>34759</v>
      </c>
      <c r="B365" s="13">
        <v>22443120</v>
      </c>
      <c r="C365" s="13">
        <v>1624770</v>
      </c>
    </row>
    <row r="366" spans="1:3" x14ac:dyDescent="0.25">
      <c r="A366" s="46">
        <v>34790</v>
      </c>
      <c r="B366" s="13">
        <v>21492660</v>
      </c>
      <c r="C366" s="13">
        <v>1605366</v>
      </c>
    </row>
    <row r="367" spans="1:3" x14ac:dyDescent="0.25">
      <c r="A367" s="46">
        <v>34820</v>
      </c>
      <c r="B367" s="13">
        <v>22657740</v>
      </c>
      <c r="C367" s="13">
        <v>1560258</v>
      </c>
    </row>
    <row r="368" spans="1:3" x14ac:dyDescent="0.25">
      <c r="A368" s="46">
        <v>34851</v>
      </c>
      <c r="B368" s="13">
        <v>21354690</v>
      </c>
      <c r="C368" s="13">
        <v>1650726</v>
      </c>
    </row>
    <row r="369" spans="1:3" x14ac:dyDescent="0.25">
      <c r="A369" s="46">
        <v>34881</v>
      </c>
      <c r="B369" s="13">
        <v>22519770</v>
      </c>
      <c r="C369" s="13">
        <v>1681512</v>
      </c>
    </row>
    <row r="370" spans="1:3" x14ac:dyDescent="0.25">
      <c r="A370" s="46">
        <v>34912</v>
      </c>
      <c r="B370" s="13">
        <v>23071650</v>
      </c>
      <c r="C370" s="13">
        <v>1652616</v>
      </c>
    </row>
    <row r="371" spans="1:3" x14ac:dyDescent="0.25">
      <c r="A371" s="46">
        <v>34943</v>
      </c>
      <c r="B371" s="13">
        <v>22995000</v>
      </c>
      <c r="C371" s="13">
        <v>1712424</v>
      </c>
    </row>
    <row r="372" spans="1:3" x14ac:dyDescent="0.25">
      <c r="A372" s="46">
        <v>34973</v>
      </c>
      <c r="B372" s="13">
        <v>23270940</v>
      </c>
      <c r="C372" s="13">
        <v>1642158</v>
      </c>
    </row>
    <row r="373" spans="1:3" x14ac:dyDescent="0.25">
      <c r="A373" s="46">
        <v>35004</v>
      </c>
      <c r="B373" s="13">
        <v>24190740</v>
      </c>
      <c r="C373" s="13">
        <v>1726158</v>
      </c>
    </row>
    <row r="374" spans="1:3" x14ac:dyDescent="0.25">
      <c r="A374" s="46">
        <v>35034</v>
      </c>
      <c r="B374" s="13">
        <v>24803940</v>
      </c>
      <c r="C374" s="13">
        <v>1656858</v>
      </c>
    </row>
    <row r="375" spans="1:3" x14ac:dyDescent="0.25">
      <c r="A375" s="46">
        <v>35065</v>
      </c>
      <c r="B375" s="13">
        <v>24635310</v>
      </c>
      <c r="C375" s="13">
        <v>1610070</v>
      </c>
    </row>
    <row r="376" spans="1:3" x14ac:dyDescent="0.25">
      <c r="A376" s="46">
        <v>35096</v>
      </c>
      <c r="B376" s="13">
        <v>25417140</v>
      </c>
      <c r="C376" s="13">
        <v>1452360</v>
      </c>
    </row>
    <row r="377" spans="1:3" x14ac:dyDescent="0.25">
      <c r="A377" s="46">
        <v>35125</v>
      </c>
      <c r="B377" s="13">
        <v>23715510</v>
      </c>
      <c r="C377" s="13">
        <v>1422414</v>
      </c>
    </row>
    <row r="378" spans="1:3" x14ac:dyDescent="0.25">
      <c r="A378" s="46">
        <v>35156</v>
      </c>
      <c r="B378" s="13">
        <v>23224950</v>
      </c>
      <c r="C378" s="13">
        <v>1485288</v>
      </c>
    </row>
    <row r="379" spans="1:3" x14ac:dyDescent="0.25">
      <c r="A379" s="46">
        <v>35186</v>
      </c>
      <c r="B379" s="13">
        <v>22489110</v>
      </c>
      <c r="C379" s="13">
        <v>1538880</v>
      </c>
    </row>
    <row r="380" spans="1:3" x14ac:dyDescent="0.25">
      <c r="A380" s="46">
        <v>35217</v>
      </c>
      <c r="B380" s="13">
        <v>23853480</v>
      </c>
      <c r="C380" s="13">
        <v>1628382</v>
      </c>
    </row>
    <row r="381" spans="1:3" x14ac:dyDescent="0.25">
      <c r="A381" s="46">
        <v>35247</v>
      </c>
      <c r="B381" s="13">
        <v>24052770</v>
      </c>
      <c r="C381" s="13">
        <v>1608852</v>
      </c>
    </row>
    <row r="382" spans="1:3" x14ac:dyDescent="0.25">
      <c r="A382" s="46">
        <v>35278</v>
      </c>
      <c r="B382" s="13">
        <v>24221400</v>
      </c>
      <c r="C382" s="13">
        <v>1606332</v>
      </c>
    </row>
    <row r="383" spans="1:3" x14ac:dyDescent="0.25">
      <c r="A383" s="46">
        <v>35309</v>
      </c>
      <c r="B383" s="13">
        <v>24589320</v>
      </c>
      <c r="C383" s="13">
        <v>1796424</v>
      </c>
    </row>
    <row r="384" spans="1:3" x14ac:dyDescent="0.25">
      <c r="A384" s="46">
        <v>35339</v>
      </c>
      <c r="B384" s="13">
        <v>25079880</v>
      </c>
      <c r="C384" s="13">
        <v>1727502</v>
      </c>
    </row>
    <row r="385" spans="1:3" x14ac:dyDescent="0.25">
      <c r="A385" s="46">
        <v>35370</v>
      </c>
      <c r="B385" s="13">
        <v>24344040</v>
      </c>
      <c r="C385" s="13">
        <v>1668660</v>
      </c>
    </row>
    <row r="386" spans="1:3" x14ac:dyDescent="0.25">
      <c r="A386" s="46">
        <v>35400</v>
      </c>
      <c r="B386" s="13">
        <v>24114090</v>
      </c>
      <c r="C386" s="13">
        <v>1670718</v>
      </c>
    </row>
    <row r="387" spans="1:3" x14ac:dyDescent="0.25">
      <c r="A387" s="46">
        <v>35431</v>
      </c>
      <c r="B387" s="13">
        <v>24742620</v>
      </c>
      <c r="C387" s="13">
        <v>1540728</v>
      </c>
    </row>
    <row r="388" spans="1:3" x14ac:dyDescent="0.25">
      <c r="A388" s="46">
        <v>35462</v>
      </c>
      <c r="B388" s="13">
        <v>24083430</v>
      </c>
      <c r="C388" s="13">
        <v>1578360</v>
      </c>
    </row>
    <row r="389" spans="1:3" x14ac:dyDescent="0.25">
      <c r="A389" s="46">
        <v>35490</v>
      </c>
      <c r="B389" s="13">
        <v>23424240</v>
      </c>
      <c r="C389" s="13">
        <v>1649088</v>
      </c>
    </row>
    <row r="390" spans="1:3" x14ac:dyDescent="0.25">
      <c r="A390" s="46">
        <v>35521</v>
      </c>
      <c r="B390" s="13">
        <v>23884140</v>
      </c>
      <c r="C390" s="13">
        <v>1663704</v>
      </c>
    </row>
    <row r="391" spans="1:3" x14ac:dyDescent="0.25">
      <c r="A391" s="46">
        <v>35551</v>
      </c>
      <c r="B391" s="13">
        <v>23776830</v>
      </c>
      <c r="C391" s="13">
        <v>1723512</v>
      </c>
    </row>
    <row r="392" spans="1:3" x14ac:dyDescent="0.25">
      <c r="A392" s="46">
        <v>35582</v>
      </c>
      <c r="B392" s="13">
        <v>24114090</v>
      </c>
      <c r="C392" s="13">
        <v>1821330</v>
      </c>
    </row>
    <row r="393" spans="1:3" x14ac:dyDescent="0.25">
      <c r="A393" s="46">
        <v>35612</v>
      </c>
      <c r="B393" s="13">
        <v>25831050</v>
      </c>
      <c r="C393" s="13">
        <v>1803438</v>
      </c>
    </row>
    <row r="394" spans="1:3" x14ac:dyDescent="0.25">
      <c r="A394" s="46">
        <v>35643</v>
      </c>
      <c r="B394" s="13">
        <v>25263840</v>
      </c>
      <c r="C394" s="13">
        <v>1812888</v>
      </c>
    </row>
    <row r="395" spans="1:3" x14ac:dyDescent="0.25">
      <c r="A395" s="46">
        <v>35674</v>
      </c>
      <c r="B395" s="13">
        <v>24298050</v>
      </c>
      <c r="C395" s="13">
        <v>1911630</v>
      </c>
    </row>
    <row r="396" spans="1:3" x14ac:dyDescent="0.25">
      <c r="A396" s="46">
        <v>35704</v>
      </c>
      <c r="B396" s="13">
        <v>24512670</v>
      </c>
      <c r="C396" s="13">
        <v>1936326</v>
      </c>
    </row>
    <row r="397" spans="1:3" x14ac:dyDescent="0.25">
      <c r="A397" s="46">
        <v>35735</v>
      </c>
      <c r="B397" s="13">
        <v>24711960</v>
      </c>
      <c r="C397" s="13">
        <v>1946112</v>
      </c>
    </row>
    <row r="398" spans="1:3" x14ac:dyDescent="0.25">
      <c r="A398" s="46">
        <v>35765</v>
      </c>
      <c r="B398" s="13">
        <v>25248510</v>
      </c>
      <c r="C398" s="13">
        <v>1848378</v>
      </c>
    </row>
    <row r="399" spans="1:3" x14ac:dyDescent="0.25">
      <c r="A399" s="46">
        <v>35796</v>
      </c>
      <c r="B399" s="13">
        <v>23884140</v>
      </c>
      <c r="C399" s="13">
        <v>1851654</v>
      </c>
    </row>
    <row r="400" spans="1:3" x14ac:dyDescent="0.25">
      <c r="A400" s="46">
        <v>35827</v>
      </c>
      <c r="B400" s="13">
        <v>24604650</v>
      </c>
      <c r="C400" s="13">
        <v>1779666</v>
      </c>
    </row>
    <row r="401" spans="1:3" x14ac:dyDescent="0.25">
      <c r="A401" s="46">
        <v>35855</v>
      </c>
      <c r="B401" s="13">
        <v>24466680</v>
      </c>
      <c r="C401" s="13">
        <v>1809486</v>
      </c>
    </row>
    <row r="402" spans="1:3" x14ac:dyDescent="0.25">
      <c r="A402" s="46">
        <v>35886</v>
      </c>
      <c r="B402" s="13">
        <v>25355820</v>
      </c>
      <c r="C402" s="13">
        <v>1738380</v>
      </c>
    </row>
    <row r="403" spans="1:3" x14ac:dyDescent="0.25">
      <c r="A403" s="46">
        <v>35916</v>
      </c>
      <c r="B403" s="13">
        <v>24037440</v>
      </c>
      <c r="C403" s="13">
        <v>1808520</v>
      </c>
    </row>
    <row r="404" spans="1:3" x14ac:dyDescent="0.25">
      <c r="A404" s="46">
        <v>35947</v>
      </c>
      <c r="B404" s="13">
        <v>24696630</v>
      </c>
      <c r="C404" s="13">
        <v>1852326</v>
      </c>
    </row>
    <row r="405" spans="1:3" x14ac:dyDescent="0.25">
      <c r="A405" s="46">
        <v>35977</v>
      </c>
      <c r="B405" s="13">
        <v>25432470</v>
      </c>
      <c r="C405" s="13">
        <v>1767444</v>
      </c>
    </row>
    <row r="406" spans="1:3" x14ac:dyDescent="0.25">
      <c r="A406" s="46">
        <v>36008</v>
      </c>
      <c r="B406" s="13">
        <v>24604650</v>
      </c>
      <c r="C406" s="13">
        <v>1950606</v>
      </c>
    </row>
    <row r="407" spans="1:3" x14ac:dyDescent="0.25">
      <c r="A407" s="46">
        <v>36039</v>
      </c>
      <c r="B407" s="13">
        <v>23991450</v>
      </c>
      <c r="C407" s="13">
        <v>1929144</v>
      </c>
    </row>
    <row r="408" spans="1:3" x14ac:dyDescent="0.25">
      <c r="A408" s="46">
        <v>36069</v>
      </c>
      <c r="B408" s="13">
        <v>25570440</v>
      </c>
      <c r="C408" s="13">
        <v>1796298</v>
      </c>
    </row>
    <row r="409" spans="1:3" x14ac:dyDescent="0.25">
      <c r="A409" s="46">
        <v>36100</v>
      </c>
      <c r="B409" s="13">
        <v>25049220</v>
      </c>
      <c r="C409" s="13">
        <v>1909152</v>
      </c>
    </row>
    <row r="410" spans="1:3" x14ac:dyDescent="0.25">
      <c r="A410" s="46">
        <v>36130</v>
      </c>
      <c r="B410" s="13">
        <v>26827500</v>
      </c>
      <c r="C410" s="13">
        <v>1875720</v>
      </c>
    </row>
    <row r="411" spans="1:3" x14ac:dyDescent="0.25">
      <c r="A411" s="46">
        <v>36161</v>
      </c>
      <c r="B411" s="13">
        <v>26030340</v>
      </c>
      <c r="C411" s="13">
        <v>1879626</v>
      </c>
    </row>
    <row r="412" spans="1:3" x14ac:dyDescent="0.25">
      <c r="A412" s="46">
        <v>36192</v>
      </c>
      <c r="B412" s="13">
        <v>25892370</v>
      </c>
      <c r="C412" s="13">
        <v>1909530</v>
      </c>
    </row>
    <row r="413" spans="1:3" x14ac:dyDescent="0.25">
      <c r="A413" s="46">
        <v>36220</v>
      </c>
      <c r="B413" s="13">
        <v>25938360</v>
      </c>
      <c r="C413" s="13">
        <v>1767696</v>
      </c>
    </row>
    <row r="414" spans="1:3" x14ac:dyDescent="0.25">
      <c r="A414" s="46">
        <v>36251</v>
      </c>
      <c r="B414" s="13">
        <v>25325160</v>
      </c>
      <c r="C414" s="13">
        <v>1926666</v>
      </c>
    </row>
    <row r="415" spans="1:3" x14ac:dyDescent="0.25">
      <c r="A415" s="46">
        <v>36281</v>
      </c>
      <c r="B415" s="13">
        <v>24665970</v>
      </c>
      <c r="C415" s="13">
        <v>1993278</v>
      </c>
    </row>
    <row r="416" spans="1:3" x14ac:dyDescent="0.25">
      <c r="A416" s="46">
        <v>36312</v>
      </c>
      <c r="B416" s="13">
        <v>25141200</v>
      </c>
      <c r="C416" s="13">
        <v>1917552</v>
      </c>
    </row>
    <row r="417" spans="1:3" x14ac:dyDescent="0.25">
      <c r="A417" s="46">
        <v>36342</v>
      </c>
      <c r="B417" s="13">
        <v>25263840</v>
      </c>
      <c r="C417" s="13">
        <v>1946868</v>
      </c>
    </row>
    <row r="418" spans="1:3" x14ac:dyDescent="0.25">
      <c r="A418" s="46">
        <v>36373</v>
      </c>
      <c r="B418" s="13">
        <v>26658870</v>
      </c>
      <c r="C418" s="13">
        <v>1952034</v>
      </c>
    </row>
    <row r="419" spans="1:3" x14ac:dyDescent="0.25">
      <c r="A419" s="46">
        <v>36404</v>
      </c>
      <c r="B419" s="13">
        <v>25217850</v>
      </c>
      <c r="C419" s="13">
        <v>2044896</v>
      </c>
    </row>
    <row r="420" spans="1:3" x14ac:dyDescent="0.25">
      <c r="A420" s="46">
        <v>36434</v>
      </c>
      <c r="B420" s="13">
        <v>26444250</v>
      </c>
      <c r="C420" s="13">
        <v>1844766</v>
      </c>
    </row>
    <row r="421" spans="1:3" x14ac:dyDescent="0.25">
      <c r="A421" s="46">
        <v>36465</v>
      </c>
      <c r="B421" s="13">
        <v>25141200</v>
      </c>
      <c r="C421" s="13">
        <v>1731912</v>
      </c>
    </row>
    <row r="422" spans="1:3" x14ac:dyDescent="0.25">
      <c r="A422" s="46">
        <v>36495</v>
      </c>
      <c r="B422" s="13">
        <v>26321610</v>
      </c>
      <c r="C422" s="13">
        <v>1698774</v>
      </c>
    </row>
    <row r="423" spans="1:3" x14ac:dyDescent="0.25">
      <c r="A423" s="46">
        <v>36526</v>
      </c>
      <c r="B423" s="13">
        <v>24589320</v>
      </c>
      <c r="C423" s="13">
        <v>1828218</v>
      </c>
    </row>
    <row r="424" spans="1:3" x14ac:dyDescent="0.25">
      <c r="A424" s="46">
        <v>36557</v>
      </c>
      <c r="B424" s="13">
        <v>25708410</v>
      </c>
      <c r="C424" s="13">
        <v>1742076</v>
      </c>
    </row>
    <row r="425" spans="1:3" x14ac:dyDescent="0.25">
      <c r="A425" s="46">
        <v>36586</v>
      </c>
      <c r="B425" s="13">
        <v>25785060</v>
      </c>
      <c r="C425" s="13">
        <v>1697388</v>
      </c>
    </row>
    <row r="426" spans="1:3" x14ac:dyDescent="0.25">
      <c r="A426" s="46">
        <v>36617</v>
      </c>
      <c r="B426" s="13">
        <v>25708410</v>
      </c>
      <c r="C426" s="13">
        <v>1732500</v>
      </c>
    </row>
    <row r="427" spans="1:3" x14ac:dyDescent="0.25">
      <c r="A427" s="46">
        <v>36647</v>
      </c>
      <c r="B427" s="13">
        <v>25585770</v>
      </c>
      <c r="C427" s="13">
        <v>1769586</v>
      </c>
    </row>
    <row r="428" spans="1:3" x14ac:dyDescent="0.25">
      <c r="A428" s="46">
        <v>36678</v>
      </c>
      <c r="B428" s="13">
        <v>26290950</v>
      </c>
      <c r="C428" s="13">
        <v>1834728</v>
      </c>
    </row>
    <row r="429" spans="1:3" x14ac:dyDescent="0.25">
      <c r="A429" s="46">
        <v>36708</v>
      </c>
      <c r="B429" s="13">
        <v>27272070</v>
      </c>
      <c r="C429" s="13">
        <v>1801800</v>
      </c>
    </row>
    <row r="430" spans="1:3" x14ac:dyDescent="0.25">
      <c r="A430" s="46">
        <v>36739</v>
      </c>
      <c r="B430" s="13">
        <v>28299180</v>
      </c>
      <c r="C430" s="13">
        <v>1791342</v>
      </c>
    </row>
    <row r="431" spans="1:3" x14ac:dyDescent="0.25">
      <c r="A431" s="46">
        <v>36770</v>
      </c>
      <c r="B431" s="13">
        <v>26827500</v>
      </c>
      <c r="C431" s="13">
        <v>1775844</v>
      </c>
    </row>
    <row r="432" spans="1:3" x14ac:dyDescent="0.25">
      <c r="A432" s="46">
        <v>36800</v>
      </c>
      <c r="B432" s="13">
        <v>27256740</v>
      </c>
      <c r="C432" s="13">
        <v>1790292</v>
      </c>
    </row>
    <row r="433" spans="1:3" x14ac:dyDescent="0.25">
      <c r="A433" s="46">
        <v>36831</v>
      </c>
      <c r="B433" s="13">
        <v>26505570</v>
      </c>
      <c r="C433" s="13">
        <v>1776012</v>
      </c>
    </row>
    <row r="434" spans="1:3" x14ac:dyDescent="0.25">
      <c r="A434" s="46">
        <v>36861</v>
      </c>
      <c r="B434" s="13">
        <v>27532680</v>
      </c>
      <c r="C434" s="13">
        <v>1865178</v>
      </c>
    </row>
    <row r="435" spans="1:3" x14ac:dyDescent="0.25">
      <c r="A435" s="46">
        <v>36892</v>
      </c>
      <c r="B435" s="13">
        <v>26720190</v>
      </c>
      <c r="C435" s="13">
        <v>1838760</v>
      </c>
    </row>
    <row r="436" spans="1:3" x14ac:dyDescent="0.25">
      <c r="A436" s="46">
        <v>36923</v>
      </c>
      <c r="B436" s="13">
        <v>26858160</v>
      </c>
      <c r="C436" s="13">
        <v>1791216</v>
      </c>
    </row>
    <row r="437" spans="1:3" x14ac:dyDescent="0.25">
      <c r="A437" s="46">
        <v>36951</v>
      </c>
      <c r="B437" s="13">
        <v>25831050</v>
      </c>
      <c r="C437" s="13">
        <v>1701840</v>
      </c>
    </row>
    <row r="438" spans="1:3" x14ac:dyDescent="0.25">
      <c r="A438" s="46">
        <v>36982</v>
      </c>
      <c r="B438" s="13">
        <v>25861710</v>
      </c>
      <c r="C438" s="13">
        <v>1697052</v>
      </c>
    </row>
    <row r="439" spans="1:3" x14ac:dyDescent="0.25">
      <c r="A439" s="46">
        <v>37012</v>
      </c>
      <c r="B439" s="13">
        <v>26398260</v>
      </c>
      <c r="C439" s="13">
        <v>1770006</v>
      </c>
    </row>
    <row r="440" spans="1:3" x14ac:dyDescent="0.25">
      <c r="A440" s="46">
        <v>37043</v>
      </c>
      <c r="B440" s="13">
        <v>26812170</v>
      </c>
      <c r="C440" s="13">
        <v>1807680</v>
      </c>
    </row>
    <row r="441" spans="1:3" x14ac:dyDescent="0.25">
      <c r="A441" s="46">
        <v>37073</v>
      </c>
      <c r="B441" s="13">
        <v>27026790</v>
      </c>
      <c r="C441" s="13">
        <v>1775802</v>
      </c>
    </row>
    <row r="442" spans="1:3" x14ac:dyDescent="0.25">
      <c r="A442" s="46">
        <v>37104</v>
      </c>
      <c r="B442" s="13">
        <v>26367600</v>
      </c>
      <c r="C442" s="13">
        <v>1744176</v>
      </c>
    </row>
    <row r="443" spans="1:3" x14ac:dyDescent="0.25">
      <c r="A443" s="46">
        <v>37135</v>
      </c>
      <c r="B443" s="13">
        <v>23378250</v>
      </c>
      <c r="C443" s="13">
        <v>1794576</v>
      </c>
    </row>
    <row r="444" spans="1:3" x14ac:dyDescent="0.25">
      <c r="A444" s="46">
        <v>37165</v>
      </c>
      <c r="B444" s="13">
        <v>24037440</v>
      </c>
      <c r="C444" s="13">
        <v>1693272</v>
      </c>
    </row>
    <row r="445" spans="1:3" x14ac:dyDescent="0.25">
      <c r="A445" s="46">
        <v>37196</v>
      </c>
      <c r="B445" s="13">
        <v>22136520</v>
      </c>
      <c r="C445" s="13">
        <v>1684830</v>
      </c>
    </row>
    <row r="446" spans="1:3" x14ac:dyDescent="0.25">
      <c r="A446" s="46">
        <v>37226</v>
      </c>
      <c r="B446" s="13">
        <v>23178960</v>
      </c>
      <c r="C446" s="13">
        <v>1758582</v>
      </c>
    </row>
    <row r="447" spans="1:3" x14ac:dyDescent="0.25">
      <c r="A447" s="46">
        <v>37257</v>
      </c>
      <c r="B447" s="13">
        <v>24390030</v>
      </c>
      <c r="C447" s="13">
        <v>1728804</v>
      </c>
    </row>
    <row r="448" spans="1:3" x14ac:dyDescent="0.25">
      <c r="A448" s="46">
        <v>37288</v>
      </c>
      <c r="B448" s="13">
        <v>23485560</v>
      </c>
      <c r="C448" s="13">
        <v>1711752</v>
      </c>
    </row>
    <row r="449" spans="1:3" x14ac:dyDescent="0.25">
      <c r="A449" s="46">
        <v>37316</v>
      </c>
      <c r="B449" s="13">
        <v>24236730</v>
      </c>
      <c r="C449" s="13">
        <v>1751862</v>
      </c>
    </row>
    <row r="450" spans="1:3" x14ac:dyDescent="0.25">
      <c r="A450" s="46">
        <v>37347</v>
      </c>
      <c r="B450" s="13">
        <v>25662420</v>
      </c>
      <c r="C450" s="13">
        <v>1692054</v>
      </c>
    </row>
    <row r="451" spans="1:3" x14ac:dyDescent="0.25">
      <c r="A451" s="46">
        <v>37377</v>
      </c>
      <c r="B451" s="13">
        <v>23531550</v>
      </c>
      <c r="C451" s="13">
        <v>1718052</v>
      </c>
    </row>
    <row r="452" spans="1:3" x14ac:dyDescent="0.25">
      <c r="A452" s="46">
        <v>37408</v>
      </c>
      <c r="B452" s="13">
        <v>25386480</v>
      </c>
      <c r="C452" s="13">
        <v>1637622</v>
      </c>
    </row>
    <row r="453" spans="1:3" x14ac:dyDescent="0.25">
      <c r="A453" s="46">
        <v>37438</v>
      </c>
      <c r="B453" s="13">
        <v>25739070</v>
      </c>
      <c r="C453" s="13">
        <v>1611036</v>
      </c>
    </row>
    <row r="454" spans="1:3" x14ac:dyDescent="0.25">
      <c r="A454" s="46">
        <v>37469</v>
      </c>
      <c r="B454" s="13">
        <v>24773280</v>
      </c>
      <c r="C454" s="13">
        <v>1652784</v>
      </c>
    </row>
    <row r="455" spans="1:3" x14ac:dyDescent="0.25">
      <c r="A455" s="46">
        <v>37500</v>
      </c>
      <c r="B455" s="13">
        <v>24665970</v>
      </c>
      <c r="C455" s="13">
        <v>1703646</v>
      </c>
    </row>
    <row r="456" spans="1:3" x14ac:dyDescent="0.25">
      <c r="A456" s="46">
        <v>37530</v>
      </c>
      <c r="B456" s="13">
        <v>24972570</v>
      </c>
      <c r="C456" s="13">
        <v>1750266</v>
      </c>
    </row>
    <row r="457" spans="1:3" x14ac:dyDescent="0.25">
      <c r="A457" s="46">
        <v>37561</v>
      </c>
      <c r="B457" s="13">
        <v>24757950</v>
      </c>
      <c r="C457" s="13">
        <v>1791972</v>
      </c>
    </row>
    <row r="458" spans="1:3" x14ac:dyDescent="0.25">
      <c r="A458" s="46">
        <v>37591</v>
      </c>
      <c r="B458" s="13">
        <v>26398260</v>
      </c>
      <c r="C458" s="13">
        <v>1643166</v>
      </c>
    </row>
    <row r="459" spans="1:3" x14ac:dyDescent="0.25">
      <c r="A459" s="46">
        <v>37622</v>
      </c>
      <c r="B459" s="13">
        <v>23071650</v>
      </c>
      <c r="C459" s="13">
        <v>1704444</v>
      </c>
    </row>
    <row r="460" spans="1:3" x14ac:dyDescent="0.25">
      <c r="A460" s="46">
        <v>37653</v>
      </c>
      <c r="B460" s="13">
        <v>24236730</v>
      </c>
      <c r="C460" s="13">
        <v>1617672</v>
      </c>
    </row>
    <row r="461" spans="1:3" x14ac:dyDescent="0.25">
      <c r="A461" s="46">
        <v>37681</v>
      </c>
      <c r="B461" s="13">
        <v>24144750</v>
      </c>
      <c r="C461" s="13">
        <v>1536444</v>
      </c>
    </row>
    <row r="462" spans="1:3" x14ac:dyDescent="0.25">
      <c r="A462" s="46">
        <v>37712</v>
      </c>
      <c r="B462" s="13">
        <v>23301600</v>
      </c>
      <c r="C462" s="13">
        <v>1532034</v>
      </c>
    </row>
    <row r="463" spans="1:3" x14ac:dyDescent="0.25">
      <c r="A463" s="46">
        <v>37742</v>
      </c>
      <c r="B463" s="13">
        <v>22535100</v>
      </c>
      <c r="C463" s="13">
        <v>1683864</v>
      </c>
    </row>
    <row r="464" spans="1:3" x14ac:dyDescent="0.25">
      <c r="A464" s="46">
        <v>37773</v>
      </c>
      <c r="B464" s="13">
        <v>23991450</v>
      </c>
      <c r="C464" s="13">
        <v>1608096</v>
      </c>
    </row>
    <row r="465" spans="1:3" x14ac:dyDescent="0.25">
      <c r="A465" s="46">
        <v>37803</v>
      </c>
      <c r="B465" s="13">
        <v>24619980</v>
      </c>
      <c r="C465" s="13">
        <v>1605954</v>
      </c>
    </row>
    <row r="466" spans="1:3" x14ac:dyDescent="0.25">
      <c r="A466" s="46">
        <v>37834</v>
      </c>
      <c r="B466" s="13">
        <v>25463130</v>
      </c>
      <c r="C466" s="13">
        <v>1621788</v>
      </c>
    </row>
    <row r="467" spans="1:3" x14ac:dyDescent="0.25">
      <c r="A467" s="46">
        <v>37865</v>
      </c>
      <c r="B467" s="13">
        <v>24236730</v>
      </c>
      <c r="C467" s="13">
        <v>1682982</v>
      </c>
    </row>
    <row r="468" spans="1:3" x14ac:dyDescent="0.25">
      <c r="A468" s="46">
        <v>37895</v>
      </c>
      <c r="B468" s="13">
        <v>24221400</v>
      </c>
      <c r="C468" s="13">
        <v>1688064</v>
      </c>
    </row>
    <row r="469" spans="1:3" x14ac:dyDescent="0.25">
      <c r="A469" s="46">
        <v>37926</v>
      </c>
      <c r="B469" s="13">
        <v>25003230</v>
      </c>
      <c r="C469" s="13">
        <v>1596294</v>
      </c>
    </row>
    <row r="470" spans="1:3" x14ac:dyDescent="0.25">
      <c r="A470" s="46">
        <v>37956</v>
      </c>
      <c r="B470" s="13">
        <v>25493790</v>
      </c>
      <c r="C470" s="13">
        <v>1628214</v>
      </c>
    </row>
    <row r="471" spans="1:3" x14ac:dyDescent="0.25">
      <c r="A471" s="46">
        <v>37987</v>
      </c>
      <c r="B471" s="13">
        <v>23071650</v>
      </c>
      <c r="C471" s="13">
        <v>1674414</v>
      </c>
    </row>
    <row r="472" spans="1:3" x14ac:dyDescent="0.25">
      <c r="A472" s="46">
        <v>38018</v>
      </c>
      <c r="B472" s="13">
        <v>25631760</v>
      </c>
      <c r="C472" s="13">
        <v>1529136</v>
      </c>
    </row>
    <row r="473" spans="1:3" x14ac:dyDescent="0.25">
      <c r="A473" s="46">
        <v>38047</v>
      </c>
      <c r="B473" s="13">
        <v>23914800</v>
      </c>
      <c r="C473" s="13">
        <v>1494948</v>
      </c>
    </row>
    <row r="474" spans="1:3" x14ac:dyDescent="0.25">
      <c r="A474" s="46">
        <v>38078</v>
      </c>
      <c r="B474" s="13">
        <v>24083430</v>
      </c>
      <c r="C474" s="13">
        <v>1477602</v>
      </c>
    </row>
    <row r="475" spans="1:3" x14ac:dyDescent="0.25">
      <c r="A475" s="46">
        <v>38108</v>
      </c>
      <c r="B475" s="13">
        <v>24466680</v>
      </c>
      <c r="C475" s="13">
        <v>1600074</v>
      </c>
    </row>
    <row r="476" spans="1:3" x14ac:dyDescent="0.25">
      <c r="A476" s="46">
        <v>38139</v>
      </c>
      <c r="B476" s="13">
        <v>25585770</v>
      </c>
      <c r="C476" s="13">
        <v>1627542</v>
      </c>
    </row>
    <row r="477" spans="1:3" x14ac:dyDescent="0.25">
      <c r="A477" s="46">
        <v>38169</v>
      </c>
      <c r="B477" s="13">
        <v>25417140</v>
      </c>
      <c r="C477" s="13">
        <v>1713012</v>
      </c>
    </row>
    <row r="478" spans="1:3" x14ac:dyDescent="0.25">
      <c r="A478" s="46">
        <v>38200</v>
      </c>
      <c r="B478" s="13">
        <v>26520900</v>
      </c>
      <c r="C478" s="13">
        <v>1754592</v>
      </c>
    </row>
    <row r="479" spans="1:3" x14ac:dyDescent="0.25">
      <c r="A479" s="46">
        <v>38231</v>
      </c>
      <c r="B479" s="13">
        <v>24696630</v>
      </c>
      <c r="C479" s="13">
        <v>1734936</v>
      </c>
    </row>
    <row r="480" spans="1:3" x14ac:dyDescent="0.25">
      <c r="A480" s="46">
        <v>38261</v>
      </c>
      <c r="B480" s="13">
        <v>25156530</v>
      </c>
      <c r="C480" s="13">
        <v>1687728</v>
      </c>
    </row>
    <row r="481" spans="1:3" x14ac:dyDescent="0.25">
      <c r="A481" s="46">
        <v>38292</v>
      </c>
      <c r="B481" s="13">
        <v>26122320</v>
      </c>
      <c r="C481" s="13">
        <v>1718094</v>
      </c>
    </row>
    <row r="482" spans="1:3" x14ac:dyDescent="0.25">
      <c r="A482" s="46">
        <v>38322</v>
      </c>
      <c r="B482" s="13">
        <v>25217850</v>
      </c>
      <c r="C482" s="13">
        <v>1683612</v>
      </c>
    </row>
    <row r="483" spans="1:3" x14ac:dyDescent="0.25">
      <c r="A483" s="46">
        <v>38353</v>
      </c>
      <c r="B483" s="13">
        <v>23546880</v>
      </c>
      <c r="C483" s="13">
        <v>1804782</v>
      </c>
    </row>
    <row r="484" spans="1:3" x14ac:dyDescent="0.25">
      <c r="A484" s="46">
        <v>38384</v>
      </c>
      <c r="B484" s="13">
        <v>26720190</v>
      </c>
      <c r="C484" s="13">
        <v>1694616</v>
      </c>
    </row>
    <row r="485" spans="1:3" x14ac:dyDescent="0.25">
      <c r="A485" s="46">
        <v>38412</v>
      </c>
      <c r="B485" s="13">
        <v>26459580</v>
      </c>
      <c r="C485" s="13">
        <v>1586634</v>
      </c>
    </row>
    <row r="486" spans="1:3" x14ac:dyDescent="0.25">
      <c r="A486" s="46">
        <v>38443</v>
      </c>
      <c r="B486" s="13">
        <v>24742620</v>
      </c>
      <c r="C486" s="13">
        <v>1663074</v>
      </c>
    </row>
    <row r="487" spans="1:3" x14ac:dyDescent="0.25">
      <c r="A487" s="46">
        <v>38473</v>
      </c>
      <c r="B487" s="13">
        <v>25662420</v>
      </c>
      <c r="C487" s="13">
        <v>1652784</v>
      </c>
    </row>
    <row r="488" spans="1:3" x14ac:dyDescent="0.25">
      <c r="A488" s="46">
        <v>38504</v>
      </c>
      <c r="B488" s="13">
        <v>25892370</v>
      </c>
      <c r="C488" s="13">
        <v>1711080</v>
      </c>
    </row>
    <row r="489" spans="1:3" x14ac:dyDescent="0.25">
      <c r="A489" s="46">
        <v>38534</v>
      </c>
      <c r="B489" s="13">
        <v>26444250</v>
      </c>
      <c r="C489" s="13">
        <v>1695666</v>
      </c>
    </row>
    <row r="490" spans="1:3" x14ac:dyDescent="0.25">
      <c r="A490" s="46">
        <v>38565</v>
      </c>
      <c r="B490" s="13">
        <v>26720190</v>
      </c>
      <c r="C490" s="13">
        <v>1616076</v>
      </c>
    </row>
    <row r="491" spans="1:3" x14ac:dyDescent="0.25">
      <c r="A491" s="46">
        <v>38596</v>
      </c>
      <c r="B491" s="13">
        <v>25601100</v>
      </c>
      <c r="C491" s="13">
        <v>1575714</v>
      </c>
    </row>
    <row r="492" spans="1:3" x14ac:dyDescent="0.25">
      <c r="A492" s="46">
        <v>38626</v>
      </c>
      <c r="B492" s="13">
        <v>25371150</v>
      </c>
      <c r="C492" s="13">
        <v>1630020</v>
      </c>
    </row>
    <row r="493" spans="1:3" x14ac:dyDescent="0.25">
      <c r="A493" s="46">
        <v>38657</v>
      </c>
      <c r="B493" s="13">
        <v>24819270</v>
      </c>
      <c r="C493" s="13">
        <v>1782774</v>
      </c>
    </row>
    <row r="494" spans="1:3" x14ac:dyDescent="0.25">
      <c r="A494" s="46">
        <v>38687</v>
      </c>
      <c r="B494" s="13">
        <v>26919480</v>
      </c>
      <c r="C494" s="13">
        <v>1753122</v>
      </c>
    </row>
    <row r="495" spans="1:3" x14ac:dyDescent="0.25">
      <c r="A495" s="46">
        <v>38718</v>
      </c>
      <c r="B495" s="13">
        <v>24604650</v>
      </c>
      <c r="C495" s="13">
        <v>1839684</v>
      </c>
    </row>
    <row r="496" spans="1:3" x14ac:dyDescent="0.25">
      <c r="A496" s="46">
        <v>38749</v>
      </c>
      <c r="B496" s="13">
        <v>24252060</v>
      </c>
      <c r="C496" s="13">
        <v>1785294</v>
      </c>
    </row>
    <row r="497" spans="1:3" x14ac:dyDescent="0.25">
      <c r="A497" s="46">
        <v>38777</v>
      </c>
      <c r="B497" s="13">
        <v>23914800</v>
      </c>
      <c r="C497" s="13">
        <v>1763538</v>
      </c>
    </row>
    <row r="498" spans="1:3" x14ac:dyDescent="0.25">
      <c r="A498" s="46">
        <v>38808</v>
      </c>
      <c r="B498" s="13">
        <v>25355820</v>
      </c>
      <c r="C498" s="13">
        <v>1723470</v>
      </c>
    </row>
    <row r="499" spans="1:3" x14ac:dyDescent="0.25">
      <c r="A499" s="46">
        <v>38838</v>
      </c>
      <c r="B499" s="13">
        <v>25033890</v>
      </c>
      <c r="C499" s="13">
        <v>1722798</v>
      </c>
    </row>
    <row r="500" spans="1:3" x14ac:dyDescent="0.25">
      <c r="A500" s="46">
        <v>38869</v>
      </c>
      <c r="B500" s="13">
        <v>26122320</v>
      </c>
      <c r="C500" s="13">
        <v>1654296</v>
      </c>
    </row>
    <row r="501" spans="1:3" x14ac:dyDescent="0.25">
      <c r="A501" s="46">
        <v>38899</v>
      </c>
      <c r="B501" s="13">
        <v>26061000</v>
      </c>
      <c r="C501" s="13">
        <v>1663368</v>
      </c>
    </row>
    <row r="502" spans="1:3" x14ac:dyDescent="0.25">
      <c r="A502" s="46">
        <v>38930</v>
      </c>
      <c r="B502" s="13">
        <v>25999680</v>
      </c>
      <c r="C502" s="13">
        <v>1659546</v>
      </c>
    </row>
    <row r="503" spans="1:3" x14ac:dyDescent="0.25">
      <c r="A503" s="46">
        <v>38961</v>
      </c>
      <c r="B503" s="13">
        <v>24650640</v>
      </c>
      <c r="C503" s="13">
        <v>1757952</v>
      </c>
    </row>
    <row r="504" spans="1:3" x14ac:dyDescent="0.25">
      <c r="A504" s="46">
        <v>38991</v>
      </c>
      <c r="B504" s="13">
        <v>24604650</v>
      </c>
      <c r="C504" s="13">
        <v>1758162</v>
      </c>
    </row>
    <row r="505" spans="1:3" x14ac:dyDescent="0.25">
      <c r="A505" s="46">
        <v>39022</v>
      </c>
      <c r="B505" s="13">
        <v>24727290</v>
      </c>
      <c r="C505" s="13">
        <v>1582308</v>
      </c>
    </row>
    <row r="506" spans="1:3" x14ac:dyDescent="0.25">
      <c r="A506" s="46">
        <v>39052</v>
      </c>
      <c r="B506" s="13">
        <v>25003230</v>
      </c>
      <c r="C506" s="13">
        <v>1643418</v>
      </c>
    </row>
    <row r="507" spans="1:3" x14ac:dyDescent="0.25">
      <c r="A507" s="46">
        <v>39083</v>
      </c>
      <c r="B507" s="13">
        <v>24773280</v>
      </c>
      <c r="C507" s="13">
        <v>1643754</v>
      </c>
    </row>
    <row r="508" spans="1:3" x14ac:dyDescent="0.25">
      <c r="A508" s="46">
        <v>39114</v>
      </c>
      <c r="B508" s="13">
        <v>25049220</v>
      </c>
      <c r="C508" s="13">
        <v>1624014</v>
      </c>
    </row>
    <row r="509" spans="1:3" x14ac:dyDescent="0.25">
      <c r="A509" s="46">
        <v>39142</v>
      </c>
      <c r="B509" s="13">
        <v>23776830</v>
      </c>
      <c r="C509" s="13">
        <v>1686174</v>
      </c>
    </row>
    <row r="510" spans="1:3" x14ac:dyDescent="0.25">
      <c r="A510" s="46">
        <v>39173</v>
      </c>
      <c r="B510" s="13">
        <v>25248510</v>
      </c>
      <c r="C510" s="13">
        <v>1691130</v>
      </c>
    </row>
    <row r="511" spans="1:3" x14ac:dyDescent="0.25">
      <c r="A511" s="46">
        <v>39203</v>
      </c>
      <c r="B511" s="13">
        <v>24803940</v>
      </c>
      <c r="C511" s="13">
        <v>1742916</v>
      </c>
    </row>
    <row r="512" spans="1:3" x14ac:dyDescent="0.25">
      <c r="A512" s="46">
        <v>39234</v>
      </c>
      <c r="B512" s="13">
        <v>25493790</v>
      </c>
      <c r="C512" s="13">
        <v>1725654</v>
      </c>
    </row>
    <row r="513" spans="1:3" x14ac:dyDescent="0.25">
      <c r="A513" s="46">
        <v>39264</v>
      </c>
      <c r="B513" s="13">
        <v>25509120</v>
      </c>
      <c r="C513" s="13">
        <v>1764294</v>
      </c>
    </row>
    <row r="514" spans="1:3" x14ac:dyDescent="0.25">
      <c r="A514" s="46">
        <v>39295</v>
      </c>
      <c r="B514" s="13">
        <v>26106990</v>
      </c>
      <c r="C514" s="13">
        <v>1720866</v>
      </c>
    </row>
    <row r="515" spans="1:3" x14ac:dyDescent="0.25">
      <c r="A515" s="46">
        <v>39326</v>
      </c>
      <c r="B515" s="13">
        <v>23500890</v>
      </c>
      <c r="C515" s="13">
        <v>1801128</v>
      </c>
    </row>
    <row r="516" spans="1:3" x14ac:dyDescent="0.25">
      <c r="A516" s="46">
        <v>39356</v>
      </c>
      <c r="B516" s="13">
        <v>25095210</v>
      </c>
      <c r="C516" s="13">
        <v>1749930</v>
      </c>
    </row>
    <row r="517" spans="1:3" x14ac:dyDescent="0.25">
      <c r="A517" s="46">
        <v>39387</v>
      </c>
      <c r="B517" s="13">
        <v>24528000</v>
      </c>
      <c r="C517" s="13">
        <v>1688862</v>
      </c>
    </row>
    <row r="518" spans="1:3" x14ac:dyDescent="0.25">
      <c r="A518" s="46">
        <v>39417</v>
      </c>
      <c r="B518" s="13">
        <v>24573990</v>
      </c>
      <c r="C518" s="13">
        <v>1657236</v>
      </c>
    </row>
    <row r="519" spans="1:3" x14ac:dyDescent="0.25">
      <c r="A519" s="46">
        <v>39448</v>
      </c>
      <c r="B519" s="13">
        <v>24236730</v>
      </c>
      <c r="C519" s="13">
        <v>1724058</v>
      </c>
    </row>
    <row r="520" spans="1:3" x14ac:dyDescent="0.25">
      <c r="A520" s="46">
        <v>39479</v>
      </c>
      <c r="B520" s="13">
        <v>23807490</v>
      </c>
      <c r="C520" s="13">
        <v>1665888</v>
      </c>
    </row>
    <row r="521" spans="1:3" x14ac:dyDescent="0.25">
      <c r="A521" s="46">
        <v>39508</v>
      </c>
      <c r="B521" s="13">
        <v>23792160</v>
      </c>
      <c r="C521" s="13">
        <v>1626366</v>
      </c>
    </row>
    <row r="522" spans="1:3" x14ac:dyDescent="0.25">
      <c r="A522" s="46">
        <v>39539</v>
      </c>
      <c r="B522" s="13">
        <v>24865260</v>
      </c>
      <c r="C522" s="13">
        <v>1649004</v>
      </c>
    </row>
    <row r="523" spans="1:3" x14ac:dyDescent="0.25">
      <c r="A523" s="46">
        <v>39569</v>
      </c>
      <c r="B523" s="13">
        <v>24374700</v>
      </c>
      <c r="C523" s="13">
        <v>1690752</v>
      </c>
    </row>
    <row r="524" spans="1:3" x14ac:dyDescent="0.25">
      <c r="A524" s="46">
        <v>39600</v>
      </c>
      <c r="B524" s="13">
        <v>24880590</v>
      </c>
      <c r="C524" s="13">
        <v>1673490</v>
      </c>
    </row>
    <row r="525" spans="1:3" x14ac:dyDescent="0.25">
      <c r="A525" s="46">
        <v>39630</v>
      </c>
      <c r="B525" s="13">
        <v>24129420</v>
      </c>
      <c r="C525" s="13">
        <v>1740102</v>
      </c>
    </row>
    <row r="526" spans="1:3" x14ac:dyDescent="0.25">
      <c r="A526" s="46">
        <v>39661</v>
      </c>
      <c r="B526" s="13">
        <v>25125870</v>
      </c>
      <c r="C526" s="13">
        <v>1720740</v>
      </c>
    </row>
    <row r="527" spans="1:3" x14ac:dyDescent="0.25">
      <c r="A527" s="46">
        <v>39692</v>
      </c>
      <c r="B527" s="13">
        <v>22657740</v>
      </c>
      <c r="C527" s="13">
        <v>1585836</v>
      </c>
    </row>
    <row r="528" spans="1:3" x14ac:dyDescent="0.25">
      <c r="A528" s="46">
        <v>39722</v>
      </c>
      <c r="B528" s="13">
        <v>21722610</v>
      </c>
      <c r="C528" s="13">
        <v>1613850</v>
      </c>
    </row>
    <row r="529" spans="1:3" x14ac:dyDescent="0.25">
      <c r="A529" s="46">
        <v>39753</v>
      </c>
      <c r="B529" s="13">
        <v>22075200</v>
      </c>
      <c r="C529" s="13">
        <v>1589994</v>
      </c>
    </row>
    <row r="530" spans="1:3" x14ac:dyDescent="0.25">
      <c r="A530" s="46">
        <v>39783</v>
      </c>
      <c r="B530" s="13">
        <v>21385350</v>
      </c>
      <c r="C530" s="13">
        <v>1594698</v>
      </c>
    </row>
    <row r="531" spans="1:3" x14ac:dyDescent="0.25">
      <c r="A531" s="46">
        <v>39814</v>
      </c>
      <c r="B531" s="13">
        <v>20112960</v>
      </c>
      <c r="C531" s="13">
        <v>1735902</v>
      </c>
    </row>
    <row r="532" spans="1:3" x14ac:dyDescent="0.25">
      <c r="A532" s="46">
        <v>39845</v>
      </c>
      <c r="B532" s="13">
        <v>20787480</v>
      </c>
      <c r="C532" s="13">
        <v>1812090</v>
      </c>
    </row>
    <row r="533" spans="1:3" x14ac:dyDescent="0.25">
      <c r="A533" s="46">
        <v>39873</v>
      </c>
      <c r="B533" s="13">
        <v>21553980</v>
      </c>
      <c r="C533" s="13">
        <v>1809528</v>
      </c>
    </row>
    <row r="534" spans="1:3" x14ac:dyDescent="0.25">
      <c r="A534" s="46">
        <v>39904</v>
      </c>
      <c r="B534" s="13">
        <v>21952560</v>
      </c>
      <c r="C534" s="13">
        <v>1838886</v>
      </c>
    </row>
    <row r="535" spans="1:3" x14ac:dyDescent="0.25">
      <c r="A535" s="46">
        <v>39934</v>
      </c>
      <c r="B535" s="13">
        <v>20373570</v>
      </c>
      <c r="C535" s="13">
        <v>1876980</v>
      </c>
    </row>
    <row r="536" spans="1:3" x14ac:dyDescent="0.25">
      <c r="A536" s="46">
        <v>39965</v>
      </c>
      <c r="B536" s="13">
        <v>21845250</v>
      </c>
      <c r="C536" s="13">
        <v>1879878</v>
      </c>
    </row>
    <row r="537" spans="1:3" x14ac:dyDescent="0.25">
      <c r="A537" s="46">
        <v>39995</v>
      </c>
      <c r="B537" s="13">
        <v>23086980</v>
      </c>
      <c r="C537" s="13">
        <v>1961274</v>
      </c>
    </row>
    <row r="538" spans="1:3" x14ac:dyDescent="0.25">
      <c r="A538" s="46">
        <v>40026</v>
      </c>
      <c r="B538" s="13">
        <v>22213170</v>
      </c>
      <c r="C538" s="13">
        <v>1932336</v>
      </c>
    </row>
    <row r="539" spans="1:3" x14ac:dyDescent="0.25">
      <c r="A539" s="46">
        <v>40057</v>
      </c>
      <c r="B539" s="13">
        <v>21676620</v>
      </c>
      <c r="C539" s="13">
        <v>1944474</v>
      </c>
    </row>
    <row r="540" spans="1:3" x14ac:dyDescent="0.25">
      <c r="A540" s="46">
        <v>40087</v>
      </c>
      <c r="B540" s="13">
        <v>20879460</v>
      </c>
      <c r="C540" s="13">
        <v>1837752</v>
      </c>
    </row>
    <row r="541" spans="1:3" x14ac:dyDescent="0.25">
      <c r="A541" s="46">
        <v>40118</v>
      </c>
      <c r="B541" s="13">
        <v>20726160</v>
      </c>
      <c r="C541" s="13">
        <v>1781724</v>
      </c>
    </row>
    <row r="542" spans="1:3" x14ac:dyDescent="0.25">
      <c r="A542" s="46">
        <v>40148</v>
      </c>
      <c r="B542" s="13">
        <v>21032760</v>
      </c>
      <c r="C542" s="13">
        <v>1822674</v>
      </c>
    </row>
    <row r="543" spans="1:3" x14ac:dyDescent="0.25">
      <c r="A543" s="46">
        <v>40179</v>
      </c>
      <c r="B543" s="13">
        <v>20603520</v>
      </c>
      <c r="C543" s="13">
        <v>1838298</v>
      </c>
    </row>
    <row r="544" spans="1:3" x14ac:dyDescent="0.25">
      <c r="A544" s="46">
        <v>40210</v>
      </c>
      <c r="B544" s="13">
        <v>20588190</v>
      </c>
      <c r="C544" s="13">
        <v>1845396</v>
      </c>
    </row>
    <row r="545" spans="1:3" x14ac:dyDescent="0.25">
      <c r="A545" s="46">
        <v>40238</v>
      </c>
      <c r="B545" s="13">
        <v>22121190</v>
      </c>
      <c r="C545" s="13">
        <v>1774164</v>
      </c>
    </row>
    <row r="546" spans="1:3" x14ac:dyDescent="0.25">
      <c r="A546" s="46">
        <v>40269</v>
      </c>
      <c r="B546" s="13">
        <v>21615300</v>
      </c>
      <c r="C546" s="13">
        <v>1865136</v>
      </c>
    </row>
    <row r="547" spans="1:3" x14ac:dyDescent="0.25">
      <c r="A547" s="46">
        <v>40299</v>
      </c>
      <c r="B547" s="13">
        <v>22167180</v>
      </c>
      <c r="C547" s="13">
        <v>1872192</v>
      </c>
    </row>
    <row r="548" spans="1:3" x14ac:dyDescent="0.25">
      <c r="A548" s="46">
        <v>40330</v>
      </c>
      <c r="B548" s="13">
        <v>23654190</v>
      </c>
      <c r="C548" s="13">
        <v>1882608</v>
      </c>
    </row>
    <row r="549" spans="1:3" x14ac:dyDescent="0.25">
      <c r="A549" s="46">
        <v>40360</v>
      </c>
      <c r="B549" s="13">
        <v>22903020</v>
      </c>
      <c r="C549" s="13">
        <v>1986180</v>
      </c>
    </row>
    <row r="550" spans="1:3" x14ac:dyDescent="0.25">
      <c r="A550" s="46">
        <v>40391</v>
      </c>
      <c r="B550" s="13">
        <v>22780380</v>
      </c>
      <c r="C550" s="13">
        <v>1979292</v>
      </c>
    </row>
    <row r="551" spans="1:3" x14ac:dyDescent="0.25">
      <c r="A551" s="46">
        <v>40422</v>
      </c>
      <c r="B551" s="13">
        <v>22335810</v>
      </c>
      <c r="C551" s="13">
        <v>1963710</v>
      </c>
    </row>
    <row r="552" spans="1:3" x14ac:dyDescent="0.25">
      <c r="A552" s="46">
        <v>40452</v>
      </c>
      <c r="B552" s="13">
        <v>21921900</v>
      </c>
      <c r="C552" s="13">
        <v>1856232</v>
      </c>
    </row>
    <row r="553" spans="1:3" x14ac:dyDescent="0.25">
      <c r="A553" s="46">
        <v>40483</v>
      </c>
      <c r="B553" s="13">
        <v>21400680</v>
      </c>
      <c r="C553" s="13">
        <v>1850478</v>
      </c>
    </row>
    <row r="554" spans="1:3" x14ac:dyDescent="0.25">
      <c r="A554" s="46">
        <v>40513</v>
      </c>
      <c r="B554" s="13">
        <v>21201390</v>
      </c>
      <c r="C554" s="13">
        <v>1815156</v>
      </c>
    </row>
    <row r="555" spans="1:3" x14ac:dyDescent="0.25">
      <c r="A555" s="46">
        <v>40544</v>
      </c>
      <c r="B555" s="13">
        <v>20634180</v>
      </c>
      <c r="C555" s="13">
        <v>1755306</v>
      </c>
    </row>
    <row r="556" spans="1:3" x14ac:dyDescent="0.25">
      <c r="A556" s="46">
        <v>40575</v>
      </c>
      <c r="B556" s="13">
        <v>20726160</v>
      </c>
      <c r="C556" s="13">
        <v>1654380</v>
      </c>
    </row>
    <row r="557" spans="1:3" x14ac:dyDescent="0.25">
      <c r="A557" s="46">
        <v>40603</v>
      </c>
      <c r="B557" s="13">
        <v>21232050</v>
      </c>
      <c r="C557" s="13">
        <v>1684536</v>
      </c>
    </row>
    <row r="558" spans="1:3" x14ac:dyDescent="0.25">
      <c r="A558" s="46">
        <v>40634</v>
      </c>
      <c r="B558" s="13">
        <v>22335810</v>
      </c>
      <c r="C558" s="13">
        <v>1611666</v>
      </c>
    </row>
    <row r="559" spans="1:3" x14ac:dyDescent="0.25">
      <c r="A559" s="46">
        <v>40664</v>
      </c>
      <c r="B559" s="13">
        <v>21829920</v>
      </c>
      <c r="C559" s="13">
        <v>1730274</v>
      </c>
    </row>
    <row r="560" spans="1:3" x14ac:dyDescent="0.25">
      <c r="A560" s="46">
        <v>40695</v>
      </c>
      <c r="B560" s="13">
        <v>23608200</v>
      </c>
      <c r="C560" s="13">
        <v>1776180</v>
      </c>
    </row>
    <row r="561" spans="1:3" x14ac:dyDescent="0.25">
      <c r="A561" s="46">
        <v>40725</v>
      </c>
      <c r="B561" s="13">
        <v>22581090</v>
      </c>
      <c r="C561" s="13">
        <v>1857576</v>
      </c>
    </row>
    <row r="562" spans="1:3" x14ac:dyDescent="0.25">
      <c r="A562" s="46">
        <v>40756</v>
      </c>
      <c r="B562" s="13">
        <v>23822820</v>
      </c>
      <c r="C562" s="13">
        <v>1810452</v>
      </c>
    </row>
    <row r="563" spans="1:3" x14ac:dyDescent="0.25">
      <c r="A563" s="46">
        <v>40787</v>
      </c>
      <c r="B563" s="13">
        <v>21707280</v>
      </c>
      <c r="C563" s="13">
        <v>1926120</v>
      </c>
    </row>
    <row r="564" spans="1:3" x14ac:dyDescent="0.25">
      <c r="A564" s="46">
        <v>40817</v>
      </c>
      <c r="B564" s="13">
        <v>21216720</v>
      </c>
      <c r="C564" s="13">
        <v>1895670</v>
      </c>
    </row>
    <row r="565" spans="1:3" x14ac:dyDescent="0.25">
      <c r="A565" s="46">
        <v>40848</v>
      </c>
      <c r="B565" s="13">
        <v>21707280</v>
      </c>
      <c r="C565" s="13">
        <v>1758624</v>
      </c>
    </row>
    <row r="566" spans="1:3" x14ac:dyDescent="0.25">
      <c r="A566" s="46">
        <v>40878</v>
      </c>
      <c r="B566" s="13">
        <v>20741490</v>
      </c>
      <c r="C566" s="13">
        <v>1742286</v>
      </c>
    </row>
    <row r="567" spans="1:3" x14ac:dyDescent="0.25">
      <c r="A567" s="46">
        <v>40909</v>
      </c>
      <c r="B567" s="13">
        <v>20051640</v>
      </c>
      <c r="C567" s="13">
        <v>1769334</v>
      </c>
    </row>
    <row r="568" spans="1:3" x14ac:dyDescent="0.25">
      <c r="A568" s="46">
        <v>40940</v>
      </c>
      <c r="B568" s="13">
        <v>20710830</v>
      </c>
      <c r="C568" s="13">
        <v>1727880</v>
      </c>
    </row>
    <row r="569" spans="1:3" x14ac:dyDescent="0.25">
      <c r="A569" s="46">
        <v>40969</v>
      </c>
      <c r="B569" s="13">
        <v>21170730</v>
      </c>
      <c r="C569" s="13">
        <v>1644300</v>
      </c>
    </row>
    <row r="570" spans="1:3" x14ac:dyDescent="0.25">
      <c r="A570" s="46">
        <v>41000</v>
      </c>
      <c r="B570" s="13">
        <v>20695500</v>
      </c>
      <c r="C570" s="13">
        <v>1693104</v>
      </c>
    </row>
    <row r="571" spans="1:3" x14ac:dyDescent="0.25">
      <c r="A571" s="46">
        <v>41030</v>
      </c>
      <c r="B571" s="13">
        <v>21599970</v>
      </c>
      <c r="C571" s="13">
        <v>1673910</v>
      </c>
    </row>
    <row r="572" spans="1:3" x14ac:dyDescent="0.25">
      <c r="A572" s="46">
        <v>41061</v>
      </c>
      <c r="B572" s="13">
        <v>23700180</v>
      </c>
      <c r="C572" s="13">
        <v>1615488</v>
      </c>
    </row>
    <row r="573" spans="1:3" x14ac:dyDescent="0.25">
      <c r="A573" s="46">
        <v>41091</v>
      </c>
      <c r="B573" s="13">
        <v>22504440</v>
      </c>
      <c r="C573" s="13">
        <v>1680882</v>
      </c>
    </row>
    <row r="574" spans="1:3" x14ac:dyDescent="0.25">
      <c r="A574" s="46">
        <v>41122</v>
      </c>
      <c r="B574" s="13">
        <v>22535100</v>
      </c>
      <c r="C574" s="13">
        <v>1816332</v>
      </c>
    </row>
    <row r="575" spans="1:3" x14ac:dyDescent="0.25">
      <c r="A575" s="46">
        <v>41153</v>
      </c>
      <c r="B575" s="13">
        <v>21124740</v>
      </c>
      <c r="C575" s="13">
        <v>1847622</v>
      </c>
    </row>
    <row r="576" spans="1:3" x14ac:dyDescent="0.25">
      <c r="A576" s="46">
        <v>41183</v>
      </c>
      <c r="B576" s="13">
        <v>20741490</v>
      </c>
      <c r="C576" s="13">
        <v>1876434</v>
      </c>
    </row>
    <row r="577" spans="1:3" x14ac:dyDescent="0.25">
      <c r="A577" s="46">
        <v>41214</v>
      </c>
      <c r="B577" s="13">
        <v>21170730</v>
      </c>
      <c r="C577" s="13">
        <v>1724016</v>
      </c>
    </row>
    <row r="578" spans="1:3" x14ac:dyDescent="0.25">
      <c r="A578" s="46">
        <v>41244</v>
      </c>
      <c r="B578" s="13">
        <v>21170730</v>
      </c>
      <c r="C578" s="13">
        <v>1664040</v>
      </c>
    </row>
    <row r="579" spans="1:3" x14ac:dyDescent="0.25">
      <c r="A579" s="46">
        <v>41275</v>
      </c>
      <c r="B579" s="13">
        <v>20097630</v>
      </c>
      <c r="C579" s="13">
        <v>1665258</v>
      </c>
    </row>
    <row r="580" spans="1:3" x14ac:dyDescent="0.25">
      <c r="A580" s="46">
        <v>41306</v>
      </c>
      <c r="B580" s="13">
        <v>20603520</v>
      </c>
      <c r="C580" s="13">
        <v>1700874</v>
      </c>
    </row>
    <row r="581" spans="1:3" x14ac:dyDescent="0.25">
      <c r="A581" s="46">
        <v>41334</v>
      </c>
      <c r="B581" s="13">
        <v>21354690</v>
      </c>
      <c r="C581" s="13">
        <v>1675086</v>
      </c>
    </row>
    <row r="582" spans="1:3" x14ac:dyDescent="0.25">
      <c r="A582" s="46">
        <v>41365</v>
      </c>
      <c r="B582" s="13">
        <v>22136520</v>
      </c>
      <c r="C582" s="13">
        <v>1735230</v>
      </c>
    </row>
    <row r="583" spans="1:3" x14ac:dyDescent="0.25">
      <c r="A583" s="46">
        <v>41395</v>
      </c>
      <c r="B583" s="13">
        <v>22366470</v>
      </c>
      <c r="C583" s="13">
        <v>1713642</v>
      </c>
    </row>
    <row r="584" spans="1:3" x14ac:dyDescent="0.25">
      <c r="A584" s="46">
        <v>41426</v>
      </c>
      <c r="B584" s="13">
        <v>22289820</v>
      </c>
      <c r="C584" s="13">
        <v>1697388</v>
      </c>
    </row>
    <row r="585" spans="1:3" x14ac:dyDescent="0.25">
      <c r="A585" s="46">
        <v>41456</v>
      </c>
      <c r="B585" s="13">
        <v>23700180</v>
      </c>
      <c r="C585" s="13">
        <v>1644342</v>
      </c>
    </row>
    <row r="586" spans="1:3" x14ac:dyDescent="0.25">
      <c r="A586" s="46">
        <v>41487</v>
      </c>
      <c r="B586" s="13">
        <v>23362920</v>
      </c>
      <c r="C586" s="13">
        <v>1657026</v>
      </c>
    </row>
    <row r="587" spans="1:3" x14ac:dyDescent="0.25">
      <c r="A587" s="46">
        <v>41518</v>
      </c>
      <c r="B587" s="13">
        <v>21722610</v>
      </c>
      <c r="C587" s="13">
        <v>1726158</v>
      </c>
    </row>
    <row r="588" spans="1:3" x14ac:dyDescent="0.25">
      <c r="A588" s="46">
        <v>41548</v>
      </c>
      <c r="B588" s="13">
        <v>22305150</v>
      </c>
      <c r="C588" s="13">
        <v>1636362</v>
      </c>
    </row>
    <row r="589" spans="1:3" x14ac:dyDescent="0.25">
      <c r="A589" s="46">
        <v>41579</v>
      </c>
      <c r="B589" s="13">
        <v>21906570</v>
      </c>
      <c r="C589" s="13">
        <v>1553580</v>
      </c>
    </row>
    <row r="590" spans="1:3" x14ac:dyDescent="0.25">
      <c r="A590" s="46">
        <v>41609</v>
      </c>
      <c r="B590" s="13">
        <v>21891240</v>
      </c>
      <c r="C590" s="13">
        <v>1561686</v>
      </c>
    </row>
    <row r="591" spans="1:3" x14ac:dyDescent="0.25">
      <c r="A591" s="46">
        <v>41640</v>
      </c>
      <c r="B591" s="13">
        <v>20910120</v>
      </c>
      <c r="C591" s="13">
        <v>1589070</v>
      </c>
    </row>
    <row r="592" spans="1:3" x14ac:dyDescent="0.25">
      <c r="A592" s="46">
        <v>41671</v>
      </c>
      <c r="B592" s="13">
        <v>21155400</v>
      </c>
      <c r="C592" s="13">
        <v>1612464</v>
      </c>
    </row>
    <row r="593" spans="1:3" x14ac:dyDescent="0.25">
      <c r="A593" s="46">
        <v>41699</v>
      </c>
      <c r="B593" s="13">
        <v>21967890</v>
      </c>
      <c r="C593" s="13">
        <v>1530690</v>
      </c>
    </row>
    <row r="594" spans="1:3" x14ac:dyDescent="0.25">
      <c r="A594" s="46">
        <v>41730</v>
      </c>
      <c r="B594" s="13">
        <v>22305150</v>
      </c>
      <c r="C594" s="13">
        <v>1622628</v>
      </c>
    </row>
    <row r="595" spans="1:3" x14ac:dyDescent="0.25">
      <c r="A595" s="46">
        <v>41760</v>
      </c>
      <c r="B595" s="13">
        <v>21462000</v>
      </c>
      <c r="C595" s="13">
        <v>1639512</v>
      </c>
    </row>
    <row r="596" spans="1:3" x14ac:dyDescent="0.25">
      <c r="A596" s="46">
        <v>41791</v>
      </c>
      <c r="B596" s="13">
        <v>23669520</v>
      </c>
      <c r="C596" s="13">
        <v>1557108</v>
      </c>
    </row>
    <row r="597" spans="1:3" x14ac:dyDescent="0.25">
      <c r="A597" s="46">
        <v>41821</v>
      </c>
      <c r="B597" s="13">
        <v>23899470</v>
      </c>
      <c r="C597" s="13">
        <v>1501080</v>
      </c>
    </row>
    <row r="598" spans="1:3" x14ac:dyDescent="0.25">
      <c r="A598" s="46">
        <v>41852</v>
      </c>
      <c r="B598" s="13">
        <v>23332260</v>
      </c>
      <c r="C598" s="13">
        <v>1505322</v>
      </c>
    </row>
    <row r="599" spans="1:3" x14ac:dyDescent="0.25">
      <c r="A599" s="46">
        <v>41883</v>
      </c>
      <c r="B599" s="13">
        <v>22719060</v>
      </c>
      <c r="C599" s="13">
        <v>1671348</v>
      </c>
    </row>
    <row r="600" spans="1:3" x14ac:dyDescent="0.25">
      <c r="A600" s="46">
        <v>41913</v>
      </c>
      <c r="B600" s="13">
        <v>22673070</v>
      </c>
      <c r="C600" s="13">
        <v>1531194</v>
      </c>
    </row>
    <row r="601" spans="1:3" x14ac:dyDescent="0.25">
      <c r="A601" s="46">
        <v>41944</v>
      </c>
      <c r="B601" s="13">
        <v>22627080</v>
      </c>
      <c r="C601" s="13">
        <v>1511160</v>
      </c>
    </row>
    <row r="602" spans="1:3" x14ac:dyDescent="0.25">
      <c r="A602" s="46">
        <v>41974</v>
      </c>
      <c r="B602" s="13">
        <v>23562210</v>
      </c>
      <c r="C602" s="13">
        <v>1607508</v>
      </c>
    </row>
    <row r="603" spans="1:3" x14ac:dyDescent="0.25">
      <c r="A603" s="46">
        <v>42005</v>
      </c>
      <c r="B603" s="13">
        <v>21078750</v>
      </c>
      <c r="C603" s="13">
        <v>1645938</v>
      </c>
    </row>
    <row r="604" spans="1:3" x14ac:dyDescent="0.25">
      <c r="A604" s="46">
        <v>42036</v>
      </c>
      <c r="B604" s="13">
        <v>22151850</v>
      </c>
      <c r="C604" s="13">
        <v>1662696</v>
      </c>
    </row>
    <row r="605" spans="1:3" x14ac:dyDescent="0.25">
      <c r="A605" s="46">
        <v>42064</v>
      </c>
      <c r="B605" s="13">
        <v>23730840</v>
      </c>
      <c r="C605" s="13">
        <v>1608474</v>
      </c>
    </row>
    <row r="606" spans="1:3" x14ac:dyDescent="0.25">
      <c r="A606" s="46">
        <v>42095</v>
      </c>
      <c r="B606" s="13">
        <v>23408910</v>
      </c>
      <c r="C606" s="13">
        <v>1614480</v>
      </c>
    </row>
    <row r="607" spans="1:3" x14ac:dyDescent="0.25">
      <c r="A607" s="46">
        <v>42125</v>
      </c>
      <c r="B607" s="13">
        <v>23286270</v>
      </c>
      <c r="C607" s="13">
        <v>1783068</v>
      </c>
    </row>
    <row r="608" spans="1:3" x14ac:dyDescent="0.25">
      <c r="A608" s="46">
        <v>42156</v>
      </c>
      <c r="B608" s="13">
        <v>25355820</v>
      </c>
      <c r="C608" s="13">
        <v>1837752</v>
      </c>
    </row>
    <row r="609" spans="1:3" x14ac:dyDescent="0.25">
      <c r="A609" s="46">
        <v>42186</v>
      </c>
      <c r="B609" s="13">
        <v>25294500</v>
      </c>
      <c r="C609" s="13">
        <v>1834938</v>
      </c>
    </row>
    <row r="610" spans="1:3" x14ac:dyDescent="0.25">
      <c r="A610" s="46">
        <v>42217</v>
      </c>
      <c r="B610" s="13">
        <v>24543330</v>
      </c>
      <c r="C610" s="13">
        <v>1805706</v>
      </c>
    </row>
    <row r="611" spans="1:3" x14ac:dyDescent="0.25">
      <c r="A611" s="46">
        <v>42248</v>
      </c>
      <c r="B611" s="13">
        <v>23516220</v>
      </c>
      <c r="C611" s="13">
        <v>1699866</v>
      </c>
    </row>
    <row r="612" spans="1:3" x14ac:dyDescent="0.25">
      <c r="A612" s="46">
        <v>42278</v>
      </c>
      <c r="B612" s="13">
        <v>24742620</v>
      </c>
      <c r="C612" s="13">
        <v>1574664</v>
      </c>
    </row>
    <row r="613" spans="1:3" x14ac:dyDescent="0.25">
      <c r="A613" s="46">
        <v>42309</v>
      </c>
      <c r="B613" s="13">
        <v>23362920</v>
      </c>
      <c r="C613" s="13">
        <v>1600536</v>
      </c>
    </row>
    <row r="614" spans="1:3" x14ac:dyDescent="0.25">
      <c r="A614" s="46">
        <v>42339</v>
      </c>
      <c r="B614" s="13">
        <v>24190740</v>
      </c>
      <c r="C614" s="13">
        <v>1696380</v>
      </c>
    </row>
    <row r="615" spans="1:3" x14ac:dyDescent="0.25">
      <c r="A615" s="46">
        <v>42370</v>
      </c>
      <c r="B615" s="13">
        <v>22213170</v>
      </c>
      <c r="C615" s="13">
        <v>1801842</v>
      </c>
    </row>
    <row r="616" spans="1:3" x14ac:dyDescent="0.25">
      <c r="A616" s="46">
        <v>42401</v>
      </c>
      <c r="B616" s="13">
        <v>23516220</v>
      </c>
      <c r="C616" s="13">
        <v>1788864</v>
      </c>
    </row>
    <row r="617" spans="1:3" x14ac:dyDescent="0.25">
      <c r="A617" s="46">
        <v>42430</v>
      </c>
      <c r="B617" s="13">
        <v>23715510</v>
      </c>
      <c r="C617" s="13">
        <v>1862448</v>
      </c>
    </row>
    <row r="618" spans="1:3" x14ac:dyDescent="0.25">
      <c r="A618" s="46">
        <v>42461</v>
      </c>
      <c r="B618" s="13">
        <v>24006780</v>
      </c>
      <c r="C618" s="13">
        <v>1842036</v>
      </c>
    </row>
    <row r="619" spans="1:3" x14ac:dyDescent="0.25">
      <c r="A619" s="46">
        <v>42491</v>
      </c>
      <c r="B619" s="13">
        <v>24190740</v>
      </c>
      <c r="C619" s="13">
        <v>1875762</v>
      </c>
    </row>
    <row r="620" spans="1:3" x14ac:dyDescent="0.25">
      <c r="A620" s="46">
        <v>42522</v>
      </c>
      <c r="B620" s="13">
        <v>26413590</v>
      </c>
      <c r="C620" s="13">
        <v>1707720</v>
      </c>
    </row>
    <row r="621" spans="1:3" x14ac:dyDescent="0.25">
      <c r="A621" s="46">
        <v>42552</v>
      </c>
      <c r="B621" s="13">
        <v>26367600</v>
      </c>
      <c r="C621" s="13">
        <v>1768746</v>
      </c>
    </row>
    <row r="622" spans="1:3" x14ac:dyDescent="0.25">
      <c r="A622" s="46">
        <v>42583</v>
      </c>
      <c r="B622" s="13">
        <v>26398260</v>
      </c>
      <c r="C622" s="13">
        <v>1796298</v>
      </c>
    </row>
    <row r="623" spans="1:3" x14ac:dyDescent="0.25">
      <c r="A623" s="46">
        <v>42614</v>
      </c>
      <c r="B623" s="13">
        <v>25064550</v>
      </c>
      <c r="C623" s="13">
        <v>1885422</v>
      </c>
    </row>
    <row r="624" spans="1:3" x14ac:dyDescent="0.25">
      <c r="A624" s="46">
        <v>42644</v>
      </c>
      <c r="B624" s="13">
        <v>24681300</v>
      </c>
      <c r="C624" s="13">
        <v>1884120</v>
      </c>
    </row>
    <row r="625" spans="1:3" x14ac:dyDescent="0.25">
      <c r="A625" s="46">
        <v>42675</v>
      </c>
      <c r="B625" s="13">
        <v>25018560</v>
      </c>
      <c r="C625" s="13">
        <v>1888698</v>
      </c>
    </row>
    <row r="626" spans="1:3" x14ac:dyDescent="0.25">
      <c r="A626" s="46">
        <v>42705</v>
      </c>
      <c r="B626" s="13">
        <v>25340490</v>
      </c>
      <c r="C626" s="13">
        <v>1806420</v>
      </c>
    </row>
    <row r="627" spans="1:3" x14ac:dyDescent="0.25">
      <c r="A627" s="46">
        <v>42736</v>
      </c>
      <c r="B627" s="13">
        <v>24344040</v>
      </c>
      <c r="C627" s="13">
        <v>1785168</v>
      </c>
    </row>
    <row r="628" spans="1:3" x14ac:dyDescent="0.25">
      <c r="A628" s="46">
        <v>42767</v>
      </c>
      <c r="B628" s="13">
        <v>23255610</v>
      </c>
      <c r="C628" s="13">
        <v>1850394</v>
      </c>
    </row>
    <row r="629" spans="1:3" x14ac:dyDescent="0.25">
      <c r="A629" s="46">
        <v>42795</v>
      </c>
      <c r="B629" s="13">
        <v>25693080</v>
      </c>
      <c r="C629" s="13">
        <v>1780590</v>
      </c>
    </row>
    <row r="630" spans="1:3" x14ac:dyDescent="0.25">
      <c r="A630" s="46">
        <v>42826</v>
      </c>
      <c r="B630" s="13">
        <v>25202520</v>
      </c>
      <c r="C630" s="13">
        <v>1871058</v>
      </c>
    </row>
    <row r="631" spans="1:3" x14ac:dyDescent="0.25">
      <c r="A631" s="46">
        <v>42856</v>
      </c>
      <c r="B631" s="13">
        <v>25585770</v>
      </c>
      <c r="C631" s="13">
        <v>1868286</v>
      </c>
    </row>
    <row r="632" spans="1:3" x14ac:dyDescent="0.25">
      <c r="A632" s="46">
        <v>42887</v>
      </c>
      <c r="B632" s="13">
        <v>27011460</v>
      </c>
      <c r="C632" s="13">
        <v>1723974</v>
      </c>
    </row>
    <row r="633" spans="1:3" x14ac:dyDescent="0.25">
      <c r="A633" s="46">
        <v>42917</v>
      </c>
      <c r="B633" s="13">
        <v>26582220</v>
      </c>
      <c r="C633" s="13">
        <v>1727124</v>
      </c>
    </row>
    <row r="634" spans="1:3" x14ac:dyDescent="0.25">
      <c r="A634" s="46">
        <v>42948</v>
      </c>
      <c r="B634" s="13">
        <v>27011460</v>
      </c>
      <c r="C634" s="13">
        <v>1696632</v>
      </c>
    </row>
    <row r="635" spans="1:3" x14ac:dyDescent="0.25">
      <c r="A635" s="46">
        <v>42979</v>
      </c>
      <c r="B635" s="13">
        <v>24941910</v>
      </c>
      <c r="C635" s="13">
        <v>1832796</v>
      </c>
    </row>
    <row r="636" spans="1:3" x14ac:dyDescent="0.25">
      <c r="A636" s="46">
        <v>43009</v>
      </c>
      <c r="B636" s="13">
        <v>26842830</v>
      </c>
      <c r="C636" s="13">
        <v>1756650</v>
      </c>
    </row>
    <row r="637" spans="1:3" x14ac:dyDescent="0.25">
      <c r="A637" s="46">
        <v>43040</v>
      </c>
      <c r="B637" s="13">
        <v>25831050</v>
      </c>
      <c r="C637" s="13">
        <v>1728300</v>
      </c>
    </row>
    <row r="638" spans="1:3" x14ac:dyDescent="0.25">
      <c r="A638" s="46">
        <v>43070</v>
      </c>
      <c r="B638" s="13">
        <v>26919480</v>
      </c>
      <c r="C638" s="13">
        <v>1734768</v>
      </c>
    </row>
    <row r="639" spans="1:3" x14ac:dyDescent="0.25">
      <c r="A639" s="46">
        <v>43101</v>
      </c>
      <c r="B639" s="13">
        <v>24037440</v>
      </c>
      <c r="C639" s="13">
        <v>1790922</v>
      </c>
    </row>
    <row r="640" spans="1:3" x14ac:dyDescent="0.25">
      <c r="A640" s="46">
        <v>43132</v>
      </c>
      <c r="B640" s="13">
        <v>24374700</v>
      </c>
      <c r="C640" s="13">
        <v>1808226</v>
      </c>
    </row>
    <row r="641" spans="1:3" x14ac:dyDescent="0.25">
      <c r="A641" s="46">
        <v>43160</v>
      </c>
      <c r="B641" s="13">
        <v>26152980</v>
      </c>
      <c r="C641" s="13">
        <v>1694532</v>
      </c>
    </row>
    <row r="642" spans="1:3" x14ac:dyDescent="0.25">
      <c r="A642" s="46">
        <v>43191</v>
      </c>
      <c r="B642" s="13">
        <v>24987900</v>
      </c>
      <c r="C642" s="13">
        <v>1729980</v>
      </c>
    </row>
    <row r="643" spans="1:3" x14ac:dyDescent="0.25">
      <c r="A643" s="46">
        <v>43221</v>
      </c>
      <c r="B643" s="13">
        <v>25831050</v>
      </c>
      <c r="C643" s="13">
        <v>1748544</v>
      </c>
    </row>
    <row r="644" spans="1:3" x14ac:dyDescent="0.25">
      <c r="A644" s="46">
        <v>43252</v>
      </c>
      <c r="B644" s="13">
        <v>28467810</v>
      </c>
      <c r="C644" s="13">
        <v>1717548</v>
      </c>
    </row>
    <row r="645" spans="1:3" x14ac:dyDescent="0.25">
      <c r="A645" s="46">
        <v>43282</v>
      </c>
      <c r="B645" s="13">
        <v>27180090</v>
      </c>
      <c r="C645" s="13">
        <v>1721412</v>
      </c>
    </row>
    <row r="646" spans="1:3" x14ac:dyDescent="0.25">
      <c r="A646" s="46">
        <v>43313</v>
      </c>
      <c r="B646" s="13">
        <v>28483140</v>
      </c>
      <c r="C646" s="13">
        <v>1754676</v>
      </c>
    </row>
    <row r="647" spans="1:3" x14ac:dyDescent="0.25">
      <c r="A647" s="46">
        <v>43344</v>
      </c>
      <c r="B647" s="13">
        <v>26122320</v>
      </c>
      <c r="C647" s="13">
        <v>1965054</v>
      </c>
    </row>
    <row r="648" spans="1:3" x14ac:dyDescent="0.25">
      <c r="A648" s="46">
        <v>43374</v>
      </c>
      <c r="B648" s="13">
        <v>25677750</v>
      </c>
      <c r="C648" s="13">
        <v>1776180</v>
      </c>
    </row>
    <row r="649" spans="1:3" x14ac:dyDescent="0.25">
      <c r="A649" s="46">
        <v>43405</v>
      </c>
      <c r="B649" s="13">
        <v>26919480</v>
      </c>
      <c r="C649" s="13">
        <v>1651230</v>
      </c>
    </row>
    <row r="650" spans="1:3" x14ac:dyDescent="0.25">
      <c r="A650" s="46">
        <v>43435</v>
      </c>
      <c r="B650" s="13">
        <v>25693080</v>
      </c>
      <c r="C650" s="13">
        <v>1746570</v>
      </c>
    </row>
    <row r="651" spans="1:3" x14ac:dyDescent="0.25">
      <c r="A651" s="46">
        <v>43466</v>
      </c>
      <c r="B651" s="13">
        <v>24849930</v>
      </c>
      <c r="C651" s="13">
        <v>1728636</v>
      </c>
    </row>
    <row r="652" spans="1:3" x14ac:dyDescent="0.25">
      <c r="A652" s="46">
        <v>43497</v>
      </c>
      <c r="B652" s="13">
        <v>24635310</v>
      </c>
      <c r="C652" s="13">
        <v>1764798</v>
      </c>
    </row>
    <row r="653" spans="1:3" x14ac:dyDescent="0.25">
      <c r="A653" s="46">
        <v>43525</v>
      </c>
      <c r="B653" s="13">
        <v>26229630</v>
      </c>
      <c r="C653" s="13">
        <v>1749132</v>
      </c>
    </row>
    <row r="654" spans="1:3" x14ac:dyDescent="0.25">
      <c r="A654" s="46">
        <v>43556</v>
      </c>
      <c r="B654" s="13">
        <v>26919480</v>
      </c>
      <c r="C654" s="13">
        <v>1716582</v>
      </c>
    </row>
    <row r="655" spans="1:3" x14ac:dyDescent="0.25">
      <c r="A655" s="46">
        <v>43586</v>
      </c>
      <c r="B655" s="13">
        <v>27180090</v>
      </c>
      <c r="C655" s="13">
        <v>1650306</v>
      </c>
    </row>
    <row r="656" spans="1:3" x14ac:dyDescent="0.25">
      <c r="A656" s="46">
        <v>43617</v>
      </c>
      <c r="B656" s="13">
        <v>27624660</v>
      </c>
      <c r="C656" s="13">
        <v>1702974</v>
      </c>
    </row>
    <row r="657" spans="1:3" x14ac:dyDescent="0.25">
      <c r="A657" s="46">
        <v>43647</v>
      </c>
      <c r="B657" s="13">
        <v>28314510</v>
      </c>
      <c r="C657" s="13">
        <v>1807218</v>
      </c>
    </row>
    <row r="658" spans="1:3" x14ac:dyDescent="0.25">
      <c r="A658" s="46">
        <v>43678</v>
      </c>
      <c r="B658" s="13">
        <v>28222530</v>
      </c>
      <c r="C658" s="13">
        <v>1812300</v>
      </c>
    </row>
    <row r="659" spans="1:3" x14ac:dyDescent="0.25">
      <c r="A659" s="46">
        <v>43709</v>
      </c>
      <c r="B659" s="13">
        <v>26091660</v>
      </c>
      <c r="C659" s="13">
        <v>1861902</v>
      </c>
    </row>
    <row r="660" spans="1:3" x14ac:dyDescent="0.25">
      <c r="A660" s="46">
        <v>43739</v>
      </c>
      <c r="B660" s="13">
        <v>26474910</v>
      </c>
      <c r="C660" s="13">
        <v>1670844</v>
      </c>
    </row>
    <row r="661" spans="1:3" x14ac:dyDescent="0.25">
      <c r="A661" s="46">
        <v>43770</v>
      </c>
      <c r="B661" s="13">
        <v>26229630</v>
      </c>
      <c r="C661" s="13">
        <v>1706124</v>
      </c>
    </row>
    <row r="662" spans="1:3" x14ac:dyDescent="0.25">
      <c r="A662" s="46">
        <v>43800</v>
      </c>
      <c r="B662" s="13">
        <v>27731970</v>
      </c>
      <c r="C662" s="13">
        <v>1699614</v>
      </c>
    </row>
    <row r="663" spans="1:3" x14ac:dyDescent="0.25">
      <c r="A663" s="46">
        <v>43831</v>
      </c>
      <c r="B663" s="13">
        <v>25647090</v>
      </c>
      <c r="C663" s="13">
        <v>1832628</v>
      </c>
    </row>
    <row r="664" spans="1:3" x14ac:dyDescent="0.25">
      <c r="A664" s="46">
        <v>43862</v>
      </c>
      <c r="B664" s="13">
        <v>24819270</v>
      </c>
      <c r="C664" s="13">
        <v>1790502</v>
      </c>
    </row>
    <row r="665" spans="1:3" x14ac:dyDescent="0.25">
      <c r="A665" s="46">
        <v>43891</v>
      </c>
      <c r="B665" s="13">
        <v>21278040</v>
      </c>
      <c r="C665" s="13">
        <v>1674666</v>
      </c>
    </row>
    <row r="666" spans="1:3" x14ac:dyDescent="0.25">
      <c r="A666" s="46">
        <v>43922</v>
      </c>
      <c r="B666" s="13">
        <v>10393740</v>
      </c>
      <c r="C666" s="13">
        <v>1679706</v>
      </c>
    </row>
    <row r="667" spans="1:3" x14ac:dyDescent="0.25">
      <c r="A667" s="46">
        <v>43952</v>
      </c>
      <c r="B667" s="13">
        <v>9152010</v>
      </c>
      <c r="C667" s="13">
        <v>1694910</v>
      </c>
    </row>
    <row r="668" spans="1:3" x14ac:dyDescent="0.25">
      <c r="A668" s="46">
        <v>43983</v>
      </c>
      <c r="B668" s="13">
        <v>12018720</v>
      </c>
      <c r="C668" s="13">
        <v>1747662</v>
      </c>
    </row>
    <row r="669" spans="1:3" x14ac:dyDescent="0.25">
      <c r="A669" s="46">
        <v>44013</v>
      </c>
      <c r="B669" s="13">
        <v>14839440</v>
      </c>
      <c r="C669" s="13">
        <v>1721706</v>
      </c>
    </row>
    <row r="670" spans="1:3" x14ac:dyDescent="0.25">
      <c r="A670" s="46">
        <v>44044</v>
      </c>
      <c r="B670" s="13">
        <v>15575280</v>
      </c>
      <c r="C670" s="13">
        <v>1683780</v>
      </c>
    </row>
    <row r="671" spans="1:3" x14ac:dyDescent="0.25">
      <c r="A671" s="46">
        <v>44075</v>
      </c>
      <c r="B671" s="13">
        <v>14118930</v>
      </c>
      <c r="C671" s="13">
        <v>1685670</v>
      </c>
    </row>
    <row r="672" spans="1:3" x14ac:dyDescent="0.25">
      <c r="A672" s="46">
        <v>44105</v>
      </c>
      <c r="B672" s="13">
        <v>15421980</v>
      </c>
      <c r="C672" s="13">
        <v>1580712</v>
      </c>
    </row>
    <row r="673" spans="1:3" x14ac:dyDescent="0.25">
      <c r="A673" s="46">
        <v>44136</v>
      </c>
      <c r="B673" s="13">
        <v>17322900</v>
      </c>
      <c r="C673" s="13">
        <v>1581846</v>
      </c>
    </row>
    <row r="674" spans="1:3" x14ac:dyDescent="0.25">
      <c r="A674" s="46">
        <v>44166</v>
      </c>
      <c r="B674" s="13">
        <v>17598840</v>
      </c>
      <c r="C674" s="13">
        <v>1622334</v>
      </c>
    </row>
    <row r="675" spans="1:3" x14ac:dyDescent="0.25">
      <c r="A675" s="46">
        <v>44197</v>
      </c>
      <c r="B675" s="13">
        <v>17338230</v>
      </c>
      <c r="C675" s="13">
        <v>1788822</v>
      </c>
    </row>
    <row r="676" spans="1:3" x14ac:dyDescent="0.25">
      <c r="A676" s="46">
        <v>44228</v>
      </c>
      <c r="B676" s="13">
        <v>16663710</v>
      </c>
      <c r="C676" s="13">
        <v>1679874</v>
      </c>
    </row>
    <row r="677" spans="1:3" x14ac:dyDescent="0.25">
      <c r="A677" s="46">
        <v>44256</v>
      </c>
      <c r="B677" s="13">
        <v>17629500</v>
      </c>
      <c r="C677" s="13">
        <v>1642998</v>
      </c>
    </row>
    <row r="678" spans="1:3" x14ac:dyDescent="0.25">
      <c r="A678" s="46">
        <v>44287</v>
      </c>
      <c r="B678" s="13">
        <v>19806360</v>
      </c>
      <c r="C678" s="13">
        <v>1702344</v>
      </c>
    </row>
    <row r="679" spans="1:3" x14ac:dyDescent="0.25">
      <c r="A679" s="46">
        <v>44317</v>
      </c>
      <c r="B679" s="13">
        <v>19806360</v>
      </c>
      <c r="C679" s="13">
        <v>1824606</v>
      </c>
    </row>
    <row r="680" spans="1:3" x14ac:dyDescent="0.25">
      <c r="A680" s="46">
        <v>44348</v>
      </c>
      <c r="B680" s="13">
        <v>21860580</v>
      </c>
      <c r="C680" s="13">
        <v>1878660</v>
      </c>
    </row>
    <row r="681" spans="1:3" x14ac:dyDescent="0.25">
      <c r="A681" s="46">
        <v>44378</v>
      </c>
      <c r="B681" s="13">
        <v>23010330</v>
      </c>
      <c r="C681" s="13">
        <v>1840398</v>
      </c>
    </row>
    <row r="682" spans="1:3" x14ac:dyDescent="0.25">
      <c r="A682" s="46">
        <v>44409</v>
      </c>
      <c r="B682" s="13">
        <v>23960790</v>
      </c>
      <c r="C682" s="13">
        <v>1784034</v>
      </c>
    </row>
    <row r="683" spans="1:3" x14ac:dyDescent="0.25">
      <c r="A683" s="46">
        <v>44440</v>
      </c>
      <c r="B683" s="13">
        <v>22765050</v>
      </c>
      <c r="C683" s="13">
        <v>1763496</v>
      </c>
    </row>
    <row r="684" spans="1:3" x14ac:dyDescent="0.25">
      <c r="A684" s="46">
        <v>44470</v>
      </c>
      <c r="B684" s="13">
        <v>22489110</v>
      </c>
      <c r="C684" s="13">
        <v>1694868</v>
      </c>
    </row>
    <row r="685" spans="1:3" x14ac:dyDescent="0.25">
      <c r="A685" s="46">
        <v>44501</v>
      </c>
      <c r="B685" s="13">
        <v>23102310</v>
      </c>
      <c r="C685" s="13">
        <v>1544592</v>
      </c>
    </row>
    <row r="686" spans="1:3" x14ac:dyDescent="0.25">
      <c r="A686" s="46">
        <v>44531</v>
      </c>
      <c r="B686" s="13">
        <v>23255610</v>
      </c>
      <c r="C686" s="13">
        <v>1503516</v>
      </c>
    </row>
    <row r="687" spans="1:3" x14ac:dyDescent="0.25">
      <c r="A687" s="46">
        <v>44562</v>
      </c>
      <c r="B687" s="13">
        <v>21737940</v>
      </c>
      <c r="C687" s="13">
        <v>1620486</v>
      </c>
    </row>
    <row r="688" spans="1:3" x14ac:dyDescent="0.25">
      <c r="A688" s="46">
        <v>44593</v>
      </c>
      <c r="B688" s="13">
        <v>21737940</v>
      </c>
      <c r="C688" s="13">
        <v>1674036</v>
      </c>
    </row>
    <row r="689" spans="1:3" x14ac:dyDescent="0.25">
      <c r="A689" s="46">
        <v>44621</v>
      </c>
      <c r="B689" s="13">
        <v>23301600</v>
      </c>
      <c r="C689" s="13">
        <v>1495494</v>
      </c>
    </row>
    <row r="690" spans="1:3" x14ac:dyDescent="0.25">
      <c r="A690" s="46">
        <v>44652</v>
      </c>
      <c r="B690" s="13">
        <v>23715510</v>
      </c>
      <c r="C690" s="13">
        <v>1583778</v>
      </c>
    </row>
    <row r="691" spans="1:3" x14ac:dyDescent="0.25">
      <c r="A691" s="46">
        <v>44682</v>
      </c>
      <c r="B691" s="13">
        <v>24390030</v>
      </c>
      <c r="C691" s="13">
        <v>1736364</v>
      </c>
    </row>
    <row r="692" spans="1:3" x14ac:dyDescent="0.25">
      <c r="A692" s="46">
        <v>44713</v>
      </c>
      <c r="B692" s="13">
        <v>25846380</v>
      </c>
      <c r="C692" s="13">
        <v>1653792</v>
      </c>
    </row>
    <row r="693" spans="1:3" x14ac:dyDescent="0.25">
      <c r="A693" s="46">
        <v>44743</v>
      </c>
      <c r="B693" s="13">
        <v>24573990</v>
      </c>
      <c r="C693" s="13">
        <v>1731660</v>
      </c>
    </row>
    <row r="694" spans="1:3" x14ac:dyDescent="0.25">
      <c r="A694" s="46">
        <v>44774</v>
      </c>
      <c r="B694" s="13">
        <v>25355820</v>
      </c>
      <c r="C694" s="13">
        <v>1613178</v>
      </c>
    </row>
    <row r="695" spans="1:3" x14ac:dyDescent="0.25">
      <c r="A695" s="46">
        <v>44805</v>
      </c>
      <c r="B695" s="13">
        <v>23516220</v>
      </c>
      <c r="C695" s="13">
        <v>1533840</v>
      </c>
    </row>
    <row r="696" spans="1:3" x14ac:dyDescent="0.25">
      <c r="A696" s="46">
        <v>44835</v>
      </c>
      <c r="B696" s="13">
        <v>23884140</v>
      </c>
      <c r="C696" s="13">
        <v>1531320</v>
      </c>
    </row>
    <row r="697" spans="1:3" x14ac:dyDescent="0.25">
      <c r="A697" s="46">
        <v>44866</v>
      </c>
      <c r="B697" s="13">
        <v>24282720</v>
      </c>
      <c r="C697" s="13">
        <v>1588104</v>
      </c>
    </row>
    <row r="698" spans="1:3" x14ac:dyDescent="0.25">
      <c r="A698" s="46">
        <v>44896</v>
      </c>
      <c r="B698" s="13">
        <v>24420690</v>
      </c>
      <c r="C698" s="13">
        <v>1471638</v>
      </c>
    </row>
    <row r="699" spans="1:3" x14ac:dyDescent="0.25">
      <c r="A699" s="46">
        <v>44927</v>
      </c>
      <c r="B699" s="13">
        <v>23424240</v>
      </c>
      <c r="C699" s="13">
        <v>1506288</v>
      </c>
    </row>
    <row r="700" spans="1:3" x14ac:dyDescent="0.25">
      <c r="A700" s="46">
        <v>44958</v>
      </c>
      <c r="B700" s="13">
        <v>23240280</v>
      </c>
      <c r="C700" s="13">
        <v>1576008</v>
      </c>
    </row>
    <row r="701" spans="1:3" x14ac:dyDescent="0.25">
      <c r="A701" s="46">
        <v>44986</v>
      </c>
      <c r="B701" s="13">
        <v>24727290</v>
      </c>
      <c r="C701" s="13">
        <v>1585458</v>
      </c>
    </row>
    <row r="702" spans="1:3" x14ac:dyDescent="0.25">
      <c r="A702" s="46">
        <v>45017</v>
      </c>
      <c r="B702" s="13">
        <v>24619980</v>
      </c>
      <c r="C702" s="13">
        <v>1729140</v>
      </c>
    </row>
    <row r="703" spans="1:3" x14ac:dyDescent="0.25">
      <c r="A703" s="46">
        <v>45047</v>
      </c>
      <c r="B703" s="13">
        <v>25601100</v>
      </c>
      <c r="C703" s="13">
        <v>1784748</v>
      </c>
    </row>
    <row r="704" spans="1:3" x14ac:dyDescent="0.25">
      <c r="A704" s="46">
        <v>45078</v>
      </c>
      <c r="B704" s="13">
        <v>26904150</v>
      </c>
      <c r="C704" s="13">
        <v>1795290</v>
      </c>
    </row>
    <row r="705" spans="1:5" x14ac:dyDescent="0.25">
      <c r="A705" s="46">
        <v>45108</v>
      </c>
      <c r="B705" s="13">
        <v>26873490</v>
      </c>
      <c r="C705" s="13">
        <v>1792812</v>
      </c>
    </row>
    <row r="706" spans="1:5" x14ac:dyDescent="0.25">
      <c r="A706" s="46">
        <v>45139</v>
      </c>
      <c r="B706" s="13">
        <v>26183640</v>
      </c>
      <c r="C706" s="13">
        <v>1790334</v>
      </c>
    </row>
    <row r="707" spans="1:5" x14ac:dyDescent="0.25">
      <c r="A707" s="46">
        <v>45170</v>
      </c>
      <c r="B707" s="13">
        <v>25923030</v>
      </c>
      <c r="C707" s="13">
        <v>1826076</v>
      </c>
    </row>
    <row r="708" spans="1:5" x14ac:dyDescent="0.25">
      <c r="A708" s="46">
        <v>45200</v>
      </c>
      <c r="B708" s="13">
        <v>26015010</v>
      </c>
      <c r="C708" s="13">
        <v>1660470</v>
      </c>
    </row>
    <row r="709" spans="1:5" x14ac:dyDescent="0.25">
      <c r="A709" s="46">
        <v>45231</v>
      </c>
      <c r="B709" s="13">
        <v>24880590</v>
      </c>
      <c r="C709" s="13">
        <v>1634136</v>
      </c>
      <c r="E709" s="47"/>
    </row>
    <row r="710" spans="1:5" x14ac:dyDescent="0.25">
      <c r="A710" s="46">
        <v>45261</v>
      </c>
      <c r="B710" s="13">
        <v>25570440</v>
      </c>
      <c r="C710" s="13">
        <v>1670004</v>
      </c>
      <c r="E710" s="47"/>
    </row>
    <row r="711" spans="1:5" x14ac:dyDescent="0.25">
      <c r="A711" s="46">
        <v>45292</v>
      </c>
      <c r="B711" s="13">
        <v>23546880</v>
      </c>
      <c r="C711" s="13">
        <v>1745856</v>
      </c>
      <c r="E711" s="47"/>
    </row>
    <row r="712" spans="1:5" x14ac:dyDescent="0.25">
      <c r="A712" s="46">
        <v>45323</v>
      </c>
      <c r="B712" s="48">
        <v>23976120</v>
      </c>
    </row>
    <row r="713" spans="1:5" x14ac:dyDescent="0.25">
      <c r="A713" s="46">
        <v>45352</v>
      </c>
      <c r="B713" s="48">
        <v>25309830</v>
      </c>
    </row>
    <row r="714" spans="1:5" x14ac:dyDescent="0.25">
      <c r="A714" s="46">
        <v>45383</v>
      </c>
      <c r="B714" s="48">
        <v>26183640</v>
      </c>
    </row>
    <row r="715" spans="1:5" x14ac:dyDescent="0.25">
      <c r="A715" s="46">
        <v>45413</v>
      </c>
      <c r="B715" s="48">
        <v>27103440</v>
      </c>
    </row>
    <row r="716" spans="1:5" x14ac:dyDescent="0.25">
      <c r="A716" s="46">
        <v>45444</v>
      </c>
      <c r="B716" s="48">
        <v>26214300</v>
      </c>
    </row>
    <row r="717" spans="1:5" x14ac:dyDescent="0.25">
      <c r="A717" s="46">
        <v>45474</v>
      </c>
      <c r="B717" s="48">
        <v>28084560</v>
      </c>
    </row>
    <row r="718" spans="1:5" x14ac:dyDescent="0.25">
      <c r="A718" s="46">
        <v>45505</v>
      </c>
      <c r="B718" s="48"/>
    </row>
    <row r="719" spans="1:5" x14ac:dyDescent="0.25">
      <c r="A719" s="46">
        <v>45536</v>
      </c>
      <c r="B719" s="48"/>
    </row>
    <row r="720" spans="1:5" x14ac:dyDescent="0.25">
      <c r="A720" s="46">
        <v>45566</v>
      </c>
      <c r="B720" s="48"/>
    </row>
    <row r="721" spans="1:2" x14ac:dyDescent="0.25">
      <c r="A721" s="46">
        <v>45597</v>
      </c>
      <c r="B721" s="48"/>
    </row>
    <row r="722" spans="1:2" x14ac:dyDescent="0.25">
      <c r="A722" s="46">
        <v>45627</v>
      </c>
      <c r="B722" s="48"/>
    </row>
    <row r="723" spans="1:2" x14ac:dyDescent="0.25">
      <c r="A723" s="46">
        <v>45658</v>
      </c>
      <c r="B723" s="48"/>
    </row>
    <row r="724" spans="1:2" x14ac:dyDescent="0.25">
      <c r="A724" s="46">
        <v>45689</v>
      </c>
      <c r="B724" s="48"/>
    </row>
    <row r="725" spans="1:2" x14ac:dyDescent="0.25">
      <c r="A725" s="46">
        <v>45717</v>
      </c>
      <c r="B725" s="48"/>
    </row>
    <row r="726" spans="1:2" x14ac:dyDescent="0.25">
      <c r="A726" s="46">
        <v>45748</v>
      </c>
      <c r="B726" s="48"/>
    </row>
    <row r="727" spans="1:2" x14ac:dyDescent="0.25">
      <c r="A727" s="46">
        <v>45778</v>
      </c>
      <c r="B727" s="48"/>
    </row>
    <row r="728" spans="1:2" x14ac:dyDescent="0.25">
      <c r="A728" s="46">
        <v>45809</v>
      </c>
      <c r="B728" s="48"/>
    </row>
    <row r="729" spans="1:2" x14ac:dyDescent="0.25">
      <c r="A729" s="46">
        <v>45839</v>
      </c>
      <c r="B729" s="48"/>
    </row>
    <row r="730" spans="1:2" x14ac:dyDescent="0.25">
      <c r="A730" s="46">
        <v>45870</v>
      </c>
      <c r="B730" s="48"/>
    </row>
    <row r="731" spans="1:2" x14ac:dyDescent="0.25">
      <c r="A731" s="46">
        <v>45901</v>
      </c>
      <c r="B731" s="48"/>
    </row>
    <row r="732" spans="1:2" x14ac:dyDescent="0.25">
      <c r="A732" s="46">
        <v>45931</v>
      </c>
      <c r="B732" s="48"/>
    </row>
    <row r="733" spans="1:2" x14ac:dyDescent="0.25">
      <c r="A733" s="46">
        <v>45962</v>
      </c>
      <c r="B733" s="48"/>
    </row>
    <row r="734" spans="1:2" x14ac:dyDescent="0.25">
      <c r="A734" s="46">
        <v>45992</v>
      </c>
      <c r="B734" s="48"/>
    </row>
    <row r="735" spans="1:2" x14ac:dyDescent="0.25">
      <c r="A735" s="46">
        <v>46023</v>
      </c>
      <c r="B735" s="48"/>
    </row>
    <row r="736" spans="1:2" x14ac:dyDescent="0.25">
      <c r="A736" s="46">
        <v>46054</v>
      </c>
      <c r="B736" s="48"/>
    </row>
    <row r="737" spans="1:2" x14ac:dyDescent="0.25">
      <c r="A737" s="46">
        <v>46082</v>
      </c>
      <c r="B737" s="48"/>
    </row>
    <row r="738" spans="1:2" x14ac:dyDescent="0.25">
      <c r="A738" s="46">
        <v>46113</v>
      </c>
      <c r="B738" s="48"/>
    </row>
    <row r="739" spans="1:2" x14ac:dyDescent="0.25">
      <c r="A739" s="46">
        <v>46143</v>
      </c>
      <c r="B739" s="48"/>
    </row>
    <row r="740" spans="1:2" x14ac:dyDescent="0.25">
      <c r="A740" s="46">
        <v>46174</v>
      </c>
      <c r="B740" s="48"/>
    </row>
    <row r="741" spans="1:2" x14ac:dyDescent="0.25">
      <c r="A741" s="46">
        <v>46204</v>
      </c>
      <c r="B741" s="48"/>
    </row>
    <row r="742" spans="1:2" x14ac:dyDescent="0.25">
      <c r="A742" s="46">
        <v>46235</v>
      </c>
      <c r="B742" s="48"/>
    </row>
    <row r="743" spans="1:2" x14ac:dyDescent="0.25">
      <c r="A743" s="46">
        <v>46266</v>
      </c>
      <c r="B743" s="48"/>
    </row>
    <row r="744" spans="1:2" x14ac:dyDescent="0.25">
      <c r="A744" s="46">
        <v>46296</v>
      </c>
      <c r="B744" s="48"/>
    </row>
    <row r="745" spans="1:2" x14ac:dyDescent="0.25">
      <c r="A745" s="46">
        <v>46327</v>
      </c>
      <c r="B745" s="48"/>
    </row>
    <row r="746" spans="1:2" x14ac:dyDescent="0.25">
      <c r="A746" s="46">
        <v>46357</v>
      </c>
      <c r="B746" s="48"/>
    </row>
    <row r="747" spans="1:2" x14ac:dyDescent="0.25">
      <c r="A747" s="46">
        <v>46388</v>
      </c>
      <c r="B747" s="48"/>
    </row>
    <row r="748" spans="1:2" x14ac:dyDescent="0.25">
      <c r="A748" s="46">
        <v>46419</v>
      </c>
      <c r="B748" s="48"/>
    </row>
    <row r="749" spans="1:2" x14ac:dyDescent="0.25">
      <c r="A749" s="46">
        <v>46447</v>
      </c>
      <c r="B749" s="48"/>
    </row>
    <row r="750" spans="1:2" x14ac:dyDescent="0.25">
      <c r="A750" s="46">
        <v>46478</v>
      </c>
      <c r="B750" s="48"/>
    </row>
    <row r="751" spans="1:2" x14ac:dyDescent="0.25">
      <c r="A751" s="46">
        <v>46508</v>
      </c>
      <c r="B751" s="48"/>
    </row>
    <row r="752" spans="1:2" x14ac:dyDescent="0.25">
      <c r="A752" s="46">
        <v>46539</v>
      </c>
      <c r="B752" s="48"/>
    </row>
    <row r="753" spans="1:2" x14ac:dyDescent="0.25">
      <c r="A753" s="46">
        <v>46569</v>
      </c>
      <c r="B753" s="48"/>
    </row>
    <row r="754" spans="1:2" x14ac:dyDescent="0.25">
      <c r="A754" s="46">
        <v>46600</v>
      </c>
      <c r="B754" s="48"/>
    </row>
    <row r="755" spans="1:2" x14ac:dyDescent="0.25">
      <c r="A755" s="46">
        <v>46631</v>
      </c>
      <c r="B755" s="48"/>
    </row>
    <row r="756" spans="1:2" x14ac:dyDescent="0.25">
      <c r="A756" s="46">
        <v>46661</v>
      </c>
      <c r="B756" s="48"/>
    </row>
    <row r="757" spans="1:2" x14ac:dyDescent="0.25">
      <c r="A757" s="46">
        <v>46692</v>
      </c>
      <c r="B757" s="48"/>
    </row>
    <row r="758" spans="1:2" x14ac:dyDescent="0.25">
      <c r="A758" s="46">
        <v>46722</v>
      </c>
      <c r="B758" s="48"/>
    </row>
    <row r="759" spans="1:2" x14ac:dyDescent="0.25">
      <c r="A759" s="46">
        <v>46753</v>
      </c>
      <c r="B759" s="48"/>
    </row>
    <row r="760" spans="1:2" x14ac:dyDescent="0.25">
      <c r="A760" s="46">
        <v>46784</v>
      </c>
      <c r="B760" s="48"/>
    </row>
    <row r="761" spans="1:2" x14ac:dyDescent="0.25">
      <c r="A761" s="46">
        <v>46813</v>
      </c>
      <c r="B761" s="48"/>
    </row>
    <row r="762" spans="1:2" x14ac:dyDescent="0.25">
      <c r="A762" s="46">
        <v>46844</v>
      </c>
      <c r="B762" s="48"/>
    </row>
    <row r="763" spans="1:2" x14ac:dyDescent="0.25">
      <c r="A763" s="46">
        <v>46874</v>
      </c>
      <c r="B763" s="48"/>
    </row>
    <row r="764" spans="1:2" x14ac:dyDescent="0.25">
      <c r="A764" s="46">
        <v>46905</v>
      </c>
      <c r="B764" s="48"/>
    </row>
    <row r="765" spans="1:2" x14ac:dyDescent="0.25">
      <c r="A765" s="46">
        <v>46935</v>
      </c>
      <c r="B765" s="48"/>
    </row>
    <row r="766" spans="1:2" x14ac:dyDescent="0.25">
      <c r="A766" s="46">
        <v>46966</v>
      </c>
      <c r="B766" s="48"/>
    </row>
    <row r="767" spans="1:2" x14ac:dyDescent="0.25">
      <c r="A767" s="46">
        <v>46997</v>
      </c>
      <c r="B767" s="48"/>
    </row>
    <row r="768" spans="1:2" x14ac:dyDescent="0.25">
      <c r="A768" s="46">
        <v>47027</v>
      </c>
      <c r="B768" s="48"/>
    </row>
    <row r="769" spans="1:2" x14ac:dyDescent="0.25">
      <c r="A769" s="46">
        <v>47058</v>
      </c>
      <c r="B769" s="48"/>
    </row>
    <row r="770" spans="1:2" x14ac:dyDescent="0.25">
      <c r="A770" s="46">
        <v>47088</v>
      </c>
      <c r="B770" s="48"/>
    </row>
    <row r="771" spans="1:2" x14ac:dyDescent="0.25">
      <c r="A771" s="46">
        <v>47119</v>
      </c>
      <c r="B771" s="48"/>
    </row>
    <row r="772" spans="1:2" x14ac:dyDescent="0.25">
      <c r="A772" s="46">
        <v>47150</v>
      </c>
      <c r="B772" s="48"/>
    </row>
    <row r="773" spans="1:2" x14ac:dyDescent="0.25">
      <c r="A773" s="46">
        <v>47178</v>
      </c>
      <c r="B773" s="48"/>
    </row>
    <row r="774" spans="1:2" x14ac:dyDescent="0.25">
      <c r="A774" s="46">
        <v>47209</v>
      </c>
      <c r="B774" s="48"/>
    </row>
    <row r="775" spans="1:2" x14ac:dyDescent="0.25">
      <c r="A775" s="46">
        <v>47239</v>
      </c>
      <c r="B775" s="48"/>
    </row>
    <row r="776" spans="1:2" x14ac:dyDescent="0.25">
      <c r="A776" s="46">
        <v>47270</v>
      </c>
      <c r="B776" s="48"/>
    </row>
    <row r="777" spans="1:2" x14ac:dyDescent="0.25">
      <c r="A777" s="46">
        <v>47300</v>
      </c>
      <c r="B777" s="48"/>
    </row>
    <row r="778" spans="1:2" x14ac:dyDescent="0.25">
      <c r="A778" s="46">
        <v>47331</v>
      </c>
      <c r="B778" s="48"/>
    </row>
    <row r="779" spans="1:2" x14ac:dyDescent="0.25">
      <c r="A779" s="46">
        <v>47362</v>
      </c>
      <c r="B779" s="48"/>
    </row>
    <row r="780" spans="1:2" x14ac:dyDescent="0.25">
      <c r="A780" s="46">
        <v>47392</v>
      </c>
      <c r="B780" s="48"/>
    </row>
    <row r="781" spans="1:2" x14ac:dyDescent="0.25">
      <c r="A781" s="46">
        <v>47423</v>
      </c>
      <c r="B781" s="48"/>
    </row>
    <row r="782" spans="1:2" x14ac:dyDescent="0.25">
      <c r="A782" s="46">
        <v>47453</v>
      </c>
      <c r="B782" s="48"/>
    </row>
    <row r="783" spans="1:2" x14ac:dyDescent="0.25">
      <c r="A783" s="46">
        <v>47484</v>
      </c>
      <c r="B783" s="48"/>
    </row>
    <row r="784" spans="1:2" x14ac:dyDescent="0.25">
      <c r="A784" s="46">
        <v>47515</v>
      </c>
      <c r="B784" s="48"/>
    </row>
    <row r="785" spans="1:2" x14ac:dyDescent="0.25">
      <c r="A785" s="46">
        <v>47543</v>
      </c>
      <c r="B785" s="48"/>
    </row>
    <row r="786" spans="1:2" x14ac:dyDescent="0.25">
      <c r="A786" s="46">
        <v>47574</v>
      </c>
      <c r="B786" s="48"/>
    </row>
    <row r="787" spans="1:2" x14ac:dyDescent="0.25">
      <c r="A787" s="46">
        <v>47604</v>
      </c>
      <c r="B787" s="48"/>
    </row>
    <row r="788" spans="1:2" x14ac:dyDescent="0.25">
      <c r="A788" s="46">
        <v>47635</v>
      </c>
      <c r="B788" s="48"/>
    </row>
    <row r="789" spans="1:2" x14ac:dyDescent="0.25">
      <c r="A789" s="46">
        <v>47665</v>
      </c>
      <c r="B789" s="48"/>
    </row>
    <row r="790" spans="1:2" x14ac:dyDescent="0.25">
      <c r="A790" s="46">
        <v>47696</v>
      </c>
      <c r="B790" s="48"/>
    </row>
    <row r="791" spans="1:2" x14ac:dyDescent="0.25">
      <c r="A791" s="46">
        <v>47727</v>
      </c>
      <c r="B791" s="48"/>
    </row>
    <row r="792" spans="1:2" x14ac:dyDescent="0.25">
      <c r="A792" s="46">
        <v>47757</v>
      </c>
      <c r="B792" s="48"/>
    </row>
    <row r="793" spans="1:2" x14ac:dyDescent="0.25">
      <c r="A793" s="46">
        <v>47788</v>
      </c>
      <c r="B793" s="48"/>
    </row>
    <row r="794" spans="1:2" x14ac:dyDescent="0.25">
      <c r="A794" s="46">
        <v>47818</v>
      </c>
      <c r="B794" s="48"/>
    </row>
    <row r="795" spans="1:2" x14ac:dyDescent="0.25">
      <c r="A795" s="46">
        <v>47849</v>
      </c>
      <c r="B795" s="48"/>
    </row>
    <row r="796" spans="1:2" x14ac:dyDescent="0.25">
      <c r="A796" s="46">
        <v>47880</v>
      </c>
      <c r="B796" s="48"/>
    </row>
    <row r="797" spans="1:2" x14ac:dyDescent="0.25">
      <c r="A797" s="46">
        <v>47908</v>
      </c>
      <c r="B797" s="48"/>
    </row>
    <row r="798" spans="1:2" x14ac:dyDescent="0.25">
      <c r="A798" s="46">
        <v>47939</v>
      </c>
      <c r="B798" s="48"/>
    </row>
    <row r="799" spans="1:2" x14ac:dyDescent="0.25">
      <c r="A799" s="46">
        <v>47969</v>
      </c>
      <c r="B799" s="48"/>
    </row>
    <row r="800" spans="1:2" x14ac:dyDescent="0.25">
      <c r="A800" s="46">
        <v>48000</v>
      </c>
      <c r="B800" s="48"/>
    </row>
    <row r="801" spans="1:2" x14ac:dyDescent="0.25">
      <c r="A801" s="46">
        <v>48030</v>
      </c>
      <c r="B801" s="48"/>
    </row>
    <row r="802" spans="1:2" x14ac:dyDescent="0.25">
      <c r="A802" s="46">
        <v>48061</v>
      </c>
      <c r="B802" s="48"/>
    </row>
    <row r="803" spans="1:2" x14ac:dyDescent="0.25">
      <c r="A803" s="46">
        <v>48092</v>
      </c>
      <c r="B803" s="48"/>
    </row>
    <row r="804" spans="1:2" x14ac:dyDescent="0.25">
      <c r="A804" s="46">
        <v>48122</v>
      </c>
      <c r="B804" s="48"/>
    </row>
    <row r="805" spans="1:2" x14ac:dyDescent="0.25">
      <c r="A805" s="46">
        <v>48153</v>
      </c>
      <c r="B805" s="48"/>
    </row>
    <row r="806" spans="1:2" x14ac:dyDescent="0.25">
      <c r="A806" s="46">
        <v>48183</v>
      </c>
      <c r="B806" s="48"/>
    </row>
    <row r="807" spans="1:2" x14ac:dyDescent="0.25">
      <c r="A807" s="46">
        <v>48214</v>
      </c>
      <c r="B807" s="48"/>
    </row>
    <row r="808" spans="1:2" x14ac:dyDescent="0.25">
      <c r="A808" s="46">
        <v>48245</v>
      </c>
      <c r="B808" s="48"/>
    </row>
    <row r="809" spans="1:2" x14ac:dyDescent="0.25">
      <c r="A809" s="46">
        <v>48274</v>
      </c>
      <c r="B809" s="48"/>
    </row>
    <row r="810" spans="1:2" x14ac:dyDescent="0.25">
      <c r="A810" s="46">
        <v>48305</v>
      </c>
      <c r="B810" s="48"/>
    </row>
    <row r="811" spans="1:2" x14ac:dyDescent="0.25">
      <c r="A811" s="46">
        <v>48335</v>
      </c>
      <c r="B811" s="48"/>
    </row>
    <row r="812" spans="1:2" x14ac:dyDescent="0.25">
      <c r="A812" s="46">
        <v>48366</v>
      </c>
      <c r="B812" s="48"/>
    </row>
    <row r="813" spans="1:2" x14ac:dyDescent="0.25">
      <c r="A813" s="46">
        <v>48396</v>
      </c>
      <c r="B813" s="48"/>
    </row>
    <row r="814" spans="1:2" x14ac:dyDescent="0.25">
      <c r="A814" s="46">
        <v>48427</v>
      </c>
      <c r="B814" s="48"/>
    </row>
    <row r="815" spans="1:2" x14ac:dyDescent="0.25">
      <c r="A815" s="46">
        <v>48458</v>
      </c>
      <c r="B815" s="48"/>
    </row>
    <row r="816" spans="1:2" x14ac:dyDescent="0.25">
      <c r="A816" s="46">
        <v>48488</v>
      </c>
      <c r="B816" s="48"/>
    </row>
    <row r="817" spans="1:2" x14ac:dyDescent="0.25">
      <c r="A817" s="46">
        <v>48519</v>
      </c>
      <c r="B817" s="48"/>
    </row>
    <row r="818" spans="1:2" x14ac:dyDescent="0.25">
      <c r="A818" s="46">
        <v>48549</v>
      </c>
      <c r="B818" s="48"/>
    </row>
    <row r="819" spans="1:2" x14ac:dyDescent="0.25">
      <c r="A819" s="46">
        <v>48580</v>
      </c>
      <c r="B819" s="48"/>
    </row>
    <row r="820" spans="1:2" x14ac:dyDescent="0.25">
      <c r="A820" s="46">
        <v>48611</v>
      </c>
      <c r="B820" s="48"/>
    </row>
    <row r="821" spans="1:2" x14ac:dyDescent="0.25">
      <c r="A821" s="46">
        <v>48639</v>
      </c>
      <c r="B821" s="48"/>
    </row>
    <row r="822" spans="1:2" x14ac:dyDescent="0.25">
      <c r="A822" s="46">
        <v>48670</v>
      </c>
      <c r="B822" s="48"/>
    </row>
    <row r="823" spans="1:2" x14ac:dyDescent="0.25">
      <c r="A823" s="46">
        <v>48700</v>
      </c>
      <c r="B823" s="48"/>
    </row>
    <row r="824" spans="1:2" x14ac:dyDescent="0.25">
      <c r="A824" s="46">
        <v>48731</v>
      </c>
      <c r="B824" s="48"/>
    </row>
    <row r="825" spans="1:2" x14ac:dyDescent="0.25">
      <c r="A825" s="46">
        <v>48761</v>
      </c>
      <c r="B825" s="48"/>
    </row>
    <row r="826" spans="1:2" x14ac:dyDescent="0.25">
      <c r="A826" s="46">
        <v>48792</v>
      </c>
      <c r="B826" s="48"/>
    </row>
    <row r="827" spans="1:2" x14ac:dyDescent="0.25">
      <c r="A827" s="46">
        <v>48823</v>
      </c>
      <c r="B827" s="48"/>
    </row>
    <row r="828" spans="1:2" x14ac:dyDescent="0.25">
      <c r="A828" s="46">
        <v>48853</v>
      </c>
      <c r="B828" s="48"/>
    </row>
    <row r="829" spans="1:2" x14ac:dyDescent="0.25">
      <c r="A829" s="46">
        <v>48884</v>
      </c>
      <c r="B829" s="48"/>
    </row>
    <row r="830" spans="1:2" x14ac:dyDescent="0.25">
      <c r="A830" s="46">
        <v>48914</v>
      </c>
      <c r="B830" s="48"/>
    </row>
    <row r="831" spans="1:2" x14ac:dyDescent="0.25">
      <c r="A831" s="46">
        <v>48945</v>
      </c>
      <c r="B831" s="48"/>
    </row>
    <row r="832" spans="1:2" x14ac:dyDescent="0.25">
      <c r="A832" s="46">
        <v>48976</v>
      </c>
      <c r="B832" s="48"/>
    </row>
    <row r="833" spans="1:2" x14ac:dyDescent="0.25">
      <c r="A833" s="46">
        <v>49004</v>
      </c>
      <c r="B833" s="48"/>
    </row>
    <row r="834" spans="1:2" x14ac:dyDescent="0.25">
      <c r="A834" s="46">
        <v>49035</v>
      </c>
      <c r="B834" s="48"/>
    </row>
    <row r="835" spans="1:2" x14ac:dyDescent="0.25">
      <c r="A835" s="46">
        <v>49065</v>
      </c>
      <c r="B835" s="48"/>
    </row>
    <row r="836" spans="1:2" x14ac:dyDescent="0.25">
      <c r="A836" s="46">
        <v>49096</v>
      </c>
      <c r="B836" s="48"/>
    </row>
    <row r="837" spans="1:2" x14ac:dyDescent="0.25">
      <c r="A837" s="46">
        <v>49126</v>
      </c>
      <c r="B837" s="48"/>
    </row>
    <row r="838" spans="1:2" x14ac:dyDescent="0.25">
      <c r="A838" s="46">
        <v>49157</v>
      </c>
      <c r="B838" s="48"/>
    </row>
    <row r="839" spans="1:2" x14ac:dyDescent="0.25">
      <c r="A839" s="46">
        <v>49188</v>
      </c>
      <c r="B839" s="48"/>
    </row>
    <row r="840" spans="1:2" x14ac:dyDescent="0.25">
      <c r="A840" s="46">
        <v>49218</v>
      </c>
      <c r="B840" s="48"/>
    </row>
    <row r="841" spans="1:2" x14ac:dyDescent="0.25">
      <c r="A841" s="46">
        <v>49249</v>
      </c>
      <c r="B841" s="48"/>
    </row>
    <row r="842" spans="1:2" x14ac:dyDescent="0.25">
      <c r="A842" s="46">
        <v>49279</v>
      </c>
      <c r="B842" s="48"/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Links</vt:lpstr>
      <vt:lpstr>Assumptions</vt:lpstr>
      <vt:lpstr>US Fuel Production</vt:lpstr>
      <vt:lpstr>US Jet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2025-07-17T09:59:01Z</dcterms:created>
  <dcterms:modified xsi:type="dcterms:W3CDTF">2025-11-02T10:49:24Z</dcterms:modified>
</cp:coreProperties>
</file>