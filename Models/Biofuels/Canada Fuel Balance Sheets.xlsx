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orem\Dropbox\RLC Documents\Models\Oilseeds\"/>
    </mc:Choice>
  </mc:AlternateContent>
  <xr:revisionPtr revIDLastSave="0" documentId="8_{95E80886-FE4F-41D5-A87B-48FAE5F2D05E}" xr6:coauthVersionLast="47" xr6:coauthVersionMax="47" xr10:uidLastSave="{00000000-0000-0000-0000-000000000000}"/>
  <bookViews>
    <workbookView xWindow="2775" yWindow="1170" windowWidth="22860" windowHeight="12030" xr2:uid="{70BFAC01-5E41-4142-B2EF-9419EA3E6915}"/>
  </bookViews>
  <sheets>
    <sheet name="Data Sources" sheetId="1" r:id="rId1"/>
    <sheet name="Capacity" sheetId="2" r:id="rId2"/>
    <sheet name="annual_data" sheetId="3" r:id="rId3"/>
    <sheet name="monthly_data" sheetId="4" r:id="rId4"/>
    <sheet name="BD" sheetId="5" r:id="rId5"/>
    <sheet name="RD" sheetId="6" r:id="rId6"/>
    <sheet name="SAF" sheetId="7" r:id="rId7"/>
    <sheet name="Jet Fuel" sheetId="8" r:id="rId8"/>
    <sheet name="Diesel" sheetId="9" r:id="rId9"/>
  </sheets>
  <definedNames>
    <definedName name="_xlnm.Print_Area" localSheetId="4">BD!$A$2:$I$12</definedName>
    <definedName name="_xlnm.Print_Area" localSheetId="5">RD!$A$2:$I$12</definedName>
    <definedName name="Z_11027877_8754_42DF_AEF4_DF91AFC7E3D7_.wvu.PrintArea" localSheetId="4" hidden="1">BD!$A$1:$F$12</definedName>
    <definedName name="Z_11027877_8754_42DF_AEF4_DF91AFC7E3D7_.wvu.PrintArea" localSheetId="5" hidden="1">RD!$A$1:$F$12</definedName>
    <definedName name="Z_2C7BB91D_B6C7_4C7E_824A_AD371B7FEFAE_.wvu.Cols" localSheetId="4" hidden="1">BD!#REF!</definedName>
    <definedName name="Z_2C7BB91D_B6C7_4C7E_824A_AD371B7FEFAE_.wvu.Cols" localSheetId="5" hidden="1">RD!#REF!</definedName>
    <definedName name="Z_2C7BB91D_B6C7_4C7E_824A_AD371B7FEFAE_.wvu.PrintArea" localSheetId="4" hidden="1">BD!$A$1:$F$12</definedName>
    <definedName name="Z_2C7BB91D_B6C7_4C7E_824A_AD371B7FEFAE_.wvu.PrintArea" localSheetId="5" hidden="1">RD!$A$1:$F$12</definedName>
    <definedName name="Z_3389ABBF_4A47_4E3C_9E30_013DEA936013_.wvu.PrintArea" localSheetId="4" hidden="1">BD!$A$1:$F$12</definedName>
    <definedName name="Z_3389ABBF_4A47_4E3C_9E30_013DEA936013_.wvu.PrintArea" localSheetId="5" hidden="1">RD!$A$1:$F$12</definedName>
    <definedName name="Z_63FD8648_A18A_466A_B152_26B7B5EB5F8A_.wvu.PrintArea" localSheetId="4" hidden="1">BD!$A$1:$F$12</definedName>
    <definedName name="Z_63FD8648_A18A_466A_B152_26B7B5EB5F8A_.wvu.PrintArea" localSheetId="5" hidden="1">RD!$A$1:$F$12</definedName>
    <definedName name="Z_896AD9BE_343E_4241_9567_E97EA3C7D73E_.wvu.PrintArea" localSheetId="4" hidden="1">BD!$A$1:$F$12</definedName>
    <definedName name="Z_896AD9BE_343E_4241_9567_E97EA3C7D73E_.wvu.PrintArea" localSheetId="5" hidden="1">RD!$A$1:$F$12</definedName>
    <definedName name="Z_8F904101_0CD0_4EB8_918C_6C9451EECAE3_.wvu.PrintArea" localSheetId="4" hidden="1">BD!$A$1:$F$12</definedName>
    <definedName name="Z_8F904101_0CD0_4EB8_918C_6C9451EECAE3_.wvu.PrintArea" localSheetId="5" hidden="1">RD!$A$1:$F$12</definedName>
    <definedName name="Z_A9F82761_E541_4BC7_AF39_E754A8EE4364_.wvu.PrintArea" localSheetId="4" hidden="1">BD!$A$1:$F$12</definedName>
    <definedName name="Z_A9F82761_E541_4BC7_AF39_E754A8EE4364_.wvu.PrintArea" localSheetId="5" hidden="1">RD!$A$1:$F$12</definedName>
    <definedName name="Z_BDBF5671_C3A9_474A_BD59_73FB0F340729_.wvu.PrintArea" localSheetId="4" hidden="1">BD!$A$1:$F$12</definedName>
    <definedName name="Z_BDBF5671_C3A9_474A_BD59_73FB0F340729_.wvu.PrintArea" localSheetId="5" hidden="1">RD!$A$1:$F$12</definedName>
    <definedName name="Z_BE7D4983_2668_442B_8E12_AE767275E8F1_.wvu.PrintArea" localSheetId="4" hidden="1">BD!$A$1:$F$12</definedName>
    <definedName name="Z_BE7D4983_2668_442B_8E12_AE767275E8F1_.wvu.PrintArea" localSheetId="5" hidden="1">RD!$A$1:$F$12</definedName>
    <definedName name="Z_F5DE2E4F_A48B_4F36_85E7_0AB7ADB29149_.wvu.PrintArea" localSheetId="4" hidden="1">BD!$A$1:$F$12</definedName>
    <definedName name="Z_F5DE2E4F_A48B_4F36_85E7_0AB7ADB29149_.wvu.PrintArea" localSheetId="5" hidden="1">RD!$A$1:$F$12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7" i="9" l="1"/>
  <c r="J97" i="9"/>
  <c r="I97" i="9"/>
  <c r="H97" i="9"/>
  <c r="G97" i="9"/>
  <c r="G11" i="9" s="1"/>
  <c r="H3" i="9" s="1"/>
  <c r="F97" i="9"/>
  <c r="E97" i="9"/>
  <c r="E11" i="9" s="1"/>
  <c r="F3" i="9" s="1"/>
  <c r="D97" i="9"/>
  <c r="C97" i="9"/>
  <c r="B97" i="9"/>
  <c r="K96" i="9"/>
  <c r="J96" i="9"/>
  <c r="I96" i="9"/>
  <c r="H96" i="9"/>
  <c r="G96" i="9"/>
  <c r="F96" i="9"/>
  <c r="E96" i="9"/>
  <c r="D96" i="9"/>
  <c r="C96" i="9"/>
  <c r="B96" i="9"/>
  <c r="K95" i="9"/>
  <c r="J95" i="9"/>
  <c r="I95" i="9"/>
  <c r="H95" i="9"/>
  <c r="G95" i="9"/>
  <c r="F95" i="9"/>
  <c r="E95" i="9"/>
  <c r="D95" i="9"/>
  <c r="C95" i="9"/>
  <c r="B95" i="9"/>
  <c r="K94" i="9"/>
  <c r="J94" i="9"/>
  <c r="I94" i="9"/>
  <c r="H94" i="9"/>
  <c r="G94" i="9"/>
  <c r="F94" i="9"/>
  <c r="E94" i="9"/>
  <c r="D94" i="9"/>
  <c r="C94" i="9"/>
  <c r="B94" i="9"/>
  <c r="K93" i="9"/>
  <c r="J93" i="9"/>
  <c r="I93" i="9"/>
  <c r="H93" i="9"/>
  <c r="G93" i="9"/>
  <c r="F93" i="9"/>
  <c r="E93" i="9"/>
  <c r="D93" i="9"/>
  <c r="C93" i="9"/>
  <c r="B93" i="9"/>
  <c r="K92" i="9"/>
  <c r="J92" i="9"/>
  <c r="I92" i="9"/>
  <c r="H92" i="9"/>
  <c r="G92" i="9"/>
  <c r="F92" i="9"/>
  <c r="E92" i="9"/>
  <c r="D92" i="9"/>
  <c r="C92" i="9"/>
  <c r="B92" i="9"/>
  <c r="K91" i="9"/>
  <c r="J91" i="9"/>
  <c r="I91" i="9"/>
  <c r="H91" i="9"/>
  <c r="G91" i="9"/>
  <c r="F91" i="9"/>
  <c r="E91" i="9"/>
  <c r="D91" i="9"/>
  <c r="C91" i="9"/>
  <c r="B91" i="9"/>
  <c r="K90" i="9"/>
  <c r="J90" i="9"/>
  <c r="I90" i="9"/>
  <c r="H90" i="9"/>
  <c r="G90" i="9"/>
  <c r="F90" i="9"/>
  <c r="E90" i="9"/>
  <c r="D90" i="9"/>
  <c r="C90" i="9"/>
  <c r="B90" i="9"/>
  <c r="K89" i="9"/>
  <c r="J89" i="9"/>
  <c r="I89" i="9"/>
  <c r="H89" i="9"/>
  <c r="G89" i="9"/>
  <c r="F89" i="9"/>
  <c r="E89" i="9"/>
  <c r="D89" i="9"/>
  <c r="C89" i="9"/>
  <c r="B89" i="9"/>
  <c r="K88" i="9"/>
  <c r="J88" i="9"/>
  <c r="I88" i="9"/>
  <c r="H88" i="9"/>
  <c r="G88" i="9"/>
  <c r="F88" i="9"/>
  <c r="E88" i="9"/>
  <c r="D88" i="9"/>
  <c r="C88" i="9"/>
  <c r="B88" i="9"/>
  <c r="K87" i="9"/>
  <c r="J87" i="9"/>
  <c r="I87" i="9"/>
  <c r="H87" i="9"/>
  <c r="G87" i="9"/>
  <c r="F87" i="9"/>
  <c r="E87" i="9"/>
  <c r="D87" i="9"/>
  <c r="C87" i="9"/>
  <c r="B87" i="9"/>
  <c r="K86" i="9"/>
  <c r="J86" i="9"/>
  <c r="I86" i="9"/>
  <c r="H86" i="9"/>
  <c r="G86" i="9"/>
  <c r="F86" i="9"/>
  <c r="E86" i="9"/>
  <c r="D86" i="9"/>
  <c r="C86" i="9"/>
  <c r="B86" i="9"/>
  <c r="AK85" i="9"/>
  <c r="AJ85" i="9"/>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C85" i="9"/>
  <c r="B85" i="9"/>
  <c r="K80" i="9"/>
  <c r="J80" i="9"/>
  <c r="I80" i="9"/>
  <c r="H80" i="9"/>
  <c r="G80" i="9"/>
  <c r="F80" i="9"/>
  <c r="E80" i="9"/>
  <c r="D80" i="9"/>
  <c r="C80" i="9"/>
  <c r="B80" i="9"/>
  <c r="K79" i="9"/>
  <c r="J79" i="9"/>
  <c r="I79" i="9"/>
  <c r="H79" i="9"/>
  <c r="G79" i="9"/>
  <c r="F79" i="9"/>
  <c r="E79" i="9"/>
  <c r="D79" i="9"/>
  <c r="C79" i="9"/>
  <c r="B79" i="9"/>
  <c r="K78" i="9"/>
  <c r="J78" i="9"/>
  <c r="I78" i="9"/>
  <c r="H78" i="9"/>
  <c r="G78" i="9"/>
  <c r="F78" i="9"/>
  <c r="E78" i="9"/>
  <c r="D78" i="9"/>
  <c r="C78" i="9"/>
  <c r="B78" i="9"/>
  <c r="K77" i="9"/>
  <c r="J77" i="9"/>
  <c r="I77" i="9"/>
  <c r="H77" i="9"/>
  <c r="G77" i="9"/>
  <c r="F77" i="9"/>
  <c r="E77" i="9"/>
  <c r="D77" i="9"/>
  <c r="C77" i="9"/>
  <c r="B77" i="9"/>
  <c r="K76" i="9"/>
  <c r="J76" i="9"/>
  <c r="I76" i="9"/>
  <c r="H76" i="9"/>
  <c r="G76" i="9"/>
  <c r="F76" i="9"/>
  <c r="E76" i="9"/>
  <c r="D76" i="9"/>
  <c r="C76" i="9"/>
  <c r="B76" i="9"/>
  <c r="K75" i="9"/>
  <c r="J75" i="9"/>
  <c r="I75" i="9"/>
  <c r="H75" i="9"/>
  <c r="G75" i="9"/>
  <c r="F75" i="9"/>
  <c r="E75" i="9"/>
  <c r="D75" i="9"/>
  <c r="C75" i="9"/>
  <c r="B75" i="9"/>
  <c r="K74" i="9"/>
  <c r="J74" i="9"/>
  <c r="I74" i="9"/>
  <c r="H74" i="9"/>
  <c r="G74" i="9"/>
  <c r="F74" i="9"/>
  <c r="E74" i="9"/>
  <c r="D74" i="9"/>
  <c r="C74" i="9"/>
  <c r="B74" i="9"/>
  <c r="K73" i="9"/>
  <c r="J73" i="9"/>
  <c r="I73" i="9"/>
  <c r="H73" i="9"/>
  <c r="G73" i="9"/>
  <c r="F73" i="9"/>
  <c r="E73" i="9"/>
  <c r="D73" i="9"/>
  <c r="D81" i="9" s="1"/>
  <c r="D7" i="9" s="1"/>
  <c r="C73" i="9"/>
  <c r="B73" i="9"/>
  <c r="K72" i="9"/>
  <c r="J72" i="9"/>
  <c r="I72" i="9"/>
  <c r="H72" i="9"/>
  <c r="G72" i="9"/>
  <c r="F72" i="9"/>
  <c r="E72" i="9"/>
  <c r="D72" i="9"/>
  <c r="C72" i="9"/>
  <c r="B72" i="9"/>
  <c r="K71" i="9"/>
  <c r="J71" i="9"/>
  <c r="I71" i="9"/>
  <c r="H71" i="9"/>
  <c r="G71" i="9"/>
  <c r="F71" i="9"/>
  <c r="E71" i="9"/>
  <c r="D71" i="9"/>
  <c r="C71" i="9"/>
  <c r="B71" i="9"/>
  <c r="K70" i="9"/>
  <c r="K81" i="9" s="1"/>
  <c r="K7" i="9" s="1"/>
  <c r="J70" i="9"/>
  <c r="J81" i="9" s="1"/>
  <c r="J7" i="9" s="1"/>
  <c r="I70" i="9"/>
  <c r="H70" i="9"/>
  <c r="G70" i="9"/>
  <c r="F70" i="9"/>
  <c r="E70" i="9"/>
  <c r="D70" i="9"/>
  <c r="C70" i="9"/>
  <c r="B70" i="9"/>
  <c r="K69" i="9"/>
  <c r="J69" i="9"/>
  <c r="I69" i="9"/>
  <c r="H69" i="9"/>
  <c r="G69" i="9"/>
  <c r="F69" i="9"/>
  <c r="E69" i="9"/>
  <c r="D69" i="9"/>
  <c r="C69" i="9"/>
  <c r="B69" i="9"/>
  <c r="B81" i="9" s="1"/>
  <c r="B7" i="9" s="1"/>
  <c r="B14" i="5" s="1"/>
  <c r="B16" i="5" s="1"/>
  <c r="AK68" i="9"/>
  <c r="AJ68" i="9"/>
  <c r="AI68" i="9"/>
  <c r="AH68" i="9"/>
  <c r="AG68" i="9"/>
  <c r="AF68" i="9"/>
  <c r="AE68" i="9"/>
  <c r="AD68" i="9"/>
  <c r="AC68" i="9"/>
  <c r="AB68" i="9"/>
  <c r="AA68" i="9"/>
  <c r="Z68" i="9"/>
  <c r="Y68" i="9"/>
  <c r="X68" i="9"/>
  <c r="W68" i="9"/>
  <c r="V68" i="9"/>
  <c r="U68" i="9"/>
  <c r="T68" i="9"/>
  <c r="S68" i="9"/>
  <c r="R68" i="9"/>
  <c r="Q68" i="9"/>
  <c r="P68" i="9"/>
  <c r="O68" i="9"/>
  <c r="N68" i="9"/>
  <c r="M68" i="9"/>
  <c r="L68" i="9"/>
  <c r="K68" i="9"/>
  <c r="J68" i="9"/>
  <c r="I68" i="9"/>
  <c r="H68" i="9"/>
  <c r="G68" i="9"/>
  <c r="F68" i="9"/>
  <c r="E68" i="9"/>
  <c r="D68" i="9"/>
  <c r="C68" i="9"/>
  <c r="B68" i="9"/>
  <c r="K64" i="9"/>
  <c r="J64" i="9"/>
  <c r="I64" i="9"/>
  <c r="H64" i="9"/>
  <c r="G64" i="9"/>
  <c r="F64" i="9"/>
  <c r="K63" i="9"/>
  <c r="J63" i="9"/>
  <c r="I63" i="9"/>
  <c r="H63" i="9"/>
  <c r="G63" i="9"/>
  <c r="F63" i="9"/>
  <c r="K62" i="9"/>
  <c r="J62" i="9"/>
  <c r="I62" i="9"/>
  <c r="H62" i="9"/>
  <c r="G62" i="9"/>
  <c r="F62" i="9"/>
  <c r="K61" i="9"/>
  <c r="J61" i="9"/>
  <c r="I61" i="9"/>
  <c r="H61" i="9"/>
  <c r="G61" i="9"/>
  <c r="F61" i="9"/>
  <c r="K60" i="9"/>
  <c r="J60" i="9"/>
  <c r="I60" i="9"/>
  <c r="H60" i="9"/>
  <c r="G60" i="9"/>
  <c r="F60" i="9"/>
  <c r="K59" i="9"/>
  <c r="J59" i="9"/>
  <c r="I59" i="9"/>
  <c r="H59" i="9"/>
  <c r="G59" i="9"/>
  <c r="F59" i="9"/>
  <c r="K58" i="9"/>
  <c r="J58" i="9"/>
  <c r="I58" i="9"/>
  <c r="H58" i="9"/>
  <c r="G58" i="9"/>
  <c r="F58" i="9"/>
  <c r="K57" i="9"/>
  <c r="J57" i="9"/>
  <c r="I57" i="9"/>
  <c r="H57" i="9"/>
  <c r="G57" i="9"/>
  <c r="F57" i="9"/>
  <c r="K56" i="9"/>
  <c r="J56" i="9"/>
  <c r="I56" i="9"/>
  <c r="H56" i="9"/>
  <c r="G56" i="9"/>
  <c r="F56" i="9"/>
  <c r="K55" i="9"/>
  <c r="J55" i="9"/>
  <c r="I55" i="9"/>
  <c r="H55" i="9"/>
  <c r="G55" i="9"/>
  <c r="F55" i="9"/>
  <c r="K54" i="9"/>
  <c r="J54" i="9"/>
  <c r="I54" i="9"/>
  <c r="H54" i="9"/>
  <c r="G54" i="9"/>
  <c r="F54" i="9"/>
  <c r="K53" i="9"/>
  <c r="J53" i="9"/>
  <c r="I53" i="9"/>
  <c r="H53" i="9"/>
  <c r="G53" i="9"/>
  <c r="F53" i="9"/>
  <c r="AG52" i="9"/>
  <c r="AF52" i="9"/>
  <c r="AE52" i="9"/>
  <c r="AC52" i="9"/>
  <c r="AB52" i="9"/>
  <c r="AA52" i="9"/>
  <c r="Z52" i="9"/>
  <c r="Y52" i="9"/>
  <c r="X52" i="9"/>
  <c r="T52" i="9"/>
  <c r="S52" i="9"/>
  <c r="K52" i="9"/>
  <c r="J52" i="9"/>
  <c r="G52" i="9"/>
  <c r="F52" i="9"/>
  <c r="E52" i="9"/>
  <c r="D52" i="9"/>
  <c r="C52" i="9"/>
  <c r="B52" i="9"/>
  <c r="K48" i="9"/>
  <c r="J48" i="9"/>
  <c r="I48" i="9"/>
  <c r="H48" i="9"/>
  <c r="G48" i="9"/>
  <c r="F48" i="9"/>
  <c r="K47" i="9"/>
  <c r="J47" i="9"/>
  <c r="I47" i="9"/>
  <c r="H47" i="9"/>
  <c r="G47" i="9"/>
  <c r="F47" i="9"/>
  <c r="K46" i="9"/>
  <c r="J46" i="9"/>
  <c r="I46" i="9"/>
  <c r="H46" i="9"/>
  <c r="G46" i="9"/>
  <c r="F46" i="9"/>
  <c r="K45" i="9"/>
  <c r="J45" i="9"/>
  <c r="I45" i="9"/>
  <c r="H45" i="9"/>
  <c r="G45" i="9"/>
  <c r="F45" i="9"/>
  <c r="K44" i="9"/>
  <c r="J44" i="9"/>
  <c r="I44" i="9"/>
  <c r="H44" i="9"/>
  <c r="G44" i="9"/>
  <c r="F44" i="9"/>
  <c r="K43" i="9"/>
  <c r="J43" i="9"/>
  <c r="I43" i="9"/>
  <c r="H43" i="9"/>
  <c r="G43" i="9"/>
  <c r="F43" i="9"/>
  <c r="K42" i="9"/>
  <c r="J42" i="9"/>
  <c r="I42" i="9"/>
  <c r="H42" i="9"/>
  <c r="G42" i="9"/>
  <c r="F42" i="9"/>
  <c r="K41" i="9"/>
  <c r="J41" i="9"/>
  <c r="I41" i="9"/>
  <c r="H41" i="9"/>
  <c r="G41" i="9"/>
  <c r="F41" i="9"/>
  <c r="K40" i="9"/>
  <c r="J40" i="9"/>
  <c r="I40" i="9"/>
  <c r="H40" i="9"/>
  <c r="G40" i="9"/>
  <c r="F40" i="9"/>
  <c r="K39" i="9"/>
  <c r="J39" i="9"/>
  <c r="I39" i="9"/>
  <c r="H39" i="9"/>
  <c r="G39" i="9"/>
  <c r="F39" i="9"/>
  <c r="K38" i="9"/>
  <c r="J38" i="9"/>
  <c r="I38" i="9"/>
  <c r="H38" i="9"/>
  <c r="G38" i="9"/>
  <c r="F38" i="9"/>
  <c r="K37" i="9"/>
  <c r="K49" i="9" s="1"/>
  <c r="K5" i="9" s="1"/>
  <c r="J37" i="9"/>
  <c r="I37" i="9"/>
  <c r="H37" i="9"/>
  <c r="H49" i="9" s="1"/>
  <c r="H5" i="9" s="1"/>
  <c r="G37" i="9"/>
  <c r="F37" i="9"/>
  <c r="AK36" i="9"/>
  <c r="AK52" i="9" s="1"/>
  <c r="AJ36" i="9"/>
  <c r="AJ52" i="9" s="1"/>
  <c r="AI36" i="9"/>
  <c r="AI52" i="9" s="1"/>
  <c r="AH36" i="9"/>
  <c r="AH52" i="9" s="1"/>
  <c r="AG36" i="9"/>
  <c r="AF36" i="9"/>
  <c r="AE36" i="9"/>
  <c r="AD36" i="9"/>
  <c r="AD52" i="9" s="1"/>
  <c r="AC36" i="9"/>
  <c r="AB36" i="9"/>
  <c r="AA36" i="9"/>
  <c r="Z36" i="9"/>
  <c r="Y36" i="9"/>
  <c r="X36" i="9"/>
  <c r="W36" i="9"/>
  <c r="W52" i="9" s="1"/>
  <c r="V36" i="9"/>
  <c r="V52" i="9" s="1"/>
  <c r="U36" i="9"/>
  <c r="U52" i="9" s="1"/>
  <c r="T36" i="9"/>
  <c r="S36" i="9"/>
  <c r="R36" i="9"/>
  <c r="R52" i="9" s="1"/>
  <c r="Q36" i="9"/>
  <c r="Q52" i="9" s="1"/>
  <c r="P36" i="9"/>
  <c r="P52" i="9" s="1"/>
  <c r="O36" i="9"/>
  <c r="O52" i="9" s="1"/>
  <c r="N36" i="9"/>
  <c r="N52" i="9" s="1"/>
  <c r="M36" i="9"/>
  <c r="M52" i="9" s="1"/>
  <c r="L36" i="9"/>
  <c r="L52" i="9" s="1"/>
  <c r="K36" i="9"/>
  <c r="J36" i="9"/>
  <c r="I36" i="9"/>
  <c r="I52" i="9" s="1"/>
  <c r="H36" i="9"/>
  <c r="H52" i="9" s="1"/>
  <c r="G36" i="9"/>
  <c r="F36" i="9"/>
  <c r="E36" i="9"/>
  <c r="D36" i="9"/>
  <c r="C36" i="9"/>
  <c r="B36" i="9"/>
  <c r="D33" i="9"/>
  <c r="D4" i="9" s="1"/>
  <c r="D6" i="9" s="1"/>
  <c r="K32" i="9"/>
  <c r="J32" i="9"/>
  <c r="I32" i="9"/>
  <c r="H32" i="9"/>
  <c r="G32" i="9"/>
  <c r="F32" i="9"/>
  <c r="E32" i="9"/>
  <c r="D32" i="9"/>
  <c r="C32" i="9"/>
  <c r="B32" i="9"/>
  <c r="K31" i="9"/>
  <c r="J31" i="9"/>
  <c r="I31" i="9"/>
  <c r="H31" i="9"/>
  <c r="G31" i="9"/>
  <c r="F31" i="9"/>
  <c r="E31" i="9"/>
  <c r="D31" i="9"/>
  <c r="C31" i="9"/>
  <c r="B31" i="9"/>
  <c r="K30" i="9"/>
  <c r="J30" i="9"/>
  <c r="I30" i="9"/>
  <c r="H30" i="9"/>
  <c r="G30" i="9"/>
  <c r="F30" i="9"/>
  <c r="E30" i="9"/>
  <c r="D30" i="9"/>
  <c r="C30" i="9"/>
  <c r="B30" i="9"/>
  <c r="K29" i="9"/>
  <c r="J29" i="9"/>
  <c r="I29" i="9"/>
  <c r="H29" i="9"/>
  <c r="G29" i="9"/>
  <c r="F29" i="9"/>
  <c r="E29" i="9"/>
  <c r="D29" i="9"/>
  <c r="C29" i="9"/>
  <c r="C33" i="9" s="1"/>
  <c r="C4" i="9" s="1"/>
  <c r="C6" i="9" s="1"/>
  <c r="B29" i="9"/>
  <c r="B33" i="9" s="1"/>
  <c r="B4" i="9" s="1"/>
  <c r="B6" i="9" s="1"/>
  <c r="K28" i="9"/>
  <c r="J28" i="9"/>
  <c r="I28" i="9"/>
  <c r="H28" i="9"/>
  <c r="G28" i="9"/>
  <c r="F28" i="9"/>
  <c r="E28" i="9"/>
  <c r="D28" i="9"/>
  <c r="C28" i="9"/>
  <c r="B28" i="9"/>
  <c r="K27" i="9"/>
  <c r="J27" i="9"/>
  <c r="I27" i="9"/>
  <c r="H27" i="9"/>
  <c r="G27" i="9"/>
  <c r="F27" i="9"/>
  <c r="E27" i="9"/>
  <c r="D27" i="9"/>
  <c r="C27" i="9"/>
  <c r="B27" i="9"/>
  <c r="K26" i="9"/>
  <c r="J26" i="9"/>
  <c r="I26" i="9"/>
  <c r="H26" i="9"/>
  <c r="G26" i="9"/>
  <c r="F26" i="9"/>
  <c r="E26" i="9"/>
  <c r="D26" i="9"/>
  <c r="C26" i="9"/>
  <c r="B26" i="9"/>
  <c r="K25" i="9"/>
  <c r="J25" i="9"/>
  <c r="I25" i="9"/>
  <c r="H25" i="9"/>
  <c r="G25" i="9"/>
  <c r="F25" i="9"/>
  <c r="E25" i="9"/>
  <c r="D25" i="9"/>
  <c r="C25" i="9"/>
  <c r="B25" i="9"/>
  <c r="K24" i="9"/>
  <c r="J24" i="9"/>
  <c r="I24" i="9"/>
  <c r="H24" i="9"/>
  <c r="G24" i="9"/>
  <c r="F24" i="9"/>
  <c r="E24" i="9"/>
  <c r="D24" i="9"/>
  <c r="C24" i="9"/>
  <c r="B24" i="9"/>
  <c r="K23" i="9"/>
  <c r="J23" i="9"/>
  <c r="I23" i="9"/>
  <c r="H23" i="9"/>
  <c r="G23" i="9"/>
  <c r="F23" i="9"/>
  <c r="E23" i="9"/>
  <c r="D23" i="9"/>
  <c r="C23" i="9"/>
  <c r="B23" i="9"/>
  <c r="K22" i="9"/>
  <c r="J22" i="9"/>
  <c r="I22" i="9"/>
  <c r="H22" i="9"/>
  <c r="G22" i="9"/>
  <c r="F22" i="9"/>
  <c r="E22" i="9"/>
  <c r="D22" i="9"/>
  <c r="C22" i="9"/>
  <c r="B22" i="9"/>
  <c r="K21" i="9"/>
  <c r="J21" i="9"/>
  <c r="I21" i="9"/>
  <c r="H21" i="9"/>
  <c r="G21" i="9"/>
  <c r="F21" i="9"/>
  <c r="F33" i="9" s="1"/>
  <c r="F4" i="9" s="1"/>
  <c r="E21" i="9"/>
  <c r="E33" i="9" s="1"/>
  <c r="E4" i="9" s="1"/>
  <c r="E6" i="9" s="1"/>
  <c r="D21" i="9"/>
  <c r="C21" i="9"/>
  <c r="B21" i="9"/>
  <c r="AK20" i="9"/>
  <c r="AJ20" i="9"/>
  <c r="AI20" i="9"/>
  <c r="AH20" i="9"/>
  <c r="AG20" i="9"/>
  <c r="AF20" i="9"/>
  <c r="AE20" i="9"/>
  <c r="AD20" i="9"/>
  <c r="AC20" i="9"/>
  <c r="AB20" i="9"/>
  <c r="AA20" i="9"/>
  <c r="Z20" i="9"/>
  <c r="Y20" i="9"/>
  <c r="X20" i="9"/>
  <c r="W20" i="9"/>
  <c r="V20" i="9"/>
  <c r="U20" i="9"/>
  <c r="T20" i="9"/>
  <c r="S20" i="9"/>
  <c r="R20" i="9"/>
  <c r="Q20" i="9"/>
  <c r="P20" i="9"/>
  <c r="O20" i="9"/>
  <c r="N20" i="9"/>
  <c r="M20" i="9"/>
  <c r="L20" i="9"/>
  <c r="K20" i="9"/>
  <c r="J20" i="9"/>
  <c r="I20" i="9"/>
  <c r="H20" i="9"/>
  <c r="G20" i="9"/>
  <c r="F20" i="9"/>
  <c r="E20" i="9"/>
  <c r="D20" i="9"/>
  <c r="C20" i="9"/>
  <c r="B20" i="9"/>
  <c r="H17" i="9"/>
  <c r="G17" i="9"/>
  <c r="F17" i="9"/>
  <c r="E17" i="9"/>
  <c r="D17" i="9"/>
  <c r="C17" i="9"/>
  <c r="I16" i="9"/>
  <c r="K11" i="9"/>
  <c r="L3" i="9" s="1"/>
  <c r="J11" i="9"/>
  <c r="K3" i="9" s="1"/>
  <c r="I11" i="9"/>
  <c r="J3" i="9" s="1"/>
  <c r="H11" i="9"/>
  <c r="I3" i="9" s="1"/>
  <c r="F11" i="9"/>
  <c r="D11" i="9"/>
  <c r="E3" i="9" s="1"/>
  <c r="C11" i="9"/>
  <c r="B11" i="9"/>
  <c r="B10" i="9"/>
  <c r="E9" i="9"/>
  <c r="D9" i="9"/>
  <c r="C9" i="9"/>
  <c r="B9" i="9"/>
  <c r="E5" i="9"/>
  <c r="D5" i="9"/>
  <c r="C5" i="9"/>
  <c r="B5" i="9"/>
  <c r="G3" i="9"/>
  <c r="D3" i="9"/>
  <c r="C3" i="9"/>
  <c r="H96" i="8"/>
  <c r="G96" i="8"/>
  <c r="F96" i="8"/>
  <c r="E96" i="8"/>
  <c r="D96" i="8"/>
  <c r="C96" i="8"/>
  <c r="B96" i="8"/>
  <c r="H95" i="8"/>
  <c r="G95" i="8"/>
  <c r="F95" i="8"/>
  <c r="E95" i="8"/>
  <c r="D95" i="8"/>
  <c r="C95" i="8"/>
  <c r="B95" i="8"/>
  <c r="H94" i="8"/>
  <c r="G94" i="8"/>
  <c r="F94" i="8"/>
  <c r="E94" i="8"/>
  <c r="D94" i="8"/>
  <c r="I94" i="8" s="1"/>
  <c r="C94" i="8"/>
  <c r="B94" i="8"/>
  <c r="H93" i="8"/>
  <c r="G93" i="8"/>
  <c r="F93" i="8"/>
  <c r="E93" i="8"/>
  <c r="D93" i="8"/>
  <c r="C93" i="8"/>
  <c r="B93" i="8"/>
  <c r="H92" i="8"/>
  <c r="G92" i="8"/>
  <c r="I92" i="8" s="1"/>
  <c r="F92" i="8"/>
  <c r="E92" i="8"/>
  <c r="D92" i="8"/>
  <c r="C92" i="8"/>
  <c r="B92" i="8"/>
  <c r="H91" i="8"/>
  <c r="G91" i="8"/>
  <c r="F91" i="8"/>
  <c r="E91" i="8"/>
  <c r="D91" i="8"/>
  <c r="C91" i="8"/>
  <c r="B91" i="8"/>
  <c r="H90" i="8"/>
  <c r="G90" i="8"/>
  <c r="F90" i="8"/>
  <c r="E90" i="8"/>
  <c r="D90" i="8"/>
  <c r="C90" i="8"/>
  <c r="B90" i="8"/>
  <c r="I89" i="8"/>
  <c r="H89" i="8"/>
  <c r="G89" i="8"/>
  <c r="F89" i="8"/>
  <c r="E89" i="8"/>
  <c r="D89" i="8"/>
  <c r="C89" i="8"/>
  <c r="B89" i="8"/>
  <c r="H88" i="8"/>
  <c r="G88" i="8"/>
  <c r="F88" i="8"/>
  <c r="E88" i="8"/>
  <c r="D88" i="8"/>
  <c r="C88" i="8"/>
  <c r="B88" i="8"/>
  <c r="J87" i="8"/>
  <c r="H87" i="8"/>
  <c r="G87" i="8"/>
  <c r="F87" i="8"/>
  <c r="E87" i="8"/>
  <c r="D87" i="8"/>
  <c r="I87" i="8" s="1"/>
  <c r="C87" i="8"/>
  <c r="B87" i="8"/>
  <c r="H86" i="8"/>
  <c r="G86" i="8"/>
  <c r="F86" i="8"/>
  <c r="E86" i="8"/>
  <c r="D86" i="8"/>
  <c r="C86" i="8"/>
  <c r="B86" i="8"/>
  <c r="J85" i="8"/>
  <c r="H85" i="8"/>
  <c r="G85" i="8"/>
  <c r="F85" i="8"/>
  <c r="E85" i="8"/>
  <c r="D85" i="8"/>
  <c r="I85" i="8" s="1"/>
  <c r="K85" i="8" s="1"/>
  <c r="C85" i="8"/>
  <c r="B85"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C84" i="8"/>
  <c r="B84" i="8"/>
  <c r="H80" i="8"/>
  <c r="G80" i="8"/>
  <c r="F80" i="8"/>
  <c r="E80" i="8"/>
  <c r="D80" i="8"/>
  <c r="C80" i="8"/>
  <c r="B80" i="8"/>
  <c r="H79" i="8"/>
  <c r="G79" i="8"/>
  <c r="F79" i="8"/>
  <c r="E79" i="8"/>
  <c r="D79" i="8"/>
  <c r="C79" i="8"/>
  <c r="B79" i="8"/>
  <c r="H78" i="8"/>
  <c r="G78" i="8"/>
  <c r="F78" i="8"/>
  <c r="E78" i="8"/>
  <c r="D78" i="8"/>
  <c r="C78" i="8"/>
  <c r="B78" i="8"/>
  <c r="H77" i="8"/>
  <c r="G77" i="8"/>
  <c r="F77" i="8"/>
  <c r="E77" i="8"/>
  <c r="D77" i="8"/>
  <c r="C77" i="8"/>
  <c r="B77" i="8"/>
  <c r="H76" i="8"/>
  <c r="G76" i="8"/>
  <c r="F76" i="8"/>
  <c r="E76" i="8"/>
  <c r="D76" i="8"/>
  <c r="C76" i="8"/>
  <c r="B76" i="8"/>
  <c r="H75" i="8"/>
  <c r="G75" i="8"/>
  <c r="F75" i="8"/>
  <c r="E75" i="8"/>
  <c r="D75" i="8"/>
  <c r="C75" i="8"/>
  <c r="B75" i="8"/>
  <c r="H74" i="8"/>
  <c r="G74" i="8"/>
  <c r="F74" i="8"/>
  <c r="E74" i="8"/>
  <c r="D74" i="8"/>
  <c r="C74" i="8"/>
  <c r="B74" i="8"/>
  <c r="H73" i="8"/>
  <c r="G73" i="8"/>
  <c r="F73" i="8"/>
  <c r="E73" i="8"/>
  <c r="D73" i="8"/>
  <c r="C73" i="8"/>
  <c r="B73" i="8"/>
  <c r="H72" i="8"/>
  <c r="G72" i="8"/>
  <c r="F72" i="8"/>
  <c r="E72" i="8"/>
  <c r="D72" i="8"/>
  <c r="C72" i="8"/>
  <c r="B72" i="8"/>
  <c r="H71" i="8"/>
  <c r="G71" i="8"/>
  <c r="F71" i="8"/>
  <c r="E71" i="8"/>
  <c r="D71" i="8"/>
  <c r="C71" i="8"/>
  <c r="B71" i="8"/>
  <c r="H70" i="8"/>
  <c r="G70" i="8"/>
  <c r="F70" i="8"/>
  <c r="E70" i="8"/>
  <c r="D70" i="8"/>
  <c r="C70" i="8"/>
  <c r="B70" i="8"/>
  <c r="H69" i="8"/>
  <c r="G69" i="8"/>
  <c r="F69" i="8"/>
  <c r="E69" i="8"/>
  <c r="D69" i="8"/>
  <c r="C69" i="8"/>
  <c r="B69" i="8"/>
  <c r="AH68" i="8"/>
  <c r="AG68" i="8"/>
  <c r="AF68" i="8"/>
  <c r="AE68" i="8"/>
  <c r="AD68" i="8"/>
  <c r="AC68" i="8"/>
  <c r="AB68" i="8"/>
  <c r="AA68" i="8"/>
  <c r="Z68" i="8"/>
  <c r="Y68" i="8"/>
  <c r="X68" i="8"/>
  <c r="W68" i="8"/>
  <c r="V68" i="8"/>
  <c r="U68" i="8"/>
  <c r="T68" i="8"/>
  <c r="S68" i="8"/>
  <c r="R68" i="8"/>
  <c r="Q68" i="8"/>
  <c r="P68" i="8"/>
  <c r="O68" i="8"/>
  <c r="N68" i="8"/>
  <c r="M68" i="8"/>
  <c r="L68" i="8"/>
  <c r="K68" i="8"/>
  <c r="J68" i="8"/>
  <c r="I68" i="8"/>
  <c r="H68" i="8"/>
  <c r="G68" i="8"/>
  <c r="F68" i="8"/>
  <c r="E68" i="8"/>
  <c r="D68" i="8"/>
  <c r="C68" i="8"/>
  <c r="B68" i="8"/>
  <c r="G65" i="8"/>
  <c r="G10" i="8" s="1"/>
  <c r="B65" i="8"/>
  <c r="H64" i="8"/>
  <c r="G64" i="8"/>
  <c r="F64" i="8"/>
  <c r="E64" i="8"/>
  <c r="D64" i="8"/>
  <c r="C64" i="8"/>
  <c r="H63" i="8"/>
  <c r="G63" i="8"/>
  <c r="F63" i="8"/>
  <c r="E63" i="8"/>
  <c r="D63" i="8"/>
  <c r="C63" i="8"/>
  <c r="H62" i="8"/>
  <c r="G62" i="8"/>
  <c r="F62" i="8"/>
  <c r="E62" i="8"/>
  <c r="D62" i="8"/>
  <c r="C62" i="8"/>
  <c r="H61" i="8"/>
  <c r="G61" i="8"/>
  <c r="F61" i="8"/>
  <c r="E61" i="8"/>
  <c r="D61" i="8"/>
  <c r="C61" i="8"/>
  <c r="H60" i="8"/>
  <c r="G60" i="8"/>
  <c r="F60" i="8"/>
  <c r="F65" i="8" s="1"/>
  <c r="E60" i="8"/>
  <c r="D60" i="8"/>
  <c r="C60" i="8"/>
  <c r="C65" i="8" s="1"/>
  <c r="C10" i="8" s="1"/>
  <c r="H59" i="8"/>
  <c r="G59" i="8"/>
  <c r="F59" i="8"/>
  <c r="E59" i="8"/>
  <c r="D59" i="8"/>
  <c r="C59" i="8"/>
  <c r="H58" i="8"/>
  <c r="G58" i="8"/>
  <c r="F58" i="8"/>
  <c r="E58" i="8"/>
  <c r="D58" i="8"/>
  <c r="C58" i="8"/>
  <c r="H57" i="8"/>
  <c r="G57" i="8"/>
  <c r="F57" i="8"/>
  <c r="E57" i="8"/>
  <c r="D57" i="8"/>
  <c r="C57" i="8"/>
  <c r="H56" i="8"/>
  <c r="G56" i="8"/>
  <c r="F56" i="8"/>
  <c r="E56" i="8"/>
  <c r="D56" i="8"/>
  <c r="C56" i="8"/>
  <c r="H55" i="8"/>
  <c r="G55" i="8"/>
  <c r="F55" i="8"/>
  <c r="E55" i="8"/>
  <c r="D55" i="8"/>
  <c r="D65" i="8" s="1"/>
  <c r="D10" i="8" s="1"/>
  <c r="C55" i="8"/>
  <c r="H54" i="8"/>
  <c r="G54" i="8"/>
  <c r="F54" i="8"/>
  <c r="E54" i="8"/>
  <c r="D54" i="8"/>
  <c r="C54" i="8"/>
  <c r="H53" i="8"/>
  <c r="H65" i="8" s="1"/>
  <c r="G53" i="8"/>
  <c r="F53" i="8"/>
  <c r="E53" i="8"/>
  <c r="D53" i="8"/>
  <c r="C53" i="8"/>
  <c r="AH52" i="8"/>
  <c r="AG52" i="8"/>
  <c r="AF52" i="8"/>
  <c r="AE52" i="8"/>
  <c r="AD52" i="8"/>
  <c r="AC52" i="8"/>
  <c r="AB52" i="8"/>
  <c r="AA52" i="8"/>
  <c r="Z52" i="8"/>
  <c r="Y52" i="8"/>
  <c r="X52" i="8"/>
  <c r="W52" i="8"/>
  <c r="V52" i="8"/>
  <c r="U52" i="8"/>
  <c r="T52" i="8"/>
  <c r="S52" i="8"/>
  <c r="R52" i="8"/>
  <c r="Q52" i="8"/>
  <c r="P52" i="8"/>
  <c r="O52" i="8"/>
  <c r="N52" i="8"/>
  <c r="M52" i="8"/>
  <c r="L52" i="8"/>
  <c r="K52" i="8"/>
  <c r="J52" i="8"/>
  <c r="I52" i="8"/>
  <c r="H52" i="8"/>
  <c r="G52" i="8"/>
  <c r="F52" i="8"/>
  <c r="E52" i="8"/>
  <c r="D52" i="8"/>
  <c r="C52" i="8"/>
  <c r="B52" i="8"/>
  <c r="B49" i="8"/>
  <c r="H48" i="8"/>
  <c r="G48" i="8"/>
  <c r="F48" i="8"/>
  <c r="E48" i="8"/>
  <c r="D48" i="8"/>
  <c r="C48" i="8"/>
  <c r="H47" i="8"/>
  <c r="G47" i="8"/>
  <c r="F47" i="8"/>
  <c r="E47" i="8"/>
  <c r="D47" i="8"/>
  <c r="C47" i="8"/>
  <c r="H46" i="8"/>
  <c r="G46" i="8"/>
  <c r="F46" i="8"/>
  <c r="E46" i="8"/>
  <c r="D46" i="8"/>
  <c r="C46" i="8"/>
  <c r="H45" i="8"/>
  <c r="G45" i="8"/>
  <c r="F45" i="8"/>
  <c r="E45" i="8"/>
  <c r="D45" i="8"/>
  <c r="C45" i="8"/>
  <c r="H44" i="8"/>
  <c r="G44" i="8"/>
  <c r="F44" i="8"/>
  <c r="E44" i="8"/>
  <c r="D44" i="8"/>
  <c r="C44" i="8"/>
  <c r="H43" i="8"/>
  <c r="G43" i="8"/>
  <c r="F43" i="8"/>
  <c r="E43" i="8"/>
  <c r="D43" i="8"/>
  <c r="C43" i="8"/>
  <c r="H42" i="8"/>
  <c r="G42" i="8"/>
  <c r="F42" i="8"/>
  <c r="E42" i="8"/>
  <c r="D42" i="8"/>
  <c r="C42" i="8"/>
  <c r="H41" i="8"/>
  <c r="G41" i="8"/>
  <c r="F41" i="8"/>
  <c r="E41" i="8"/>
  <c r="D41" i="8"/>
  <c r="C41" i="8"/>
  <c r="H40" i="8"/>
  <c r="G40" i="8"/>
  <c r="F40" i="8"/>
  <c r="E40" i="8"/>
  <c r="D40" i="8"/>
  <c r="C40" i="8"/>
  <c r="H39" i="8"/>
  <c r="G39" i="8"/>
  <c r="F39" i="8"/>
  <c r="E39" i="8"/>
  <c r="D39" i="8"/>
  <c r="C39" i="8"/>
  <c r="H38" i="8"/>
  <c r="G38" i="8"/>
  <c r="F38" i="8"/>
  <c r="E38" i="8"/>
  <c r="E49" i="8" s="1"/>
  <c r="E7" i="8" s="1"/>
  <c r="D38" i="8"/>
  <c r="C38" i="8"/>
  <c r="H37" i="8"/>
  <c r="H49" i="8" s="1"/>
  <c r="G37" i="8"/>
  <c r="G49" i="8" s="1"/>
  <c r="G7" i="8" s="1"/>
  <c r="F37" i="8"/>
  <c r="E37" i="8"/>
  <c r="D37" i="8"/>
  <c r="C37" i="8"/>
  <c r="AF36" i="8"/>
  <c r="AD36" i="8"/>
  <c r="AC36" i="8"/>
  <c r="AB36" i="8"/>
  <c r="AA36" i="8"/>
  <c r="T36" i="8"/>
  <c r="R36" i="8"/>
  <c r="H36" i="8"/>
  <c r="G36" i="8"/>
  <c r="E36" i="8"/>
  <c r="D36" i="8"/>
  <c r="B36" i="8"/>
  <c r="H32" i="8"/>
  <c r="G32" i="8"/>
  <c r="F32" i="8"/>
  <c r="E32" i="8"/>
  <c r="D32" i="8"/>
  <c r="C32" i="8"/>
  <c r="B32" i="8"/>
  <c r="H31" i="8"/>
  <c r="G31" i="8"/>
  <c r="F31" i="8"/>
  <c r="E31" i="8"/>
  <c r="D31" i="8"/>
  <c r="C31" i="8"/>
  <c r="B31" i="8"/>
  <c r="H30" i="8"/>
  <c r="G30" i="8"/>
  <c r="F30" i="8"/>
  <c r="E30" i="8"/>
  <c r="D30" i="8"/>
  <c r="C30" i="8"/>
  <c r="B30" i="8"/>
  <c r="H29" i="8"/>
  <c r="G29" i="8"/>
  <c r="F29" i="8"/>
  <c r="E29" i="8"/>
  <c r="D29" i="8"/>
  <c r="C29" i="8"/>
  <c r="B29" i="8"/>
  <c r="H28" i="8"/>
  <c r="G28" i="8"/>
  <c r="F28" i="8"/>
  <c r="E28" i="8"/>
  <c r="D28" i="8"/>
  <c r="C28" i="8"/>
  <c r="B28" i="8"/>
  <c r="H27" i="8"/>
  <c r="G27" i="8"/>
  <c r="F27" i="8"/>
  <c r="E27" i="8"/>
  <c r="D27" i="8"/>
  <c r="C27" i="8"/>
  <c r="B27" i="8"/>
  <c r="H26" i="8"/>
  <c r="G26" i="8"/>
  <c r="F26" i="8"/>
  <c r="E26" i="8"/>
  <c r="D26" i="8"/>
  <c r="C26" i="8"/>
  <c r="B26" i="8"/>
  <c r="H25" i="8"/>
  <c r="G25" i="8"/>
  <c r="F25" i="8"/>
  <c r="E25" i="8"/>
  <c r="D25" i="8"/>
  <c r="C25" i="8"/>
  <c r="B25" i="8"/>
  <c r="H24" i="8"/>
  <c r="G24" i="8"/>
  <c r="F24" i="8"/>
  <c r="E24" i="8"/>
  <c r="D24" i="8"/>
  <c r="C24" i="8"/>
  <c r="B24" i="8"/>
  <c r="H23" i="8"/>
  <c r="G23" i="8"/>
  <c r="F23" i="8"/>
  <c r="E23" i="8"/>
  <c r="D23" i="8"/>
  <c r="C23" i="8"/>
  <c r="B23" i="8"/>
  <c r="H22" i="8"/>
  <c r="G22" i="8"/>
  <c r="F22" i="8"/>
  <c r="E22" i="8"/>
  <c r="D22" i="8"/>
  <c r="C22" i="8"/>
  <c r="B22" i="8"/>
  <c r="H21" i="8"/>
  <c r="G21" i="8"/>
  <c r="F21" i="8"/>
  <c r="F33" i="8" s="1"/>
  <c r="F6" i="8" s="1"/>
  <c r="E21" i="8"/>
  <c r="E33" i="8" s="1"/>
  <c r="E6" i="8" s="1"/>
  <c r="D21" i="8"/>
  <c r="C21" i="8"/>
  <c r="B21" i="8"/>
  <c r="AH20" i="8"/>
  <c r="AH36" i="8" s="1"/>
  <c r="AG20" i="8"/>
  <c r="AG36" i="8" s="1"/>
  <c r="AF20" i="8"/>
  <c r="AE20" i="8"/>
  <c r="AE36" i="8" s="1"/>
  <c r="AD20" i="8"/>
  <c r="AC20" i="8"/>
  <c r="AB20" i="8"/>
  <c r="AA20" i="8"/>
  <c r="Z20" i="8"/>
  <c r="Z36" i="8" s="1"/>
  <c r="Y20" i="8"/>
  <c r="Y36" i="8" s="1"/>
  <c r="X20" i="8"/>
  <c r="X36" i="8" s="1"/>
  <c r="W20" i="8"/>
  <c r="W36" i="8" s="1"/>
  <c r="V20" i="8"/>
  <c r="V36" i="8" s="1"/>
  <c r="U20" i="8"/>
  <c r="U36" i="8" s="1"/>
  <c r="T20" i="8"/>
  <c r="S20" i="8"/>
  <c r="S36" i="8" s="1"/>
  <c r="R20" i="8"/>
  <c r="Q20" i="8"/>
  <c r="Q36" i="8" s="1"/>
  <c r="P20" i="8"/>
  <c r="P36" i="8" s="1"/>
  <c r="O20" i="8"/>
  <c r="O36" i="8" s="1"/>
  <c r="N20" i="8"/>
  <c r="N36" i="8" s="1"/>
  <c r="M20" i="8"/>
  <c r="M36" i="8" s="1"/>
  <c r="L20" i="8"/>
  <c r="L36" i="8" s="1"/>
  <c r="K20" i="8"/>
  <c r="K36" i="8" s="1"/>
  <c r="J20" i="8"/>
  <c r="J36" i="8" s="1"/>
  <c r="I20" i="8"/>
  <c r="I36" i="8" s="1"/>
  <c r="H20" i="8"/>
  <c r="G20" i="8"/>
  <c r="F20" i="8"/>
  <c r="F36" i="8" s="1"/>
  <c r="E20" i="8"/>
  <c r="D20" i="8"/>
  <c r="C20" i="8"/>
  <c r="C36" i="8" s="1"/>
  <c r="B20" i="8"/>
  <c r="G18" i="8"/>
  <c r="F18" i="8"/>
  <c r="E18" i="8"/>
  <c r="D18" i="8"/>
  <c r="C18" i="8"/>
  <c r="B18" i="8"/>
  <c r="K17" i="8"/>
  <c r="H17" i="8"/>
  <c r="I17" i="8" s="1"/>
  <c r="J17" i="8" s="1"/>
  <c r="K16" i="8"/>
  <c r="J16" i="8"/>
  <c r="I16" i="8"/>
  <c r="H16" i="8"/>
  <c r="H12" i="8"/>
  <c r="G12" i="8"/>
  <c r="H5" i="8" s="1"/>
  <c r="F12" i="8"/>
  <c r="G5" i="8" s="1"/>
  <c r="E12" i="8"/>
  <c r="F5" i="8" s="1"/>
  <c r="D12" i="8"/>
  <c r="E5" i="8" s="1"/>
  <c r="C12" i="8"/>
  <c r="D5" i="8" s="1"/>
  <c r="B12" i="8"/>
  <c r="H10" i="8"/>
  <c r="F10" i="8"/>
  <c r="B10" i="8"/>
  <c r="H7" i="8"/>
  <c r="B7" i="8"/>
  <c r="I5" i="8"/>
  <c r="C5" i="8"/>
  <c r="AH85" i="7"/>
  <c r="AG85" i="7"/>
  <c r="AF85"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H82" i="7"/>
  <c r="AG82" i="7"/>
  <c r="AF82" i="7"/>
  <c r="AE82" i="7"/>
  <c r="AE7" i="7" s="1"/>
  <c r="AD82" i="7"/>
  <c r="AC82" i="7"/>
  <c r="AB82" i="7"/>
  <c r="AB7" i="7" s="1"/>
  <c r="AA82" i="7"/>
  <c r="Z82" i="7"/>
  <c r="Y82" i="7"/>
  <c r="X82" i="7"/>
  <c r="X7" i="7" s="1"/>
  <c r="X8" i="7" s="1"/>
  <c r="X11" i="7" s="1"/>
  <c r="X9" i="7" s="1"/>
  <c r="W82" i="7"/>
  <c r="W7" i="7" s="1"/>
  <c r="V82" i="7"/>
  <c r="V7" i="7" s="1"/>
  <c r="U82" i="7"/>
  <c r="T82" i="7"/>
  <c r="T7" i="7" s="1"/>
  <c r="S82" i="7"/>
  <c r="S7" i="7" s="1"/>
  <c r="R82" i="7"/>
  <c r="R7" i="7" s="1"/>
  <c r="Q82" i="7"/>
  <c r="P82" i="7"/>
  <c r="O82" i="7"/>
  <c r="N82" i="7"/>
  <c r="N7" i="7" s="1"/>
  <c r="M82" i="7"/>
  <c r="L82" i="7"/>
  <c r="K82" i="7"/>
  <c r="K7" i="7" s="1"/>
  <c r="J82" i="7"/>
  <c r="I82" i="7"/>
  <c r="I7" i="7" s="1"/>
  <c r="H82" i="7"/>
  <c r="G82" i="7"/>
  <c r="F82" i="7"/>
  <c r="F7" i="7" s="1"/>
  <c r="E82" i="7"/>
  <c r="D82" i="7"/>
  <c r="C82" i="7"/>
  <c r="B82" i="7"/>
  <c r="B7" i="7" s="1"/>
  <c r="AH69" i="7"/>
  <c r="AG69" i="7"/>
  <c r="AF69" i="7"/>
  <c r="AE69" i="7"/>
  <c r="AD69" i="7"/>
  <c r="AC69" i="7"/>
  <c r="AB69" i="7"/>
  <c r="AA69" i="7"/>
  <c r="Z69" i="7"/>
  <c r="Y69" i="7"/>
  <c r="X69" i="7"/>
  <c r="W69" i="7"/>
  <c r="V69" i="7"/>
  <c r="U69" i="7"/>
  <c r="T69" i="7"/>
  <c r="S69" i="7"/>
  <c r="R69" i="7"/>
  <c r="Q69" i="7"/>
  <c r="P69" i="7"/>
  <c r="O69" i="7"/>
  <c r="N69" i="7"/>
  <c r="M69" i="7"/>
  <c r="L69" i="7"/>
  <c r="K69" i="7"/>
  <c r="J69" i="7"/>
  <c r="I69" i="7"/>
  <c r="H69" i="7"/>
  <c r="G69" i="7"/>
  <c r="F69" i="7"/>
  <c r="E69" i="7"/>
  <c r="D69" i="7"/>
  <c r="C69" i="7"/>
  <c r="B69" i="7"/>
  <c r="AH53" i="7"/>
  <c r="AG53" i="7"/>
  <c r="AF53" i="7"/>
  <c r="AE53" i="7"/>
  <c r="AD53" i="7"/>
  <c r="AC53" i="7"/>
  <c r="AB53" i="7"/>
  <c r="AA53" i="7"/>
  <c r="Z53" i="7"/>
  <c r="Y53" i="7"/>
  <c r="X53" i="7"/>
  <c r="W53" i="7"/>
  <c r="V53" i="7"/>
  <c r="U53" i="7"/>
  <c r="T53" i="7"/>
  <c r="S53" i="7"/>
  <c r="R53" i="7"/>
  <c r="Q53" i="7"/>
  <c r="P53" i="7"/>
  <c r="O53" i="7"/>
  <c r="N53" i="7"/>
  <c r="M53" i="7"/>
  <c r="L53" i="7"/>
  <c r="K53" i="7"/>
  <c r="J53" i="7"/>
  <c r="I53" i="7"/>
  <c r="H53" i="7"/>
  <c r="G53" i="7"/>
  <c r="F53" i="7"/>
  <c r="E53" i="7"/>
  <c r="D53" i="7"/>
  <c r="C53" i="7"/>
  <c r="B53" i="7"/>
  <c r="AH37" i="7"/>
  <c r="AG37" i="7"/>
  <c r="AF37" i="7"/>
  <c r="AE37" i="7"/>
  <c r="AD37" i="7"/>
  <c r="AC37" i="7"/>
  <c r="AB37" i="7"/>
  <c r="AA37" i="7"/>
  <c r="Z37" i="7"/>
  <c r="Y37" i="7"/>
  <c r="X37" i="7"/>
  <c r="V37" i="7"/>
  <c r="Q37" i="7"/>
  <c r="K37" i="7"/>
  <c r="J37" i="7"/>
  <c r="I37" i="7"/>
  <c r="H37" i="7"/>
  <c r="G37" i="7"/>
  <c r="F37" i="7"/>
  <c r="E37" i="7"/>
  <c r="D37" i="7"/>
  <c r="C37" i="7"/>
  <c r="B37" i="7"/>
  <c r="H34" i="7"/>
  <c r="G34" i="7"/>
  <c r="F34" i="7"/>
  <c r="F6" i="7" s="1"/>
  <c r="E34" i="7"/>
  <c r="D34" i="7"/>
  <c r="C34" i="7"/>
  <c r="B34" i="7"/>
  <c r="AD33" i="7"/>
  <c r="AA33" i="7"/>
  <c r="Y33" i="7"/>
  <c r="X33" i="7"/>
  <c r="W33" i="7"/>
  <c r="V33" i="7"/>
  <c r="K33" i="7"/>
  <c r="AH32" i="7"/>
  <c r="AG32" i="7"/>
  <c r="AF32" i="7"/>
  <c r="AD32" i="7"/>
  <c r="AB32" i="7"/>
  <c r="V32" i="7"/>
  <c r="P32" i="7"/>
  <c r="M32" i="7"/>
  <c r="AH31" i="7"/>
  <c r="AD31" i="7"/>
  <c r="AB31" i="7"/>
  <c r="T31" i="7"/>
  <c r="L31" i="7"/>
  <c r="K31" i="7"/>
  <c r="J31" i="7"/>
  <c r="I31" i="7"/>
  <c r="AH30" i="7"/>
  <c r="AG30" i="7"/>
  <c r="AF30" i="7"/>
  <c r="AE30" i="7"/>
  <c r="AD30" i="7"/>
  <c r="AC30" i="7"/>
  <c r="L30" i="7"/>
  <c r="J30" i="7"/>
  <c r="AH29" i="7"/>
  <c r="AD29" i="7"/>
  <c r="AC29" i="7"/>
  <c r="AB29" i="7"/>
  <c r="AA29" i="7"/>
  <c r="X29" i="7"/>
  <c r="W29" i="7"/>
  <c r="V29" i="7"/>
  <c r="S29" i="7"/>
  <c r="M29" i="7"/>
  <c r="L29" i="7"/>
  <c r="J29" i="7"/>
  <c r="AH28" i="7"/>
  <c r="AD28" i="7"/>
  <c r="AC28" i="7"/>
  <c r="AB28" i="7"/>
  <c r="AA28" i="7"/>
  <c r="V28" i="7"/>
  <c r="P28" i="7"/>
  <c r="L28" i="7"/>
  <c r="AH27" i="7"/>
  <c r="AF27" i="7"/>
  <c r="AD27" i="7"/>
  <c r="V27" i="7"/>
  <c r="P27" i="7"/>
  <c r="O27" i="7"/>
  <c r="M27" i="7"/>
  <c r="L27" i="7"/>
  <c r="J27" i="7"/>
  <c r="AH26" i="7"/>
  <c r="AD26" i="7"/>
  <c r="Z26" i="7"/>
  <c r="Y26" i="7"/>
  <c r="X26" i="7"/>
  <c r="V26" i="7"/>
  <c r="P26" i="7"/>
  <c r="M26" i="7"/>
  <c r="L26" i="7"/>
  <c r="AH25" i="7"/>
  <c r="AD25" i="7"/>
  <c r="AA25" i="7"/>
  <c r="X25" i="7"/>
  <c r="V25" i="7"/>
  <c r="P25" i="7"/>
  <c r="L25" i="7"/>
  <c r="AH24" i="7"/>
  <c r="AF24" i="7"/>
  <c r="AD24" i="7"/>
  <c r="AC24" i="7"/>
  <c r="Z24" i="7"/>
  <c r="X24" i="7"/>
  <c r="W24" i="7"/>
  <c r="V24" i="7"/>
  <c r="P24" i="7"/>
  <c r="L24" i="7"/>
  <c r="J24" i="7"/>
  <c r="I24" i="7"/>
  <c r="AH23" i="7"/>
  <c r="AD23" i="7"/>
  <c r="P23" i="7"/>
  <c r="M23" i="7"/>
  <c r="L23" i="7"/>
  <c r="K23" i="7"/>
  <c r="J23" i="7"/>
  <c r="AH22" i="7"/>
  <c r="AH34" i="7" s="1"/>
  <c r="AG22" i="7"/>
  <c r="AF22" i="7"/>
  <c r="AE22" i="7"/>
  <c r="AD22" i="7"/>
  <c r="AD34" i="7" s="1"/>
  <c r="P22" i="7"/>
  <c r="L22" i="7"/>
  <c r="J22" i="7"/>
  <c r="AH21" i="7"/>
  <c r="AG21" i="7"/>
  <c r="AF21" i="7"/>
  <c r="AE21" i="7"/>
  <c r="AD21" i="7"/>
  <c r="AC21" i="7"/>
  <c r="AB21" i="7"/>
  <c r="AA21" i="7"/>
  <c r="Z21" i="7"/>
  <c r="Y21" i="7"/>
  <c r="X21" i="7"/>
  <c r="W21" i="7"/>
  <c r="W37" i="7" s="1"/>
  <c r="V21" i="7"/>
  <c r="U21" i="7"/>
  <c r="U37" i="7" s="1"/>
  <c r="T21" i="7"/>
  <c r="T37" i="7" s="1"/>
  <c r="S21" i="7"/>
  <c r="S37" i="7" s="1"/>
  <c r="R21" i="7"/>
  <c r="R37" i="7" s="1"/>
  <c r="Q21" i="7"/>
  <c r="P21" i="7"/>
  <c r="P37" i="7" s="1"/>
  <c r="O21" i="7"/>
  <c r="O37" i="7" s="1"/>
  <c r="N21" i="7"/>
  <c r="N37" i="7" s="1"/>
  <c r="M21" i="7"/>
  <c r="M37" i="7" s="1"/>
  <c r="L21" i="7"/>
  <c r="L37" i="7" s="1"/>
  <c r="K21" i="7"/>
  <c r="J21" i="7"/>
  <c r="I21" i="7"/>
  <c r="H21" i="7"/>
  <c r="G21" i="7"/>
  <c r="F21" i="7"/>
  <c r="E21" i="7"/>
  <c r="D21" i="7"/>
  <c r="C21" i="7"/>
  <c r="B21" i="7"/>
  <c r="AH19" i="7"/>
  <c r="AD19" i="7"/>
  <c r="X19" i="7"/>
  <c r="W19" i="7"/>
  <c r="V19" i="7"/>
  <c r="M19" i="7"/>
  <c r="L19" i="7"/>
  <c r="J19" i="7"/>
  <c r="H19" i="7"/>
  <c r="AH16" i="7"/>
  <c r="AG16" i="7"/>
  <c r="AG6" i="7" s="1"/>
  <c r="AF16" i="7"/>
  <c r="AE16" i="7"/>
  <c r="AE6" i="7" s="1"/>
  <c r="AD16" i="7"/>
  <c r="AC16" i="7"/>
  <c r="AC6" i="7" s="1"/>
  <c r="AC27" i="7" s="1"/>
  <c r="AB16" i="7"/>
  <c r="AB6" i="7" s="1"/>
  <c r="AB23" i="7" s="1"/>
  <c r="AA16" i="7"/>
  <c r="AA6" i="7" s="1"/>
  <c r="AA19" i="7" s="1"/>
  <c r="Z16" i="7"/>
  <c r="Y16" i="7"/>
  <c r="X16" i="7"/>
  <c r="X6" i="7" s="1"/>
  <c r="W16" i="7"/>
  <c r="V16" i="7"/>
  <c r="U16" i="7"/>
  <c r="T16" i="7"/>
  <c r="S16" i="7"/>
  <c r="R16" i="7"/>
  <c r="Q16" i="7"/>
  <c r="Q6" i="7" s="1"/>
  <c r="P16" i="7"/>
  <c r="O16" i="7"/>
  <c r="O6" i="7" s="1"/>
  <c r="N16" i="7"/>
  <c r="N6" i="7" s="1"/>
  <c r="M16" i="7"/>
  <c r="L16" i="7"/>
  <c r="K16" i="7"/>
  <c r="K6" i="7" s="1"/>
  <c r="J16" i="7"/>
  <c r="I16" i="7"/>
  <c r="I6" i="7" s="1"/>
  <c r="I23" i="7" s="1"/>
  <c r="AH14" i="7"/>
  <c r="AG14" i="7"/>
  <c r="AF14" i="7"/>
  <c r="AE14" i="7"/>
  <c r="AD14" i="7"/>
  <c r="AC14" i="7"/>
  <c r="AB14" i="7"/>
  <c r="AA14" i="7"/>
  <c r="Z14" i="7"/>
  <c r="Y14" i="7"/>
  <c r="X14" i="7"/>
  <c r="W14" i="7"/>
  <c r="V14" i="7"/>
  <c r="U14" i="7"/>
  <c r="T14" i="7"/>
  <c r="S14" i="7"/>
  <c r="O14" i="7"/>
  <c r="G10" i="7"/>
  <c r="F10" i="7"/>
  <c r="E10" i="7"/>
  <c r="D10" i="7"/>
  <c r="C10" i="7"/>
  <c r="B10" i="7"/>
  <c r="P9" i="7"/>
  <c r="C9" i="7"/>
  <c r="V8" i="7"/>
  <c r="V11" i="7" s="1"/>
  <c r="V9" i="7" s="1"/>
  <c r="AH7" i="7"/>
  <c r="AG7" i="7"/>
  <c r="AF7" i="7"/>
  <c r="AD7" i="7"/>
  <c r="AC7" i="7"/>
  <c r="AA7" i="7"/>
  <c r="Z7" i="7"/>
  <c r="Y7" i="7"/>
  <c r="U7" i="7"/>
  <c r="Q7" i="7"/>
  <c r="P7" i="7"/>
  <c r="O7" i="7"/>
  <c r="M7" i="7"/>
  <c r="L7" i="7"/>
  <c r="J7" i="7"/>
  <c r="H7" i="7"/>
  <c r="G7" i="7"/>
  <c r="E7" i="7"/>
  <c r="D7" i="7"/>
  <c r="C7" i="7"/>
  <c r="C8" i="7" s="1"/>
  <c r="C11" i="7" s="1"/>
  <c r="B14" i="7" s="1"/>
  <c r="AH6" i="7"/>
  <c r="AH33" i="7" s="1"/>
  <c r="AF6" i="7"/>
  <c r="AD6" i="7"/>
  <c r="Z6" i="7"/>
  <c r="Y6" i="7"/>
  <c r="W6" i="7"/>
  <c r="V6" i="7"/>
  <c r="U6" i="7"/>
  <c r="T6" i="7"/>
  <c r="S6" i="7"/>
  <c r="R6" i="7"/>
  <c r="P6" i="7"/>
  <c r="M6" i="7"/>
  <c r="M30" i="7" s="1"/>
  <c r="L6" i="7"/>
  <c r="L33" i="7" s="1"/>
  <c r="J6" i="7"/>
  <c r="H6" i="7"/>
  <c r="G6" i="7"/>
  <c r="E6" i="7"/>
  <c r="D6" i="7"/>
  <c r="C6" i="7"/>
  <c r="B6" i="7"/>
  <c r="AH5" i="7"/>
  <c r="AH8" i="7" s="1"/>
  <c r="AH11" i="7" s="1"/>
  <c r="AH9" i="7" s="1"/>
  <c r="AG5" i="7"/>
  <c r="AF5" i="7"/>
  <c r="AF8" i="7" s="1"/>
  <c r="AF11" i="7" s="1"/>
  <c r="AF9" i="7" s="1"/>
  <c r="AE5" i="7"/>
  <c r="AD5" i="7"/>
  <c r="AD8" i="7" s="1"/>
  <c r="AD11" i="7" s="1"/>
  <c r="AD9" i="7" s="1"/>
  <c r="AC5" i="7"/>
  <c r="AC8" i="7" s="1"/>
  <c r="AC11" i="7" s="1"/>
  <c r="AC9" i="7" s="1"/>
  <c r="AB5" i="7"/>
  <c r="AA5" i="7"/>
  <c r="AA8" i="7" s="1"/>
  <c r="AA11" i="7" s="1"/>
  <c r="AA9" i="7" s="1"/>
  <c r="Z5" i="7"/>
  <c r="Z8" i="7" s="1"/>
  <c r="Z11" i="7" s="1"/>
  <c r="Z9" i="7" s="1"/>
  <c r="Y5" i="7"/>
  <c r="X5" i="7"/>
  <c r="W5" i="7"/>
  <c r="V5" i="7"/>
  <c r="U5" i="7"/>
  <c r="T5" i="7"/>
  <c r="S5" i="7"/>
  <c r="R5" i="7"/>
  <c r="Q5" i="7"/>
  <c r="P5" i="7"/>
  <c r="P8" i="7" s="1"/>
  <c r="P11" i="7" s="1"/>
  <c r="O5" i="7"/>
  <c r="N5" i="7"/>
  <c r="M5" i="7"/>
  <c r="L5" i="7"/>
  <c r="K5" i="7"/>
  <c r="J5" i="7"/>
  <c r="J8" i="7" s="1"/>
  <c r="J11" i="7" s="1"/>
  <c r="J9" i="7" s="1"/>
  <c r="I5" i="7"/>
  <c r="H5" i="7"/>
  <c r="H8" i="7" s="1"/>
  <c r="H11" i="7" s="1"/>
  <c r="G5" i="7"/>
  <c r="G8" i="7" s="1"/>
  <c r="G11" i="7" s="1"/>
  <c r="F5" i="7"/>
  <c r="E5" i="7"/>
  <c r="E8" i="7" s="1"/>
  <c r="E11" i="7" s="1"/>
  <c r="D5" i="7"/>
  <c r="D8" i="7" s="1"/>
  <c r="D11" i="7" s="1"/>
  <c r="C5" i="7"/>
  <c r="Z101" i="6"/>
  <c r="U101" i="6"/>
  <c r="I101" i="6"/>
  <c r="H101" i="6"/>
  <c r="G101" i="6"/>
  <c r="F101" i="6"/>
  <c r="E101" i="6"/>
  <c r="D101" i="6"/>
  <c r="C101" i="6"/>
  <c r="B101" i="6"/>
  <c r="AK100" i="6"/>
  <c r="AJ100" i="6"/>
  <c r="AI100" i="6"/>
  <c r="AH100" i="6"/>
  <c r="AG100" i="6"/>
  <c r="AF100" i="6"/>
  <c r="AE100" i="6"/>
  <c r="AD100" i="6"/>
  <c r="AC100" i="6"/>
  <c r="AB100" i="6"/>
  <c r="AA100" i="6"/>
  <c r="Z100" i="6"/>
  <c r="Y100" i="6"/>
  <c r="X100" i="6"/>
  <c r="W100" i="6"/>
  <c r="V100" i="6"/>
  <c r="U100" i="6"/>
  <c r="T100" i="6"/>
  <c r="S100" i="6"/>
  <c r="R100" i="6"/>
  <c r="Q100" i="6"/>
  <c r="P100" i="6"/>
  <c r="O100" i="6"/>
  <c r="N100" i="6"/>
  <c r="M100" i="6"/>
  <c r="L100" i="6"/>
  <c r="K100" i="6"/>
  <c r="J100" i="6"/>
  <c r="AK99" i="6"/>
  <c r="AJ99" i="6"/>
  <c r="AI99" i="6"/>
  <c r="AH99" i="6"/>
  <c r="AG99" i="6"/>
  <c r="AF99" i="6"/>
  <c r="AE99" i="6"/>
  <c r="AD99" i="6"/>
  <c r="AC99" i="6"/>
  <c r="AB99" i="6"/>
  <c r="AA99" i="6"/>
  <c r="Z99" i="6"/>
  <c r="Y99" i="6"/>
  <c r="Y101" i="6" s="1"/>
  <c r="X99" i="6"/>
  <c r="W99" i="6"/>
  <c r="V99" i="6"/>
  <c r="U99" i="6"/>
  <c r="T99" i="6"/>
  <c r="S99" i="6"/>
  <c r="R99" i="6"/>
  <c r="Q99" i="6"/>
  <c r="P99" i="6"/>
  <c r="O99" i="6"/>
  <c r="N99" i="6"/>
  <c r="M99" i="6"/>
  <c r="L99" i="6"/>
  <c r="K99" i="6"/>
  <c r="J99" i="6"/>
  <c r="J101" i="6" s="1"/>
  <c r="AK98" i="6"/>
  <c r="AJ98" i="6"/>
  <c r="AI98" i="6"/>
  <c r="AH98" i="6"/>
  <c r="AG98" i="6"/>
  <c r="AF98" i="6"/>
  <c r="AE98" i="6"/>
  <c r="AD98" i="6"/>
  <c r="AC98" i="6"/>
  <c r="AB98" i="6"/>
  <c r="AA98" i="6"/>
  <c r="Z98" i="6"/>
  <c r="Y98" i="6"/>
  <c r="X98" i="6"/>
  <c r="W98" i="6"/>
  <c r="V98" i="6"/>
  <c r="U98" i="6"/>
  <c r="T98" i="6"/>
  <c r="T101" i="6" s="1"/>
  <c r="S98" i="6"/>
  <c r="R98" i="6"/>
  <c r="Q98" i="6"/>
  <c r="P98" i="6"/>
  <c r="O98" i="6"/>
  <c r="N98" i="6"/>
  <c r="M98" i="6"/>
  <c r="L98" i="6"/>
  <c r="K98" i="6"/>
  <c r="AK97" i="6"/>
  <c r="AJ97" i="6"/>
  <c r="AI97" i="6"/>
  <c r="AH97" i="6"/>
  <c r="AG97" i="6"/>
  <c r="AF97" i="6"/>
  <c r="AE97" i="6"/>
  <c r="AD97" i="6"/>
  <c r="AC97" i="6"/>
  <c r="AB97" i="6"/>
  <c r="AA97" i="6"/>
  <c r="Z97" i="6"/>
  <c r="Y97" i="6"/>
  <c r="X97" i="6"/>
  <c r="W97" i="6"/>
  <c r="V97" i="6"/>
  <c r="U97" i="6"/>
  <c r="T97" i="6"/>
  <c r="S97" i="6"/>
  <c r="R97" i="6"/>
  <c r="Q97" i="6"/>
  <c r="P97" i="6"/>
  <c r="O97" i="6"/>
  <c r="N97" i="6"/>
  <c r="M97" i="6"/>
  <c r="L97" i="6"/>
  <c r="K97" i="6"/>
  <c r="AK96" i="6"/>
  <c r="AJ96" i="6"/>
  <c r="AI96" i="6"/>
  <c r="AH96" i="6"/>
  <c r="AG96" i="6"/>
  <c r="AF96" i="6"/>
  <c r="AE96" i="6"/>
  <c r="AD96" i="6"/>
  <c r="AC96" i="6"/>
  <c r="AB96" i="6"/>
  <c r="AA96" i="6"/>
  <c r="Z96" i="6"/>
  <c r="Y96" i="6"/>
  <c r="X96" i="6"/>
  <c r="W96" i="6"/>
  <c r="V96" i="6"/>
  <c r="U96" i="6"/>
  <c r="T96" i="6"/>
  <c r="S96" i="6"/>
  <c r="R96" i="6"/>
  <c r="Q96" i="6"/>
  <c r="P96" i="6"/>
  <c r="O96" i="6"/>
  <c r="N96" i="6"/>
  <c r="M96" i="6"/>
  <c r="L96" i="6"/>
  <c r="K96" i="6"/>
  <c r="AK95" i="6"/>
  <c r="AJ95" i="6"/>
  <c r="AI95" i="6"/>
  <c r="AH95" i="6"/>
  <c r="AG95" i="6"/>
  <c r="AF95" i="6"/>
  <c r="AE95" i="6"/>
  <c r="AD95" i="6"/>
  <c r="AC95" i="6"/>
  <c r="AB95" i="6"/>
  <c r="AA95" i="6"/>
  <c r="Z95" i="6"/>
  <c r="Y95" i="6"/>
  <c r="X95" i="6"/>
  <c r="X101" i="6" s="1"/>
  <c r="W95" i="6"/>
  <c r="V95" i="6"/>
  <c r="U95" i="6"/>
  <c r="T95" i="6"/>
  <c r="S95" i="6"/>
  <c r="R95" i="6"/>
  <c r="Q95" i="6"/>
  <c r="P95" i="6"/>
  <c r="O95" i="6"/>
  <c r="N95" i="6"/>
  <c r="M95" i="6"/>
  <c r="L95" i="6"/>
  <c r="K95" i="6"/>
  <c r="AK94" i="6"/>
  <c r="AJ94" i="6"/>
  <c r="AI94" i="6"/>
  <c r="AH94" i="6"/>
  <c r="AG94" i="6"/>
  <c r="AF94" i="6"/>
  <c r="AE94" i="6"/>
  <c r="AD94" i="6"/>
  <c r="AC94" i="6"/>
  <c r="AB94" i="6"/>
  <c r="AA94" i="6"/>
  <c r="Z94" i="6"/>
  <c r="Y94" i="6"/>
  <c r="X94" i="6"/>
  <c r="W94" i="6"/>
  <c r="V94" i="6"/>
  <c r="U94" i="6"/>
  <c r="T94" i="6"/>
  <c r="S94" i="6"/>
  <c r="R94" i="6"/>
  <c r="R101" i="6" s="1"/>
  <c r="Q94" i="6"/>
  <c r="P94" i="6"/>
  <c r="O94" i="6"/>
  <c r="N94" i="6"/>
  <c r="M94" i="6"/>
  <c r="L94" i="6"/>
  <c r="K94" i="6"/>
  <c r="AK93" i="6"/>
  <c r="AJ93" i="6"/>
  <c r="AI93" i="6"/>
  <c r="AH93" i="6"/>
  <c r="AG93" i="6"/>
  <c r="AF93" i="6"/>
  <c r="AE93" i="6"/>
  <c r="AD93" i="6"/>
  <c r="AC93" i="6"/>
  <c r="AB93" i="6"/>
  <c r="AA93" i="6"/>
  <c r="Z93" i="6"/>
  <c r="Y93" i="6"/>
  <c r="X93" i="6"/>
  <c r="W93" i="6"/>
  <c r="V93" i="6"/>
  <c r="U93" i="6"/>
  <c r="T93" i="6"/>
  <c r="S93" i="6"/>
  <c r="R93" i="6"/>
  <c r="Q93" i="6"/>
  <c r="P93" i="6"/>
  <c r="O93" i="6"/>
  <c r="N93" i="6"/>
  <c r="M93" i="6"/>
  <c r="L93" i="6"/>
  <c r="K93" i="6"/>
  <c r="AK92" i="6"/>
  <c r="AJ92" i="6"/>
  <c r="AI92" i="6"/>
  <c r="AH92" i="6"/>
  <c r="AG92" i="6"/>
  <c r="AF92" i="6"/>
  <c r="AE92" i="6"/>
  <c r="AD92" i="6"/>
  <c r="AC92" i="6"/>
  <c r="AB92" i="6"/>
  <c r="AA92" i="6"/>
  <c r="Z92" i="6"/>
  <c r="Y92" i="6"/>
  <c r="X92" i="6"/>
  <c r="W92" i="6"/>
  <c r="V92" i="6"/>
  <c r="U92" i="6"/>
  <c r="T92" i="6"/>
  <c r="S92" i="6"/>
  <c r="R92" i="6"/>
  <c r="Q92" i="6"/>
  <c r="P92" i="6"/>
  <c r="O92" i="6"/>
  <c r="N92" i="6"/>
  <c r="M92" i="6"/>
  <c r="L92" i="6"/>
  <c r="K92" i="6"/>
  <c r="AK91" i="6"/>
  <c r="AJ91" i="6"/>
  <c r="AI91" i="6"/>
  <c r="AH91" i="6"/>
  <c r="AG91" i="6"/>
  <c r="AF91" i="6"/>
  <c r="AE91" i="6"/>
  <c r="AD91" i="6"/>
  <c r="AC91" i="6"/>
  <c r="AB91" i="6"/>
  <c r="AA91" i="6"/>
  <c r="Z91" i="6"/>
  <c r="Y91" i="6"/>
  <c r="X91" i="6"/>
  <c r="W91" i="6"/>
  <c r="V91" i="6"/>
  <c r="U91" i="6"/>
  <c r="T91" i="6"/>
  <c r="S91" i="6"/>
  <c r="R91" i="6"/>
  <c r="Q91" i="6"/>
  <c r="P91" i="6"/>
  <c r="O91" i="6"/>
  <c r="N91" i="6"/>
  <c r="M91" i="6"/>
  <c r="L91" i="6"/>
  <c r="K91" i="6"/>
  <c r="AK90" i="6"/>
  <c r="AJ90" i="6"/>
  <c r="AI90" i="6"/>
  <c r="AH90" i="6"/>
  <c r="AG90" i="6"/>
  <c r="AF90" i="6"/>
  <c r="AE90" i="6"/>
  <c r="AD90" i="6"/>
  <c r="AC90" i="6"/>
  <c r="AB90" i="6"/>
  <c r="AA90" i="6"/>
  <c r="Z90" i="6"/>
  <c r="Y90" i="6"/>
  <c r="X90" i="6"/>
  <c r="W90" i="6"/>
  <c r="V90" i="6"/>
  <c r="U90" i="6"/>
  <c r="T90" i="6"/>
  <c r="S90" i="6"/>
  <c r="R90" i="6"/>
  <c r="Q90" i="6"/>
  <c r="P90" i="6"/>
  <c r="P101" i="6" s="1"/>
  <c r="O90" i="6"/>
  <c r="N90" i="6"/>
  <c r="M90" i="6"/>
  <c r="L90" i="6"/>
  <c r="K90" i="6"/>
  <c r="AK89" i="6"/>
  <c r="AJ89" i="6"/>
  <c r="AI89" i="6"/>
  <c r="AH89" i="6"/>
  <c r="AG89" i="6"/>
  <c r="AF89" i="6"/>
  <c r="AF101" i="6" s="1"/>
  <c r="AE89" i="6"/>
  <c r="AD89" i="6"/>
  <c r="AC89" i="6"/>
  <c r="AB89" i="6"/>
  <c r="AA89" i="6"/>
  <c r="Z89" i="6"/>
  <c r="Y89" i="6"/>
  <c r="X89" i="6"/>
  <c r="W89" i="6"/>
  <c r="V89" i="6"/>
  <c r="U89" i="6"/>
  <c r="T89" i="6"/>
  <c r="S89" i="6"/>
  <c r="R89" i="6"/>
  <c r="Q89" i="6"/>
  <c r="P89" i="6"/>
  <c r="O89" i="6"/>
  <c r="N89" i="6"/>
  <c r="M89" i="6"/>
  <c r="L89" i="6"/>
  <c r="K89" i="6"/>
  <c r="AK88" i="6"/>
  <c r="AJ88" i="6"/>
  <c r="AI88" i="6"/>
  <c r="AH88" i="6"/>
  <c r="AG88" i="6"/>
  <c r="AF88" i="6"/>
  <c r="AE88" i="6"/>
  <c r="AD88" i="6"/>
  <c r="AC88" i="6"/>
  <c r="AB88" i="6"/>
  <c r="AA88" i="6"/>
  <c r="Z88" i="6"/>
  <c r="Y88" i="6"/>
  <c r="X88" i="6"/>
  <c r="W88" i="6"/>
  <c r="V88" i="6"/>
  <c r="U88" i="6"/>
  <c r="T88" i="6"/>
  <c r="S88" i="6"/>
  <c r="R88" i="6"/>
  <c r="Q88" i="6"/>
  <c r="P88" i="6"/>
  <c r="O88" i="6"/>
  <c r="N88" i="6"/>
  <c r="M88" i="6"/>
  <c r="L88" i="6"/>
  <c r="K88" i="6"/>
  <c r="J88" i="6"/>
  <c r="I88" i="6"/>
  <c r="H88" i="6"/>
  <c r="G88" i="6"/>
  <c r="F88" i="6"/>
  <c r="E88" i="6"/>
  <c r="D88" i="6"/>
  <c r="C88" i="6"/>
  <c r="B88" i="6"/>
  <c r="AK72" i="6"/>
  <c r="AJ72" i="6"/>
  <c r="AI72" i="6"/>
  <c r="AH72" i="6"/>
  <c r="AG72" i="6"/>
  <c r="AF72" i="6"/>
  <c r="AE72" i="6"/>
  <c r="AD72" i="6"/>
  <c r="AC72" i="6"/>
  <c r="AB72" i="6"/>
  <c r="AA72" i="6"/>
  <c r="Z72" i="6"/>
  <c r="Y72" i="6"/>
  <c r="X72" i="6"/>
  <c r="W72" i="6"/>
  <c r="V72" i="6"/>
  <c r="U72" i="6"/>
  <c r="T72" i="6"/>
  <c r="S72" i="6"/>
  <c r="R72" i="6"/>
  <c r="Q72" i="6"/>
  <c r="P72" i="6"/>
  <c r="O72" i="6"/>
  <c r="N72" i="6"/>
  <c r="M72" i="6"/>
  <c r="L72" i="6"/>
  <c r="K72" i="6"/>
  <c r="J72" i="6"/>
  <c r="I72" i="6"/>
  <c r="H72" i="6"/>
  <c r="G72" i="6"/>
  <c r="F72" i="6"/>
  <c r="E72" i="6"/>
  <c r="D72" i="6"/>
  <c r="C72" i="6"/>
  <c r="B72" i="6"/>
  <c r="E68" i="6"/>
  <c r="D68" i="6"/>
  <c r="C68" i="6"/>
  <c r="B68" i="6"/>
  <c r="K67" i="6"/>
  <c r="J67" i="6"/>
  <c r="I67" i="6"/>
  <c r="H67" i="6"/>
  <c r="G67" i="6"/>
  <c r="F67" i="6"/>
  <c r="K66" i="6"/>
  <c r="I66" i="6"/>
  <c r="H66" i="6"/>
  <c r="G66" i="6"/>
  <c r="F66" i="6"/>
  <c r="H65" i="6"/>
  <c r="G65" i="6"/>
  <c r="F65" i="6"/>
  <c r="H64" i="6"/>
  <c r="G64" i="6"/>
  <c r="F64" i="6"/>
  <c r="J63" i="6"/>
  <c r="I63" i="6"/>
  <c r="H63" i="6"/>
  <c r="G63" i="6"/>
  <c r="F63" i="6"/>
  <c r="H62" i="6"/>
  <c r="G62" i="6"/>
  <c r="F62" i="6"/>
  <c r="K61" i="6"/>
  <c r="J61" i="6"/>
  <c r="I61" i="6"/>
  <c r="H61" i="6"/>
  <c r="G61" i="6"/>
  <c r="F61" i="6"/>
  <c r="H60" i="6"/>
  <c r="G60" i="6"/>
  <c r="F60" i="6"/>
  <c r="H59" i="6"/>
  <c r="G59" i="6"/>
  <c r="F59" i="6"/>
  <c r="H58" i="6"/>
  <c r="G58" i="6"/>
  <c r="F58" i="6"/>
  <c r="I57" i="6"/>
  <c r="H57" i="6"/>
  <c r="G57" i="6"/>
  <c r="F57" i="6"/>
  <c r="K56" i="6"/>
  <c r="J56" i="6"/>
  <c r="I56" i="6"/>
  <c r="I68" i="6" s="1"/>
  <c r="H56" i="6"/>
  <c r="H68" i="6" s="1"/>
  <c r="G56" i="6"/>
  <c r="G68" i="6" s="1"/>
  <c r="F56" i="6"/>
  <c r="AK55" i="6"/>
  <c r="AJ55" i="6"/>
  <c r="AI55" i="6"/>
  <c r="AH55" i="6"/>
  <c r="AG55" i="6"/>
  <c r="AF55" i="6"/>
  <c r="AE55" i="6"/>
  <c r="AD55" i="6"/>
  <c r="AC55" i="6"/>
  <c r="AB55" i="6"/>
  <c r="AA55" i="6"/>
  <c r="Z55" i="6"/>
  <c r="Y55" i="6"/>
  <c r="X55" i="6"/>
  <c r="W55" i="6"/>
  <c r="V55" i="6"/>
  <c r="U55" i="6"/>
  <c r="T55" i="6"/>
  <c r="S55" i="6"/>
  <c r="R55" i="6"/>
  <c r="Q55" i="6"/>
  <c r="P55" i="6"/>
  <c r="O55" i="6"/>
  <c r="N55" i="6"/>
  <c r="M55" i="6"/>
  <c r="L55" i="6"/>
  <c r="K55" i="6"/>
  <c r="J55" i="6"/>
  <c r="I55" i="6"/>
  <c r="H55" i="6"/>
  <c r="G55" i="6"/>
  <c r="F55" i="6"/>
  <c r="E55" i="6"/>
  <c r="D55" i="6"/>
  <c r="C55" i="6"/>
  <c r="B55" i="6"/>
  <c r="I52" i="6"/>
  <c r="H52" i="6"/>
  <c r="G52" i="6"/>
  <c r="F52" i="6"/>
  <c r="E52" i="6"/>
  <c r="D52" i="6"/>
  <c r="C52" i="6"/>
  <c r="B52" i="6"/>
  <c r="K51" i="6"/>
  <c r="J51" i="6"/>
  <c r="I51" i="6"/>
  <c r="K50" i="6"/>
  <c r="J50" i="6"/>
  <c r="I50" i="6"/>
  <c r="K49" i="6"/>
  <c r="J49" i="6"/>
  <c r="J65" i="6" s="1"/>
  <c r="I49" i="6"/>
  <c r="I65" i="6" s="1"/>
  <c r="K48" i="6"/>
  <c r="K64" i="6" s="1"/>
  <c r="J48" i="6"/>
  <c r="J64" i="6" s="1"/>
  <c r="I48" i="6"/>
  <c r="I64" i="6" s="1"/>
  <c r="K47" i="6"/>
  <c r="J47" i="6"/>
  <c r="I47" i="6"/>
  <c r="K46" i="6"/>
  <c r="K62" i="6" s="1"/>
  <c r="J46" i="6"/>
  <c r="J62" i="6" s="1"/>
  <c r="I46" i="6"/>
  <c r="I62" i="6" s="1"/>
  <c r="K45" i="6"/>
  <c r="J45" i="6"/>
  <c r="I45" i="6"/>
  <c r="K44" i="6"/>
  <c r="K60" i="6" s="1"/>
  <c r="J44" i="6"/>
  <c r="J60" i="6" s="1"/>
  <c r="I44" i="6"/>
  <c r="I60" i="6" s="1"/>
  <c r="K43" i="6"/>
  <c r="K59" i="6" s="1"/>
  <c r="J43" i="6"/>
  <c r="J59" i="6" s="1"/>
  <c r="I43" i="6"/>
  <c r="I59" i="6" s="1"/>
  <c r="K42" i="6"/>
  <c r="K58" i="6" s="1"/>
  <c r="J42" i="6"/>
  <c r="J58" i="6" s="1"/>
  <c r="I42" i="6"/>
  <c r="I58" i="6" s="1"/>
  <c r="K41" i="6"/>
  <c r="K57" i="6" s="1"/>
  <c r="J41" i="6"/>
  <c r="J57" i="6" s="1"/>
  <c r="I41" i="6"/>
  <c r="K40" i="6"/>
  <c r="J40" i="6"/>
  <c r="I40" i="6"/>
  <c r="AK39" i="6"/>
  <c r="AJ39" i="6"/>
  <c r="AI39" i="6"/>
  <c r="AH39" i="6"/>
  <c r="AG39" i="6"/>
  <c r="AF39" i="6"/>
  <c r="AE39" i="6"/>
  <c r="AD39" i="6"/>
  <c r="AC39" i="6"/>
  <c r="AB39" i="6"/>
  <c r="AA39" i="6"/>
  <c r="Z39" i="6"/>
  <c r="Y39" i="6"/>
  <c r="X39" i="6"/>
  <c r="W39" i="6"/>
  <c r="V39" i="6"/>
  <c r="U39" i="6"/>
  <c r="T39" i="6"/>
  <c r="S39" i="6"/>
  <c r="R39" i="6"/>
  <c r="Q39" i="6"/>
  <c r="P39" i="6"/>
  <c r="O39" i="6"/>
  <c r="N39" i="6"/>
  <c r="M39" i="6"/>
  <c r="L39" i="6"/>
  <c r="K39" i="6"/>
  <c r="J39" i="6"/>
  <c r="I39" i="6"/>
  <c r="H39" i="6"/>
  <c r="G39" i="6"/>
  <c r="F39" i="6"/>
  <c r="E39" i="6"/>
  <c r="D39" i="6"/>
  <c r="C39" i="6"/>
  <c r="B39" i="6"/>
  <c r="I36" i="6"/>
  <c r="H36" i="6"/>
  <c r="G36" i="6"/>
  <c r="F36" i="6"/>
  <c r="E36" i="6"/>
  <c r="D36" i="6"/>
  <c r="C36" i="6"/>
  <c r="B36" i="6"/>
  <c r="K35" i="6"/>
  <c r="J35" i="6"/>
  <c r="K34" i="6"/>
  <c r="K33" i="5" s="1"/>
  <c r="J34" i="6"/>
  <c r="K33" i="6"/>
  <c r="K32" i="6"/>
  <c r="K31" i="6"/>
  <c r="K30" i="6"/>
  <c r="K29" i="6"/>
  <c r="K28" i="6"/>
  <c r="K27" i="6"/>
  <c r="K26" i="6"/>
  <c r="K25" i="6"/>
  <c r="K24" i="6"/>
  <c r="AK23" i="6"/>
  <c r="AJ23" i="6"/>
  <c r="AI23" i="6"/>
  <c r="AH23" i="6"/>
  <c r="AG23" i="6"/>
  <c r="AF23" i="6"/>
  <c r="AE23" i="6"/>
  <c r="AD23" i="6"/>
  <c r="AC23" i="6"/>
  <c r="AB23" i="6"/>
  <c r="AA23" i="6"/>
  <c r="Z23" i="6"/>
  <c r="Y23" i="6"/>
  <c r="X23" i="6"/>
  <c r="W23" i="6"/>
  <c r="V23" i="6"/>
  <c r="U23" i="6"/>
  <c r="T23" i="6"/>
  <c r="S23" i="6"/>
  <c r="R23" i="6"/>
  <c r="Q23" i="6"/>
  <c r="P23" i="6"/>
  <c r="O23" i="6"/>
  <c r="N23" i="6"/>
  <c r="M23" i="6"/>
  <c r="L23" i="6"/>
  <c r="K23" i="6"/>
  <c r="J23" i="6"/>
  <c r="I23" i="6"/>
  <c r="H23" i="6"/>
  <c r="G23" i="6"/>
  <c r="F23" i="6"/>
  <c r="E23" i="6"/>
  <c r="D23" i="6"/>
  <c r="C23" i="6"/>
  <c r="B23" i="6"/>
  <c r="I20" i="6"/>
  <c r="H20" i="6"/>
  <c r="J19" i="6"/>
  <c r="H9" i="6"/>
  <c r="D9" i="6"/>
  <c r="J7" i="6"/>
  <c r="I7" i="6"/>
  <c r="H7" i="6"/>
  <c r="G7" i="6"/>
  <c r="F7" i="6"/>
  <c r="F9" i="6" s="1"/>
  <c r="E7" i="6"/>
  <c r="D7" i="6"/>
  <c r="C7" i="6"/>
  <c r="B7" i="6"/>
  <c r="H6" i="6"/>
  <c r="G6" i="6"/>
  <c r="F6" i="6"/>
  <c r="E6" i="6"/>
  <c r="D6" i="6"/>
  <c r="C6" i="6"/>
  <c r="B6" i="6"/>
  <c r="I5" i="6"/>
  <c r="I6" i="6" s="1"/>
  <c r="AK3" i="6"/>
  <c r="AJ3" i="6"/>
  <c r="AI3" i="6"/>
  <c r="AH3" i="6"/>
  <c r="AG3" i="6"/>
  <c r="AF3" i="6"/>
  <c r="AE3" i="6"/>
  <c r="AD3" i="6"/>
  <c r="AC3" i="6"/>
  <c r="AB3" i="6"/>
  <c r="AA3" i="6"/>
  <c r="Z3" i="6"/>
  <c r="Y3" i="6"/>
  <c r="X3" i="6"/>
  <c r="W3" i="6"/>
  <c r="V3" i="6"/>
  <c r="U3" i="6"/>
  <c r="T3" i="6"/>
  <c r="S3" i="6"/>
  <c r="R3" i="6"/>
  <c r="Q3" i="6"/>
  <c r="P3" i="6"/>
  <c r="O3" i="6"/>
  <c r="N3" i="6"/>
  <c r="K130" i="5"/>
  <c r="K8" i="5" s="1"/>
  <c r="K129" i="5"/>
  <c r="J129" i="5"/>
  <c r="I129" i="5"/>
  <c r="H129" i="5"/>
  <c r="G129" i="5"/>
  <c r="F129" i="5"/>
  <c r="E129" i="5"/>
  <c r="D129" i="5"/>
  <c r="C129" i="5"/>
  <c r="B129" i="5"/>
  <c r="K128" i="5"/>
  <c r="J128" i="5"/>
  <c r="I128" i="5"/>
  <c r="H128" i="5"/>
  <c r="G128" i="5"/>
  <c r="F128" i="5"/>
  <c r="E128" i="5"/>
  <c r="D128" i="5"/>
  <c r="C128" i="5"/>
  <c r="B128" i="5"/>
  <c r="K127" i="5"/>
  <c r="J127" i="5"/>
  <c r="I127" i="5"/>
  <c r="H127" i="5"/>
  <c r="G127" i="5"/>
  <c r="F127" i="5"/>
  <c r="E127" i="5"/>
  <c r="D127" i="5"/>
  <c r="C127" i="5"/>
  <c r="B127" i="5"/>
  <c r="K126" i="5"/>
  <c r="J126" i="5"/>
  <c r="I126" i="5"/>
  <c r="H126" i="5"/>
  <c r="G126" i="5"/>
  <c r="F126" i="5"/>
  <c r="E126" i="5"/>
  <c r="D126" i="5"/>
  <c r="C126" i="5"/>
  <c r="B126" i="5"/>
  <c r="K125" i="5"/>
  <c r="J125" i="5"/>
  <c r="I125" i="5"/>
  <c r="H125" i="5"/>
  <c r="G125" i="5"/>
  <c r="F125" i="5"/>
  <c r="E125" i="5"/>
  <c r="D125" i="5"/>
  <c r="C125" i="5"/>
  <c r="B125" i="5"/>
  <c r="K124" i="5"/>
  <c r="J124" i="5"/>
  <c r="I124" i="5"/>
  <c r="H124" i="5"/>
  <c r="G124" i="5"/>
  <c r="F124" i="5"/>
  <c r="E124" i="5"/>
  <c r="D124" i="5"/>
  <c r="C124" i="5"/>
  <c r="B124" i="5"/>
  <c r="K123" i="5"/>
  <c r="J123" i="5"/>
  <c r="I123" i="5"/>
  <c r="H123" i="5"/>
  <c r="G123" i="5"/>
  <c r="F123" i="5"/>
  <c r="E123" i="5"/>
  <c r="D123" i="5"/>
  <c r="C123" i="5"/>
  <c r="B123" i="5"/>
  <c r="K122" i="5"/>
  <c r="J122" i="5"/>
  <c r="J130" i="5" s="1"/>
  <c r="J8" i="5" s="1"/>
  <c r="I122" i="5"/>
  <c r="I130" i="5" s="1"/>
  <c r="I8" i="5" s="1"/>
  <c r="H122" i="5"/>
  <c r="G122" i="5"/>
  <c r="F122" i="5"/>
  <c r="E122" i="5"/>
  <c r="D122" i="5"/>
  <c r="C122" i="5"/>
  <c r="B122" i="5"/>
  <c r="K121" i="5"/>
  <c r="J121" i="5"/>
  <c r="I121" i="5"/>
  <c r="H121" i="5"/>
  <c r="G121" i="5"/>
  <c r="F121" i="5"/>
  <c r="E121" i="5"/>
  <c r="D121" i="5"/>
  <c r="C121" i="5"/>
  <c r="B121" i="5"/>
  <c r="K120" i="5"/>
  <c r="J120" i="5"/>
  <c r="I120" i="5"/>
  <c r="H120" i="5"/>
  <c r="G120" i="5"/>
  <c r="G130" i="5" s="1"/>
  <c r="F120" i="5"/>
  <c r="E120" i="5"/>
  <c r="D120" i="5"/>
  <c r="D130" i="5" s="1"/>
  <c r="D8" i="5" s="1"/>
  <c r="C120" i="5"/>
  <c r="B120" i="5"/>
  <c r="K119" i="5"/>
  <c r="J119" i="5"/>
  <c r="I119" i="5"/>
  <c r="H119" i="5"/>
  <c r="G119" i="5"/>
  <c r="F119" i="5"/>
  <c r="E119" i="5"/>
  <c r="E130" i="5" s="1"/>
  <c r="E8" i="5" s="1"/>
  <c r="D119" i="5"/>
  <c r="C119" i="5"/>
  <c r="B119" i="5"/>
  <c r="K118" i="5"/>
  <c r="J118" i="5"/>
  <c r="I118" i="5"/>
  <c r="H118" i="5"/>
  <c r="G118" i="5"/>
  <c r="F118" i="5"/>
  <c r="E118" i="5"/>
  <c r="D118" i="5"/>
  <c r="C118" i="5"/>
  <c r="C130" i="5" s="1"/>
  <c r="C8" i="5" s="1"/>
  <c r="B118" i="5"/>
  <c r="B130" i="5" s="1"/>
  <c r="B8" i="5" s="1"/>
  <c r="AK117" i="5"/>
  <c r="AJ117" i="5"/>
  <c r="AI117" i="5"/>
  <c r="AH117" i="5"/>
  <c r="AG117" i="5"/>
  <c r="AF117" i="5"/>
  <c r="AE117" i="5"/>
  <c r="AD117" i="5"/>
  <c r="AC117" i="5"/>
  <c r="AB117" i="5"/>
  <c r="AA117" i="5"/>
  <c r="Z117" i="5"/>
  <c r="Y117" i="5"/>
  <c r="X117" i="5"/>
  <c r="W117" i="5"/>
  <c r="V117" i="5"/>
  <c r="U117" i="5"/>
  <c r="T117" i="5"/>
  <c r="S117" i="5"/>
  <c r="R117" i="5"/>
  <c r="Q117" i="5"/>
  <c r="P117" i="5"/>
  <c r="O117" i="5"/>
  <c r="N117" i="5"/>
  <c r="M117" i="5"/>
  <c r="L117" i="5"/>
  <c r="K117" i="5"/>
  <c r="J117" i="5"/>
  <c r="I117" i="5"/>
  <c r="H117" i="5"/>
  <c r="G117" i="5"/>
  <c r="F117" i="5"/>
  <c r="E117" i="5"/>
  <c r="D117" i="5"/>
  <c r="C117" i="5"/>
  <c r="B117" i="5"/>
  <c r="K113" i="5"/>
  <c r="J113" i="5"/>
  <c r="I113" i="5"/>
  <c r="H113" i="5"/>
  <c r="G113" i="5"/>
  <c r="F113" i="5"/>
  <c r="E113" i="5"/>
  <c r="D113" i="5"/>
  <c r="C113" i="5"/>
  <c r="B113" i="5"/>
  <c r="K112" i="5"/>
  <c r="J112" i="5"/>
  <c r="I112" i="5"/>
  <c r="H112" i="5"/>
  <c r="G112" i="5"/>
  <c r="F112" i="5"/>
  <c r="E112" i="5"/>
  <c r="D112" i="5"/>
  <c r="C112" i="5"/>
  <c r="B112" i="5"/>
  <c r="K111" i="5"/>
  <c r="J111" i="5"/>
  <c r="I111" i="5"/>
  <c r="H111" i="5"/>
  <c r="G111" i="5"/>
  <c r="F111" i="5"/>
  <c r="E111" i="5"/>
  <c r="D111" i="5"/>
  <c r="C111" i="5"/>
  <c r="B111" i="5"/>
  <c r="K110" i="5"/>
  <c r="J110" i="5"/>
  <c r="I110" i="5"/>
  <c r="H110" i="5"/>
  <c r="G110" i="5"/>
  <c r="F110" i="5"/>
  <c r="E110" i="5"/>
  <c r="D110" i="5"/>
  <c r="C110" i="5"/>
  <c r="B110" i="5"/>
  <c r="K109" i="5"/>
  <c r="J109" i="5"/>
  <c r="I109" i="5"/>
  <c r="H109" i="5"/>
  <c r="H114" i="5" s="1"/>
  <c r="H5" i="5" s="1"/>
  <c r="G109" i="5"/>
  <c r="F109" i="5"/>
  <c r="E109" i="5"/>
  <c r="D109" i="5"/>
  <c r="C109" i="5"/>
  <c r="B109" i="5"/>
  <c r="K108" i="5"/>
  <c r="J108" i="5"/>
  <c r="I108" i="5"/>
  <c r="H108" i="5"/>
  <c r="G108" i="5"/>
  <c r="F108" i="5"/>
  <c r="E108" i="5"/>
  <c r="D108" i="5"/>
  <c r="C108" i="5"/>
  <c r="B108" i="5"/>
  <c r="K107" i="5"/>
  <c r="J107" i="5"/>
  <c r="I107" i="5"/>
  <c r="H107" i="5"/>
  <c r="G107" i="5"/>
  <c r="F107" i="5"/>
  <c r="E107" i="5"/>
  <c r="D107" i="5"/>
  <c r="C107" i="5"/>
  <c r="B107" i="5"/>
  <c r="K106" i="5"/>
  <c r="J106" i="5"/>
  <c r="I106" i="5"/>
  <c r="H106" i="5"/>
  <c r="G106" i="5"/>
  <c r="G114" i="5" s="1"/>
  <c r="G5" i="5" s="1"/>
  <c r="F106" i="5"/>
  <c r="E106" i="5"/>
  <c r="D106" i="5"/>
  <c r="C106" i="5"/>
  <c r="B106" i="5"/>
  <c r="K105" i="5"/>
  <c r="J105" i="5"/>
  <c r="I105" i="5"/>
  <c r="H105" i="5"/>
  <c r="G105" i="5"/>
  <c r="F105" i="5"/>
  <c r="E105" i="5"/>
  <c r="D105" i="5"/>
  <c r="C105" i="5"/>
  <c r="B105" i="5"/>
  <c r="K104" i="5"/>
  <c r="J104" i="5"/>
  <c r="I104" i="5"/>
  <c r="I114" i="5" s="1"/>
  <c r="I5" i="5" s="1"/>
  <c r="H104" i="5"/>
  <c r="G104" i="5"/>
  <c r="F104" i="5"/>
  <c r="E104" i="5"/>
  <c r="D104" i="5"/>
  <c r="C104" i="5"/>
  <c r="B104" i="5"/>
  <c r="K103" i="5"/>
  <c r="J103" i="5"/>
  <c r="I103" i="5"/>
  <c r="H103" i="5"/>
  <c r="G103" i="5"/>
  <c r="F103" i="5"/>
  <c r="F114" i="5" s="1"/>
  <c r="F5" i="5" s="1"/>
  <c r="E103" i="5"/>
  <c r="E114" i="5" s="1"/>
  <c r="E5" i="5" s="1"/>
  <c r="E6" i="5" s="1"/>
  <c r="D103" i="5"/>
  <c r="D114" i="5" s="1"/>
  <c r="D5" i="5" s="1"/>
  <c r="C103" i="5"/>
  <c r="C114" i="5" s="1"/>
  <c r="C5" i="5" s="1"/>
  <c r="B103" i="5"/>
  <c r="K102" i="5"/>
  <c r="J102" i="5"/>
  <c r="I102" i="5"/>
  <c r="H102" i="5"/>
  <c r="G102" i="5"/>
  <c r="F102" i="5"/>
  <c r="E102" i="5"/>
  <c r="D102" i="5"/>
  <c r="C102" i="5"/>
  <c r="B102" i="5"/>
  <c r="AK101" i="5"/>
  <c r="AJ101" i="5"/>
  <c r="AI101" i="5"/>
  <c r="AH101" i="5"/>
  <c r="AG101" i="5"/>
  <c r="AF101" i="5"/>
  <c r="AE101" i="5"/>
  <c r="AD101" i="5"/>
  <c r="AC101" i="5"/>
  <c r="AB101" i="5"/>
  <c r="AA101" i="5"/>
  <c r="Z101" i="5"/>
  <c r="Y101" i="5"/>
  <c r="X101" i="5"/>
  <c r="W101" i="5"/>
  <c r="V101" i="5"/>
  <c r="U101" i="5"/>
  <c r="T101" i="5"/>
  <c r="S101" i="5"/>
  <c r="R101" i="5"/>
  <c r="Q101" i="5"/>
  <c r="P101" i="5"/>
  <c r="O101" i="5"/>
  <c r="N101" i="5"/>
  <c r="M101" i="5"/>
  <c r="L101" i="5"/>
  <c r="K101" i="5"/>
  <c r="J101" i="5"/>
  <c r="I101" i="5"/>
  <c r="H101" i="5"/>
  <c r="G101" i="5"/>
  <c r="F101" i="5"/>
  <c r="E101" i="5"/>
  <c r="D101" i="5"/>
  <c r="C101" i="5"/>
  <c r="B101" i="5"/>
  <c r="K98" i="5"/>
  <c r="K10" i="5" s="1"/>
  <c r="J98" i="5"/>
  <c r="I98" i="5"/>
  <c r="I10" i="5" s="1"/>
  <c r="H98" i="5"/>
  <c r="G98" i="5"/>
  <c r="K97" i="5"/>
  <c r="J97" i="5"/>
  <c r="I97" i="5"/>
  <c r="H97" i="5"/>
  <c r="G97" i="5"/>
  <c r="K96" i="5"/>
  <c r="J96" i="5"/>
  <c r="I96" i="5"/>
  <c r="H96" i="5"/>
  <c r="G96" i="5"/>
  <c r="K95" i="5"/>
  <c r="J95" i="5"/>
  <c r="I95" i="5"/>
  <c r="H95" i="5"/>
  <c r="G95" i="5"/>
  <c r="K94" i="5"/>
  <c r="J94" i="5"/>
  <c r="I94" i="5"/>
  <c r="H94" i="5"/>
  <c r="G94" i="5"/>
  <c r="K93" i="5"/>
  <c r="J93" i="5"/>
  <c r="I93" i="5"/>
  <c r="H93" i="5"/>
  <c r="G93" i="5"/>
  <c r="K92" i="5"/>
  <c r="J92" i="5"/>
  <c r="I92" i="5"/>
  <c r="H92" i="5"/>
  <c r="G92" i="5"/>
  <c r="K91" i="5"/>
  <c r="J91" i="5"/>
  <c r="I91" i="5"/>
  <c r="H91" i="5"/>
  <c r="G91" i="5"/>
  <c r="K90" i="5"/>
  <c r="J90" i="5"/>
  <c r="I90" i="5"/>
  <c r="H90" i="5"/>
  <c r="G90" i="5"/>
  <c r="K89" i="5"/>
  <c r="J89" i="5"/>
  <c r="I89" i="5"/>
  <c r="H89" i="5"/>
  <c r="G89" i="5"/>
  <c r="K88" i="5"/>
  <c r="J88" i="5"/>
  <c r="I88" i="5"/>
  <c r="H88" i="5"/>
  <c r="G88" i="5"/>
  <c r="K87" i="5"/>
  <c r="J87" i="5"/>
  <c r="I87" i="5"/>
  <c r="H87" i="5"/>
  <c r="G87" i="5"/>
  <c r="AK86" i="5"/>
  <c r="AJ86" i="5"/>
  <c r="AI86" i="5"/>
  <c r="AH86" i="5"/>
  <c r="AG86" i="5"/>
  <c r="AF86" i="5"/>
  <c r="AE86" i="5"/>
  <c r="AD86" i="5"/>
  <c r="AC86" i="5"/>
  <c r="AB86" i="5"/>
  <c r="AA86" i="5"/>
  <c r="Z86" i="5"/>
  <c r="Y86" i="5"/>
  <c r="X86" i="5"/>
  <c r="W86" i="5"/>
  <c r="V86" i="5"/>
  <c r="U86" i="5"/>
  <c r="T86" i="5"/>
  <c r="S86" i="5"/>
  <c r="R86" i="5"/>
  <c r="Q86" i="5"/>
  <c r="P86" i="5"/>
  <c r="O86" i="5"/>
  <c r="N86" i="5"/>
  <c r="M86" i="5"/>
  <c r="L86" i="5"/>
  <c r="K86" i="5"/>
  <c r="J86" i="5"/>
  <c r="I86" i="5"/>
  <c r="H86" i="5"/>
  <c r="G86" i="5"/>
  <c r="F86" i="5"/>
  <c r="E86" i="5"/>
  <c r="D86" i="5"/>
  <c r="C86" i="5"/>
  <c r="B86" i="5"/>
  <c r="K82" i="5"/>
  <c r="K75" i="5"/>
  <c r="K72" i="5"/>
  <c r="AK70" i="5"/>
  <c r="AJ70" i="5"/>
  <c r="AI70" i="5"/>
  <c r="AH70" i="5"/>
  <c r="AG70" i="5"/>
  <c r="AF70" i="5"/>
  <c r="AE70" i="5"/>
  <c r="AD70" i="5"/>
  <c r="AC70" i="5"/>
  <c r="AB70" i="5"/>
  <c r="AA70" i="5"/>
  <c r="Z70" i="5"/>
  <c r="Y70" i="5"/>
  <c r="X70" i="5"/>
  <c r="W70" i="5"/>
  <c r="V70" i="5"/>
  <c r="U70" i="5"/>
  <c r="T70" i="5"/>
  <c r="S70" i="5"/>
  <c r="R70" i="5"/>
  <c r="Q70" i="5"/>
  <c r="P70" i="5"/>
  <c r="O70" i="5"/>
  <c r="N70" i="5"/>
  <c r="M70" i="5"/>
  <c r="L70" i="5"/>
  <c r="K70" i="5"/>
  <c r="J70" i="5"/>
  <c r="I70" i="5"/>
  <c r="H70" i="5"/>
  <c r="G70" i="5"/>
  <c r="F70" i="5"/>
  <c r="E70" i="5"/>
  <c r="D70" i="5"/>
  <c r="C70" i="5"/>
  <c r="B70" i="5"/>
  <c r="K66" i="5"/>
  <c r="J66" i="5"/>
  <c r="I66" i="5"/>
  <c r="H66" i="5"/>
  <c r="G66" i="5"/>
  <c r="F66" i="5"/>
  <c r="K65" i="5"/>
  <c r="J65" i="5"/>
  <c r="I65" i="5"/>
  <c r="H65" i="5"/>
  <c r="G65" i="5"/>
  <c r="F65" i="5"/>
  <c r="K64" i="5"/>
  <c r="J64" i="5"/>
  <c r="I64" i="5"/>
  <c r="H64" i="5"/>
  <c r="G64" i="5"/>
  <c r="F64" i="5"/>
  <c r="K63" i="5"/>
  <c r="J63" i="5"/>
  <c r="I63" i="5"/>
  <c r="H63" i="5"/>
  <c r="G63" i="5"/>
  <c r="F63" i="5"/>
  <c r="K62" i="5"/>
  <c r="J62" i="5"/>
  <c r="I62" i="5"/>
  <c r="H62" i="5"/>
  <c r="G62" i="5"/>
  <c r="F62" i="5"/>
  <c r="K61" i="5"/>
  <c r="J61" i="5"/>
  <c r="I61" i="5"/>
  <c r="H61" i="5"/>
  <c r="G61" i="5"/>
  <c r="F61" i="5"/>
  <c r="K60" i="5"/>
  <c r="K67" i="5" s="1"/>
  <c r="J60" i="5"/>
  <c r="I60" i="5"/>
  <c r="H60" i="5"/>
  <c r="G60" i="5"/>
  <c r="F60" i="5"/>
  <c r="K59" i="5"/>
  <c r="J59" i="5"/>
  <c r="I59" i="5"/>
  <c r="H59" i="5"/>
  <c r="G59" i="5"/>
  <c r="F59" i="5"/>
  <c r="K58" i="5"/>
  <c r="J58" i="5"/>
  <c r="I58" i="5"/>
  <c r="H58" i="5"/>
  <c r="G58" i="5"/>
  <c r="G67" i="5" s="1"/>
  <c r="F58" i="5"/>
  <c r="K57" i="5"/>
  <c r="J57" i="5"/>
  <c r="I57" i="5"/>
  <c r="H57" i="5"/>
  <c r="G57" i="5"/>
  <c r="F57" i="5"/>
  <c r="K56" i="5"/>
  <c r="J56" i="5"/>
  <c r="I56" i="5"/>
  <c r="H56" i="5"/>
  <c r="G56" i="5"/>
  <c r="F56" i="5"/>
  <c r="K55" i="5"/>
  <c r="J55" i="5"/>
  <c r="I55" i="5"/>
  <c r="H55" i="5"/>
  <c r="G55" i="5"/>
  <c r="F55" i="5"/>
  <c r="AK54" i="5"/>
  <c r="AJ54" i="5"/>
  <c r="AI54"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C54" i="5"/>
  <c r="B54" i="5"/>
  <c r="K50" i="5"/>
  <c r="J50" i="5"/>
  <c r="I50" i="5"/>
  <c r="H50" i="5"/>
  <c r="G50" i="5"/>
  <c r="F50" i="5"/>
  <c r="K49" i="5"/>
  <c r="J49" i="5"/>
  <c r="I49" i="5"/>
  <c r="H49" i="5"/>
  <c r="G49" i="5"/>
  <c r="F49" i="5"/>
  <c r="K48" i="5"/>
  <c r="J48" i="5"/>
  <c r="I48" i="5"/>
  <c r="H48" i="5"/>
  <c r="G48" i="5"/>
  <c r="F48" i="5"/>
  <c r="K47" i="5"/>
  <c r="J47" i="5"/>
  <c r="I47" i="5"/>
  <c r="H47" i="5"/>
  <c r="G47" i="5"/>
  <c r="F47" i="5"/>
  <c r="K46" i="5"/>
  <c r="J46" i="5"/>
  <c r="I46" i="5"/>
  <c r="H46" i="5"/>
  <c r="G46" i="5"/>
  <c r="F46" i="5"/>
  <c r="K45" i="5"/>
  <c r="J45" i="5"/>
  <c r="I45" i="5"/>
  <c r="H45" i="5"/>
  <c r="G45" i="5"/>
  <c r="F45" i="5"/>
  <c r="K44" i="5"/>
  <c r="J44" i="5"/>
  <c r="I44" i="5"/>
  <c r="H44" i="5"/>
  <c r="G44" i="5"/>
  <c r="F44" i="5"/>
  <c r="K43" i="5"/>
  <c r="J43" i="5"/>
  <c r="I43" i="5"/>
  <c r="H43" i="5"/>
  <c r="G43" i="5"/>
  <c r="F43" i="5"/>
  <c r="K42" i="5"/>
  <c r="J42" i="5"/>
  <c r="I42" i="5"/>
  <c r="H42" i="5"/>
  <c r="G42" i="5"/>
  <c r="F42" i="5"/>
  <c r="K41" i="5"/>
  <c r="J41" i="5"/>
  <c r="I41" i="5"/>
  <c r="H41" i="5"/>
  <c r="G41" i="5"/>
  <c r="F41" i="5"/>
  <c r="K40" i="5"/>
  <c r="J40" i="5"/>
  <c r="I40" i="5"/>
  <c r="H40" i="5"/>
  <c r="G40" i="5"/>
  <c r="F40" i="5"/>
  <c r="K39" i="5"/>
  <c r="J39" i="5"/>
  <c r="I39" i="5"/>
  <c r="H39" i="5"/>
  <c r="G39" i="5"/>
  <c r="F39" i="5"/>
  <c r="AK38" i="5"/>
  <c r="AJ38" i="5"/>
  <c r="AI38" i="5"/>
  <c r="AH38" i="5"/>
  <c r="AG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C38" i="5"/>
  <c r="B38" i="5"/>
  <c r="F35" i="5"/>
  <c r="E35" i="5"/>
  <c r="D35" i="5"/>
  <c r="C35" i="5"/>
  <c r="B35" i="5"/>
  <c r="K34" i="5"/>
  <c r="J34" i="5"/>
  <c r="I34" i="5"/>
  <c r="H34" i="5"/>
  <c r="G34" i="5"/>
  <c r="J33" i="5"/>
  <c r="I33" i="5"/>
  <c r="H33" i="5"/>
  <c r="G33" i="5"/>
  <c r="J32" i="5"/>
  <c r="I32" i="5"/>
  <c r="H32" i="5"/>
  <c r="G32" i="5"/>
  <c r="K31" i="5"/>
  <c r="J31" i="5"/>
  <c r="I31" i="5"/>
  <c r="H31" i="5"/>
  <c r="G31" i="5"/>
  <c r="J30" i="5"/>
  <c r="I30" i="5"/>
  <c r="H30" i="5"/>
  <c r="G30" i="5"/>
  <c r="K29" i="5"/>
  <c r="J29" i="5"/>
  <c r="I29" i="5"/>
  <c r="H29" i="5"/>
  <c r="G29" i="5"/>
  <c r="K28" i="5"/>
  <c r="J28" i="5"/>
  <c r="I28" i="5"/>
  <c r="H28" i="5"/>
  <c r="G28" i="5"/>
  <c r="K27" i="5"/>
  <c r="J27" i="5"/>
  <c r="I27" i="5"/>
  <c r="H27" i="5"/>
  <c r="G27" i="5"/>
  <c r="K26" i="5"/>
  <c r="J26" i="5"/>
  <c r="I26" i="5"/>
  <c r="H26" i="5"/>
  <c r="G26" i="5"/>
  <c r="K25" i="5"/>
  <c r="K73" i="5" s="1"/>
  <c r="J25" i="5"/>
  <c r="I25" i="5"/>
  <c r="H25" i="5"/>
  <c r="G25" i="5"/>
  <c r="K24" i="5"/>
  <c r="J24" i="5"/>
  <c r="I24" i="5"/>
  <c r="H24" i="5"/>
  <c r="G24" i="5"/>
  <c r="K23" i="5"/>
  <c r="J23" i="5"/>
  <c r="I23" i="5"/>
  <c r="I35" i="5" s="1"/>
  <c r="I4" i="5" s="1"/>
  <c r="H23" i="5"/>
  <c r="G23" i="5"/>
  <c r="G35" i="5" s="1"/>
  <c r="AK22" i="5"/>
  <c r="AJ22" i="5"/>
  <c r="AI22" i="5"/>
  <c r="AH22" i="5"/>
  <c r="AG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C22" i="5"/>
  <c r="B22" i="5"/>
  <c r="D16" i="5"/>
  <c r="K14" i="5"/>
  <c r="J14" i="5"/>
  <c r="D14" i="5"/>
  <c r="AK10" i="5"/>
  <c r="AJ10" i="5"/>
  <c r="AK3" i="5" s="1"/>
  <c r="AI10" i="5"/>
  <c r="AH10" i="5"/>
  <c r="AG10" i="5"/>
  <c r="AF10" i="5"/>
  <c r="AE10" i="5"/>
  <c r="AD10" i="5"/>
  <c r="AC10" i="5"/>
  <c r="AD3" i="5" s="1"/>
  <c r="AB10" i="5"/>
  <c r="AC3" i="5" s="1"/>
  <c r="AA10" i="5"/>
  <c r="AB3" i="5" s="1"/>
  <c r="Z10" i="5"/>
  <c r="Y10" i="5"/>
  <c r="Z3" i="5" s="1"/>
  <c r="X10" i="5"/>
  <c r="W10" i="5"/>
  <c r="V10" i="5"/>
  <c r="W3" i="5" s="1"/>
  <c r="U10" i="5"/>
  <c r="V3" i="5" s="1"/>
  <c r="T10" i="5"/>
  <c r="S10" i="5"/>
  <c r="T3" i="5" s="1"/>
  <c r="R10" i="5"/>
  <c r="S3" i="5" s="1"/>
  <c r="Q10" i="5"/>
  <c r="R3" i="5" s="1"/>
  <c r="P10" i="5"/>
  <c r="O10" i="5"/>
  <c r="P3" i="5" s="1"/>
  <c r="N10" i="5"/>
  <c r="O3" i="5" s="1"/>
  <c r="M10" i="5"/>
  <c r="L10" i="5"/>
  <c r="J10" i="5"/>
  <c r="H10" i="5"/>
  <c r="G10" i="5"/>
  <c r="H3" i="5" s="1"/>
  <c r="H6" i="5" s="1"/>
  <c r="F10" i="5"/>
  <c r="G3" i="5" s="1"/>
  <c r="E10" i="5"/>
  <c r="F3" i="5" s="1"/>
  <c r="D10" i="5"/>
  <c r="C10" i="5"/>
  <c r="D3" i="5" s="1"/>
  <c r="B10" i="5"/>
  <c r="C3" i="5" s="1"/>
  <c r="G8" i="5"/>
  <c r="D6" i="5"/>
  <c r="H4" i="5"/>
  <c r="H14" i="6" s="1"/>
  <c r="G4" i="5"/>
  <c r="G14" i="6" s="1"/>
  <c r="F4" i="5"/>
  <c r="F14" i="6" s="1"/>
  <c r="E4" i="5"/>
  <c r="E14" i="6" s="1"/>
  <c r="D4" i="5"/>
  <c r="D14" i="6" s="1"/>
  <c r="C4" i="5"/>
  <c r="C14" i="6" s="1"/>
  <c r="B4" i="5"/>
  <c r="AJ3" i="5"/>
  <c r="AI3" i="5"/>
  <c r="AH3" i="5"/>
  <c r="AG3" i="5"/>
  <c r="AF3" i="5"/>
  <c r="AE3" i="5"/>
  <c r="AA3" i="5"/>
  <c r="Y3" i="5"/>
  <c r="X3" i="5"/>
  <c r="U3" i="5"/>
  <c r="Q3" i="5"/>
  <c r="N3" i="5"/>
  <c r="M3" i="5"/>
  <c r="L3" i="5"/>
  <c r="K3" i="5"/>
  <c r="J3" i="5"/>
  <c r="I3" i="5"/>
  <c r="E3" i="5"/>
  <c r="B135" i="4"/>
  <c r="B134" i="4"/>
  <c r="B133" i="4"/>
  <c r="B132" i="4"/>
  <c r="B131" i="4"/>
  <c r="B130" i="4"/>
  <c r="B129" i="4"/>
  <c r="B128" i="4"/>
  <c r="B127" i="4"/>
  <c r="B126" i="4"/>
  <c r="B125" i="4"/>
  <c r="B124" i="4"/>
  <c r="B123" i="4"/>
  <c r="B122" i="4"/>
  <c r="B121" i="4"/>
  <c r="B120" i="4"/>
  <c r="B119" i="4"/>
  <c r="B118" i="4"/>
  <c r="B117" i="4"/>
  <c r="B116" i="4"/>
  <c r="B115" i="4"/>
  <c r="B114" i="4"/>
  <c r="B113" i="4"/>
  <c r="B112" i="4"/>
  <c r="C181" i="2"/>
  <c r="D181" i="2" s="1"/>
  <c r="B181" i="2"/>
  <c r="C180" i="2"/>
  <c r="B180" i="2"/>
  <c r="D180" i="2" s="1"/>
  <c r="C179" i="2"/>
  <c r="D179" i="2" s="1"/>
  <c r="B179" i="2"/>
  <c r="C178" i="2"/>
  <c r="D178" i="2" s="1"/>
  <c r="B178" i="2"/>
  <c r="C177" i="2"/>
  <c r="D177" i="2" s="1"/>
  <c r="B177" i="2"/>
  <c r="C176" i="2"/>
  <c r="D176" i="2" s="1"/>
  <c r="B176" i="2"/>
  <c r="C175" i="2"/>
  <c r="D175" i="2" s="1"/>
  <c r="B175" i="2"/>
  <c r="C174" i="2"/>
  <c r="D174" i="2" s="1"/>
  <c r="B174" i="2"/>
  <c r="C173" i="2"/>
  <c r="D173" i="2" s="1"/>
  <c r="B173" i="2"/>
  <c r="C172" i="2"/>
  <c r="B172" i="2"/>
  <c r="C171" i="2"/>
  <c r="B171" i="2"/>
  <c r="C170" i="2"/>
  <c r="B170" i="2"/>
  <c r="L12" i="5" s="1"/>
  <c r="M12" i="5" s="1"/>
  <c r="N12" i="5" s="1"/>
  <c r="O12" i="5" s="1"/>
  <c r="P12" i="5" s="1"/>
  <c r="Q12" i="5" s="1"/>
  <c r="R12" i="5" s="1"/>
  <c r="S12" i="5" s="1"/>
  <c r="T12" i="5" s="1"/>
  <c r="U12" i="5" s="1"/>
  <c r="V12" i="5" s="1"/>
  <c r="W12" i="5" s="1"/>
  <c r="X12" i="5" s="1"/>
  <c r="Y12" i="5" s="1"/>
  <c r="Z12" i="5" s="1"/>
  <c r="AA12" i="5" s="1"/>
  <c r="AB12" i="5" s="1"/>
  <c r="AC12" i="5" s="1"/>
  <c r="AD12" i="5" s="1"/>
  <c r="AE12" i="5" s="1"/>
  <c r="AF12" i="5" s="1"/>
  <c r="AG12" i="5" s="1"/>
  <c r="AH12" i="5" s="1"/>
  <c r="AI12" i="5" s="1"/>
  <c r="AJ12" i="5" s="1"/>
  <c r="AK12" i="5" s="1"/>
  <c r="C169" i="2"/>
  <c r="D169" i="2" s="1"/>
  <c r="B169" i="2"/>
  <c r="C168" i="2"/>
  <c r="D168" i="2" s="1"/>
  <c r="B168" i="2"/>
  <c r="D167" i="2"/>
  <c r="C167" i="2"/>
  <c r="B167" i="2"/>
  <c r="D166" i="2"/>
  <c r="C166" i="2"/>
  <c r="B166" i="2"/>
  <c r="C165" i="2"/>
  <c r="D165" i="2" s="1"/>
  <c r="B165" i="2"/>
  <c r="C164" i="2"/>
  <c r="B164" i="2"/>
  <c r="D164" i="2" s="1"/>
  <c r="C163" i="2"/>
  <c r="D163" i="2" s="1"/>
  <c r="B163" i="2"/>
  <c r="D162" i="2"/>
  <c r="C162" i="2"/>
  <c r="B162" i="2"/>
  <c r="C161" i="2"/>
  <c r="D161" i="2" s="1"/>
  <c r="B161" i="2"/>
  <c r="C160" i="2"/>
  <c r="D160" i="2" s="1"/>
  <c r="B160" i="2"/>
  <c r="C159" i="2"/>
  <c r="D159" i="2" s="1"/>
  <c r="B159" i="2"/>
  <c r="C158" i="2"/>
  <c r="B158" i="2"/>
  <c r="D158" i="2" s="1"/>
  <c r="B157" i="2"/>
  <c r="D157" i="2" s="1"/>
  <c r="B156" i="2"/>
  <c r="D156" i="2" s="1"/>
  <c r="B155" i="2"/>
  <c r="D155" i="2" s="1"/>
  <c r="B154" i="2"/>
  <c r="D154" i="2" s="1"/>
  <c r="B153" i="2"/>
  <c r="D153" i="2" s="1"/>
  <c r="B152" i="2"/>
  <c r="D152" i="2" s="1"/>
  <c r="B151" i="2"/>
  <c r="D151" i="2" s="1"/>
  <c r="D150" i="2"/>
  <c r="B150" i="2"/>
  <c r="B149" i="2"/>
  <c r="D149" i="2" s="1"/>
  <c r="B148" i="2"/>
  <c r="D148" i="2" s="1"/>
  <c r="B147" i="2"/>
  <c r="D147" i="2" s="1"/>
  <c r="B146" i="2"/>
  <c r="D146" i="2" s="1"/>
  <c r="B145" i="2"/>
  <c r="D145" i="2" s="1"/>
  <c r="B144" i="2"/>
  <c r="D144" i="2" s="1"/>
  <c r="D143" i="2"/>
  <c r="B143" i="2"/>
  <c r="B142" i="2"/>
  <c r="D142" i="2" s="1"/>
  <c r="B141" i="2"/>
  <c r="D141" i="2" s="1"/>
  <c r="B140" i="2"/>
  <c r="D140" i="2" s="1"/>
  <c r="D139" i="2"/>
  <c r="B139" i="2"/>
  <c r="B138" i="2"/>
  <c r="D138" i="2" s="1"/>
  <c r="B137" i="2"/>
  <c r="D137" i="2" s="1"/>
  <c r="B136" i="2"/>
  <c r="D136" i="2" s="1"/>
  <c r="B135" i="2"/>
  <c r="D135" i="2" s="1"/>
  <c r="B134" i="2"/>
  <c r="D133" i="2"/>
  <c r="B133" i="2"/>
  <c r="D132" i="2"/>
  <c r="B132" i="2"/>
  <c r="B131" i="2"/>
  <c r="D131" i="2" s="1"/>
  <c r="D130" i="2"/>
  <c r="B130" i="2"/>
  <c r="B129" i="2"/>
  <c r="D129" i="2" s="1"/>
  <c r="D128" i="2"/>
  <c r="B128" i="2"/>
  <c r="B127" i="2"/>
  <c r="D127" i="2" s="1"/>
  <c r="B126" i="2"/>
  <c r="D126" i="2" s="1"/>
  <c r="B125" i="2"/>
  <c r="D125" i="2" s="1"/>
  <c r="B124" i="2"/>
  <c r="D124" i="2" s="1"/>
  <c r="B123" i="2"/>
  <c r="D123" i="2" s="1"/>
  <c r="B122" i="2"/>
  <c r="H12" i="5" s="1"/>
  <c r="H16" i="6" s="1"/>
  <c r="B121" i="2"/>
  <c r="D121" i="2" s="1"/>
  <c r="D120" i="2"/>
  <c r="B120" i="2"/>
  <c r="D119" i="2"/>
  <c r="B119" i="2"/>
  <c r="B118" i="2"/>
  <c r="D118" i="2" s="1"/>
  <c r="D117" i="2"/>
  <c r="B117" i="2"/>
  <c r="B116" i="2"/>
  <c r="D116" i="2" s="1"/>
  <c r="B115" i="2"/>
  <c r="D115" i="2" s="1"/>
  <c r="B114" i="2"/>
  <c r="D114" i="2" s="1"/>
  <c r="B113" i="2"/>
  <c r="D113" i="2" s="1"/>
  <c r="B112" i="2"/>
  <c r="D112" i="2" s="1"/>
  <c r="B111" i="2"/>
  <c r="D111" i="2" s="1"/>
  <c r="B110" i="2"/>
  <c r="B109" i="2"/>
  <c r="D109" i="2" s="1"/>
  <c r="B108" i="2"/>
  <c r="D108" i="2" s="1"/>
  <c r="D107" i="2"/>
  <c r="B107" i="2"/>
  <c r="D106" i="2"/>
  <c r="B106" i="2"/>
  <c r="B105" i="2"/>
  <c r="D105" i="2" s="1"/>
  <c r="B104" i="2"/>
  <c r="D104" i="2" s="1"/>
  <c r="B103" i="2"/>
  <c r="D103" i="2" s="1"/>
  <c r="B102" i="2"/>
  <c r="D102" i="2" s="1"/>
  <c r="B101" i="2"/>
  <c r="D101" i="2" s="1"/>
  <c r="B100" i="2"/>
  <c r="D100" i="2" s="1"/>
  <c r="B99" i="2"/>
  <c r="D99" i="2" s="1"/>
  <c r="B98" i="2"/>
  <c r="B97" i="2"/>
  <c r="D97" i="2" s="1"/>
  <c r="B96" i="2"/>
  <c r="D96" i="2" s="1"/>
  <c r="D95" i="2"/>
  <c r="B95" i="2"/>
  <c r="B94" i="2"/>
  <c r="D94" i="2" s="1"/>
  <c r="B93" i="2"/>
  <c r="D93" i="2" s="1"/>
  <c r="B92" i="2"/>
  <c r="D92" i="2" s="1"/>
  <c r="B91" i="2"/>
  <c r="D91" i="2" s="1"/>
  <c r="B90" i="2"/>
  <c r="D90" i="2" s="1"/>
  <c r="D89" i="2"/>
  <c r="B89" i="2"/>
  <c r="B88" i="2"/>
  <c r="D88" i="2" s="1"/>
  <c r="B87" i="2"/>
  <c r="D87" i="2" s="1"/>
  <c r="B86" i="2"/>
  <c r="D86" i="2" s="1"/>
  <c r="B85" i="2"/>
  <c r="D85" i="2" s="1"/>
  <c r="D84" i="2"/>
  <c r="B84" i="2"/>
  <c r="B83" i="2"/>
  <c r="D83" i="2" s="1"/>
  <c r="B82" i="2"/>
  <c r="D82" i="2" s="1"/>
  <c r="B81" i="2"/>
  <c r="D81" i="2" s="1"/>
  <c r="B80" i="2"/>
  <c r="D80" i="2" s="1"/>
  <c r="B79" i="2"/>
  <c r="D79" i="2" s="1"/>
  <c r="D78" i="2"/>
  <c r="B78" i="2"/>
  <c r="B77" i="2"/>
  <c r="D77" i="2" s="1"/>
  <c r="D76" i="2"/>
  <c r="B76" i="2"/>
  <c r="B75" i="2"/>
  <c r="D75" i="2" s="1"/>
  <c r="D74" i="2"/>
  <c r="B74" i="2"/>
  <c r="D73" i="2"/>
  <c r="B73" i="2"/>
  <c r="B72" i="2"/>
  <c r="D72" i="2" s="1"/>
  <c r="B71" i="2"/>
  <c r="D71" i="2" s="1"/>
  <c r="B70" i="2"/>
  <c r="D70" i="2" s="1"/>
  <c r="B69" i="2"/>
  <c r="D69" i="2" s="1"/>
  <c r="B68" i="2"/>
  <c r="D68" i="2" s="1"/>
  <c r="B67" i="2"/>
  <c r="D67" i="2" s="1"/>
  <c r="D66" i="2"/>
  <c r="B66" i="2"/>
  <c r="D65" i="2"/>
  <c r="B65" i="2"/>
  <c r="B64" i="2"/>
  <c r="D64" i="2" s="1"/>
  <c r="D63" i="2"/>
  <c r="B63" i="2"/>
  <c r="C12" i="5" s="1"/>
  <c r="D62" i="2"/>
  <c r="B62" i="2"/>
  <c r="B61" i="2"/>
  <c r="D61" i="2" s="1"/>
  <c r="B60" i="2"/>
  <c r="D60" i="2" s="1"/>
  <c r="B59" i="2"/>
  <c r="D59" i="2" s="1"/>
  <c r="B58" i="2"/>
  <c r="D58" i="2" s="1"/>
  <c r="B57" i="2"/>
  <c r="D57" i="2" s="1"/>
  <c r="B56" i="2"/>
  <c r="D56" i="2" s="1"/>
  <c r="B55" i="2"/>
  <c r="D55" i="2" s="1"/>
  <c r="B54" i="2"/>
  <c r="B12" i="5" s="1"/>
  <c r="D53" i="2"/>
  <c r="B53" i="2"/>
  <c r="D52" i="2"/>
  <c r="B52" i="2"/>
  <c r="D51" i="2"/>
  <c r="B51" i="2"/>
  <c r="B50" i="2"/>
  <c r="D50" i="2" s="1"/>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I12" i="6" l="1"/>
  <c r="D134" i="2"/>
  <c r="I12" i="5"/>
  <c r="D9" i="5"/>
  <c r="D7" i="5"/>
  <c r="D15" i="6" s="1"/>
  <c r="Q31" i="7"/>
  <c r="Q24" i="7"/>
  <c r="Q29" i="7"/>
  <c r="Q23" i="7"/>
  <c r="Q30" i="7"/>
  <c r="Q25" i="7"/>
  <c r="Q22" i="7"/>
  <c r="Q33" i="7"/>
  <c r="Q26" i="7"/>
  <c r="Q32" i="7"/>
  <c r="Q19" i="7"/>
  <c r="Q27" i="7"/>
  <c r="Q28" i="7"/>
  <c r="L19" i="6"/>
  <c r="D170" i="2"/>
  <c r="K80" i="5"/>
  <c r="G12" i="6"/>
  <c r="G6" i="5"/>
  <c r="H9" i="5"/>
  <c r="E9" i="5"/>
  <c r="E7" i="5"/>
  <c r="H12" i="6"/>
  <c r="K30" i="5"/>
  <c r="K63" i="6"/>
  <c r="F12" i="5"/>
  <c r="B14" i="6"/>
  <c r="B6" i="5"/>
  <c r="B33" i="8"/>
  <c r="B6" i="8" s="1"/>
  <c r="B8" i="8" s="1"/>
  <c r="I51" i="5"/>
  <c r="J51" i="5"/>
  <c r="K74" i="5"/>
  <c r="G12" i="9"/>
  <c r="G16" i="5"/>
  <c r="J12" i="9"/>
  <c r="J9" i="6"/>
  <c r="J16" i="5"/>
  <c r="H51" i="5"/>
  <c r="C33" i="8"/>
  <c r="C6" i="8" s="1"/>
  <c r="F67" i="5"/>
  <c r="F130" i="5"/>
  <c r="F8" i="5" s="1"/>
  <c r="G9" i="6"/>
  <c r="J52" i="6"/>
  <c r="J5" i="6" s="1"/>
  <c r="C15" i="8"/>
  <c r="C17" i="7"/>
  <c r="D98" i="2"/>
  <c r="G51" i="5"/>
  <c r="K65" i="6"/>
  <c r="K68" i="6" s="1"/>
  <c r="K32" i="5"/>
  <c r="R24" i="7"/>
  <c r="R30" i="7"/>
  <c r="R19" i="7"/>
  <c r="R29" i="7"/>
  <c r="R23" i="7"/>
  <c r="R8" i="7"/>
  <c r="R11" i="7" s="1"/>
  <c r="R22" i="7"/>
  <c r="R25" i="7"/>
  <c r="R33" i="7"/>
  <c r="R26" i="7"/>
  <c r="R32" i="7"/>
  <c r="R28" i="7"/>
  <c r="R27" i="7"/>
  <c r="F12" i="9"/>
  <c r="F16" i="5"/>
  <c r="C8" i="8"/>
  <c r="D172" i="2"/>
  <c r="D54" i="2"/>
  <c r="I6" i="5"/>
  <c r="D12" i="5"/>
  <c r="C6" i="5"/>
  <c r="H67" i="5"/>
  <c r="S32" i="7"/>
  <c r="S30" i="7"/>
  <c r="S19" i="7"/>
  <c r="S23" i="7"/>
  <c r="S28" i="7"/>
  <c r="S8" i="7"/>
  <c r="S11" i="7" s="1"/>
  <c r="S31" i="7"/>
  <c r="S22" i="7"/>
  <c r="S33" i="7"/>
  <c r="S26" i="7"/>
  <c r="S25" i="7"/>
  <c r="S24" i="7"/>
  <c r="S27" i="7"/>
  <c r="I12" i="9"/>
  <c r="I9" i="6"/>
  <c r="AG34" i="7"/>
  <c r="K12" i="5"/>
  <c r="I67" i="5"/>
  <c r="C14" i="7"/>
  <c r="D9" i="7"/>
  <c r="T32" i="7"/>
  <c r="T29" i="7"/>
  <c r="T28" i="7"/>
  <c r="T30" i="7"/>
  <c r="T22" i="7"/>
  <c r="T33" i="7"/>
  <c r="T26" i="7"/>
  <c r="T27" i="7"/>
  <c r="T8" i="7"/>
  <c r="T11" i="7" s="1"/>
  <c r="T9" i="7" s="1"/>
  <c r="T25" i="7"/>
  <c r="T23" i="7"/>
  <c r="T24" i="7"/>
  <c r="T19" i="7"/>
  <c r="D122" i="2"/>
  <c r="G12" i="5"/>
  <c r="D33" i="8"/>
  <c r="D6" i="8" s="1"/>
  <c r="J67" i="5"/>
  <c r="D14" i="7"/>
  <c r="E9" i="7"/>
  <c r="U29" i="7"/>
  <c r="U23" i="7"/>
  <c r="U28" i="7"/>
  <c r="U22" i="7"/>
  <c r="U31" i="7"/>
  <c r="U33" i="7"/>
  <c r="U26" i="7"/>
  <c r="U30" i="7"/>
  <c r="U27" i="7"/>
  <c r="U25" i="7"/>
  <c r="U32" i="7"/>
  <c r="U24" i="7"/>
  <c r="U19" i="7"/>
  <c r="U8" i="7"/>
  <c r="U11" i="7" s="1"/>
  <c r="U9" i="7" s="1"/>
  <c r="J94" i="8"/>
  <c r="D171" i="2"/>
  <c r="I14" i="6"/>
  <c r="D110" i="2"/>
  <c r="E12" i="5"/>
  <c r="F51" i="5"/>
  <c r="F6" i="5"/>
  <c r="V101" i="6"/>
  <c r="F8" i="7"/>
  <c r="F11" i="7" s="1"/>
  <c r="AB8" i="7"/>
  <c r="AB11" i="7" s="1"/>
  <c r="AB9" i="7" s="1"/>
  <c r="O33" i="7"/>
  <c r="O32" i="7"/>
  <c r="O24" i="7"/>
  <c r="O30" i="7"/>
  <c r="O19" i="7"/>
  <c r="O29" i="7"/>
  <c r="O8" i="7"/>
  <c r="O11" i="7" s="1"/>
  <c r="O25" i="7"/>
  <c r="O22" i="7"/>
  <c r="O23" i="7"/>
  <c r="O28" i="7"/>
  <c r="O26" i="7"/>
  <c r="O31" i="7"/>
  <c r="R31" i="7"/>
  <c r="I90" i="8"/>
  <c r="G14" i="7"/>
  <c r="H9" i="7"/>
  <c r="Y22" i="7"/>
  <c r="Y34" i="7" s="1"/>
  <c r="Y27" i="7"/>
  <c r="Y24" i="7"/>
  <c r="Y30" i="7"/>
  <c r="Y23" i="7"/>
  <c r="Y28" i="7"/>
  <c r="Y31" i="7"/>
  <c r="Y8" i="7"/>
  <c r="Y11" i="7" s="1"/>
  <c r="Y9" i="7" s="1"/>
  <c r="Y29" i="7"/>
  <c r="Y19" i="7"/>
  <c r="J36" i="6"/>
  <c r="J4" i="6" s="1"/>
  <c r="J66" i="6"/>
  <c r="J68" i="6" s="1"/>
  <c r="W101" i="6"/>
  <c r="G9" i="7"/>
  <c r="F14" i="7"/>
  <c r="W31" i="7"/>
  <c r="W28" i="7"/>
  <c r="W22" i="7"/>
  <c r="W27" i="7"/>
  <c r="W30" i="7"/>
  <c r="W26" i="7"/>
  <c r="W32" i="7"/>
  <c r="W23" i="7"/>
  <c r="W8" i="7"/>
  <c r="W11" i="7" s="1"/>
  <c r="W9" i="7" s="1"/>
  <c r="Z22" i="7"/>
  <c r="Z31" i="7"/>
  <c r="Z32" i="7"/>
  <c r="Z23" i="7"/>
  <c r="Z33" i="7"/>
  <c r="Z25" i="7"/>
  <c r="Z30" i="7"/>
  <c r="Z27" i="7"/>
  <c r="Z28" i="7"/>
  <c r="Z29" i="7"/>
  <c r="Z19" i="7"/>
  <c r="E65" i="8"/>
  <c r="E10" i="8" s="1"/>
  <c r="I10" i="8" s="1"/>
  <c r="AA101" i="6"/>
  <c r="I14" i="7"/>
  <c r="Y32" i="7"/>
  <c r="E81" i="8"/>
  <c r="E9" i="8" s="1"/>
  <c r="K79" i="5"/>
  <c r="AE29" i="7"/>
  <c r="AE26" i="7"/>
  <c r="AE25" i="7"/>
  <c r="AE24" i="7"/>
  <c r="AE33" i="7"/>
  <c r="AE27" i="7"/>
  <c r="AE19" i="7"/>
  <c r="AE23" i="7"/>
  <c r="AE34" i="7" s="1"/>
  <c r="AE31" i="7"/>
  <c r="AE28" i="7"/>
  <c r="W25" i="7"/>
  <c r="B9" i="6"/>
  <c r="B12" i="9"/>
  <c r="AB101" i="6"/>
  <c r="K25" i="7"/>
  <c r="K32" i="7"/>
  <c r="K26" i="7"/>
  <c r="K27" i="7"/>
  <c r="K19" i="7"/>
  <c r="K29" i="7"/>
  <c r="K30" i="7"/>
  <c r="K22" i="7"/>
  <c r="K28" i="7"/>
  <c r="K24" i="7"/>
  <c r="AG25" i="7"/>
  <c r="AG33" i="7"/>
  <c r="AG27" i="7"/>
  <c r="AG19" i="7"/>
  <c r="AG23" i="7"/>
  <c r="AG31" i="7"/>
  <c r="AG28" i="7"/>
  <c r="AG24" i="7"/>
  <c r="AG26" i="7"/>
  <c r="AG29" i="7"/>
  <c r="Y25" i="7"/>
  <c r="F49" i="8"/>
  <c r="F7" i="8" s="1"/>
  <c r="I29" i="7"/>
  <c r="I26" i="7"/>
  <c r="I33" i="7"/>
  <c r="I25" i="7"/>
  <c r="I27" i="7"/>
  <c r="I19" i="7"/>
  <c r="I28" i="7"/>
  <c r="I32" i="7"/>
  <c r="I30" i="7"/>
  <c r="I22" i="7"/>
  <c r="J12" i="5"/>
  <c r="K77" i="5"/>
  <c r="K51" i="5"/>
  <c r="J114" i="5"/>
  <c r="J5" i="5" s="1"/>
  <c r="C12" i="9"/>
  <c r="C9" i="6"/>
  <c r="K78" i="5"/>
  <c r="D12" i="9"/>
  <c r="AE32" i="7"/>
  <c r="G33" i="8"/>
  <c r="G6" i="8" s="1"/>
  <c r="G8" i="8" s="1"/>
  <c r="K114" i="5"/>
  <c r="K5" i="5" s="1"/>
  <c r="L5" i="5" s="1"/>
  <c r="H130" i="5"/>
  <c r="H8" i="5" s="1"/>
  <c r="H7" i="5" s="1"/>
  <c r="E9" i="6"/>
  <c r="E15" i="6"/>
  <c r="AE101" i="6"/>
  <c r="N25" i="7"/>
  <c r="N32" i="7"/>
  <c r="N31" i="7"/>
  <c r="N24" i="7"/>
  <c r="N30" i="7"/>
  <c r="N19" i="7"/>
  <c r="N29" i="7"/>
  <c r="N22" i="7"/>
  <c r="N33" i="7"/>
  <c r="N27" i="7"/>
  <c r="N8" i="7"/>
  <c r="N11" i="7" s="1"/>
  <c r="N23" i="7"/>
  <c r="N28" i="7"/>
  <c r="N26" i="7"/>
  <c r="H12" i="9"/>
  <c r="AC101" i="6"/>
  <c r="K19" i="6"/>
  <c r="K84" i="6"/>
  <c r="L85" i="8"/>
  <c r="M85" i="8" s="1"/>
  <c r="H35" i="5"/>
  <c r="K76" i="5"/>
  <c r="L101" i="6"/>
  <c r="I81" i="9"/>
  <c r="I7" i="9" s="1"/>
  <c r="O101" i="6"/>
  <c r="Q8" i="7"/>
  <c r="Q11" i="7" s="1"/>
  <c r="E8" i="8"/>
  <c r="J14" i="9"/>
  <c r="J35" i="5"/>
  <c r="J4" i="5" s="1"/>
  <c r="F8" i="8"/>
  <c r="K14" i="9"/>
  <c r="K35" i="5"/>
  <c r="K4" i="5" s="1"/>
  <c r="K6" i="5" s="1"/>
  <c r="K7" i="5" s="1"/>
  <c r="K71" i="5"/>
  <c r="K81" i="5"/>
  <c r="B114" i="5"/>
  <c r="B5" i="5" s="1"/>
  <c r="G33" i="9"/>
  <c r="G4" i="9" s="1"/>
  <c r="G6" i="9" s="1"/>
  <c r="K52" i="6"/>
  <c r="K5" i="6" s="1"/>
  <c r="K101" i="6"/>
  <c r="AG101" i="6"/>
  <c r="L8" i="7"/>
  <c r="L11" i="7" s="1"/>
  <c r="AF29" i="7"/>
  <c r="AF26" i="7"/>
  <c r="AF25" i="7"/>
  <c r="AF33" i="7"/>
  <c r="AF19" i="7"/>
  <c r="AF23" i="7"/>
  <c r="AF34" i="7" s="1"/>
  <c r="AF31" i="7"/>
  <c r="AF28" i="7"/>
  <c r="AH101" i="6"/>
  <c r="M8" i="7"/>
  <c r="M11" i="7" s="1"/>
  <c r="B8" i="7"/>
  <c r="B11" i="7" s="1"/>
  <c r="B9" i="7" s="1"/>
  <c r="B81" i="8"/>
  <c r="B9" i="8" s="1"/>
  <c r="M101" i="6"/>
  <c r="AI101" i="6"/>
  <c r="AD101" i="6"/>
  <c r="AK101" i="6"/>
  <c r="L17" i="8"/>
  <c r="C81" i="8"/>
  <c r="C9" i="8" s="1"/>
  <c r="C11" i="8" s="1"/>
  <c r="N101" i="6"/>
  <c r="AJ101" i="6"/>
  <c r="F65" i="9"/>
  <c r="F9" i="9" s="1"/>
  <c r="F10" i="9" s="1"/>
  <c r="K36" i="6"/>
  <c r="K4" i="6" s="1"/>
  <c r="C49" i="8"/>
  <c r="C7" i="8" s="1"/>
  <c r="I95" i="8"/>
  <c r="K95" i="8" s="1"/>
  <c r="K33" i="9"/>
  <c r="K4" i="9" s="1"/>
  <c r="K6" i="9" s="1"/>
  <c r="H65" i="9"/>
  <c r="H9" i="9" s="1"/>
  <c r="Q101" i="6"/>
  <c r="D49" i="8"/>
  <c r="D7" i="8" s="1"/>
  <c r="J95" i="8"/>
  <c r="X31" i="7"/>
  <c r="X28" i="7"/>
  <c r="X27" i="7"/>
  <c r="X22" i="7"/>
  <c r="X32" i="7"/>
  <c r="X23" i="7"/>
  <c r="M22" i="7"/>
  <c r="AC31" i="7"/>
  <c r="J49" i="9"/>
  <c r="J5" i="9" s="1"/>
  <c r="C81" i="9"/>
  <c r="C7" i="9" s="1"/>
  <c r="J26" i="7"/>
  <c r="J33" i="7"/>
  <c r="J25" i="7"/>
  <c r="J34" i="7" s="1"/>
  <c r="J32" i="7"/>
  <c r="J28" i="7"/>
  <c r="AB19" i="7"/>
  <c r="AC19" i="7"/>
  <c r="E81" i="9"/>
  <c r="E7" i="9" s="1"/>
  <c r="M33" i="7"/>
  <c r="M25" i="7"/>
  <c r="M31" i="7"/>
  <c r="M24" i="7"/>
  <c r="M28" i="7"/>
  <c r="AA30" i="7"/>
  <c r="AA27" i="7"/>
  <c r="AA26" i="7"/>
  <c r="AA31" i="7"/>
  <c r="AA32" i="7"/>
  <c r="AA23" i="7"/>
  <c r="AA24" i="7"/>
  <c r="H33" i="8"/>
  <c r="H6" i="8" s="1"/>
  <c r="H8" i="8" s="1"/>
  <c r="F81" i="9"/>
  <c r="F7" i="9" s="1"/>
  <c r="F14" i="5" s="1"/>
  <c r="AB30" i="7"/>
  <c r="AB27" i="7"/>
  <c r="AB26" i="7"/>
  <c r="AB22" i="7"/>
  <c r="AB24" i="7"/>
  <c r="AB33" i="7"/>
  <c r="AB25" i="7"/>
  <c r="X30" i="7"/>
  <c r="K89" i="8"/>
  <c r="G81" i="9"/>
  <c r="G7" i="9" s="1"/>
  <c r="G14" i="5" s="1"/>
  <c r="S101" i="6"/>
  <c r="AC26" i="7"/>
  <c r="AC22" i="7"/>
  <c r="AC32" i="7"/>
  <c r="AC23" i="7"/>
  <c r="AC33" i="7"/>
  <c r="AC25" i="7"/>
  <c r="F68" i="6"/>
  <c r="P33" i="7"/>
  <c r="P31" i="7"/>
  <c r="P30" i="7"/>
  <c r="P19" i="7"/>
  <c r="P29" i="7"/>
  <c r="P34" i="7" s="1"/>
  <c r="AA22" i="7"/>
  <c r="AA34" i="7" s="1"/>
  <c r="I8" i="7"/>
  <c r="I11" i="7" s="1"/>
  <c r="AE8" i="7"/>
  <c r="AE11" i="7" s="1"/>
  <c r="AE9" i="7" s="1"/>
  <c r="V23" i="7"/>
  <c r="V22" i="7"/>
  <c r="V34" i="7" s="1"/>
  <c r="D81" i="8"/>
  <c r="D9" i="8" s="1"/>
  <c r="D11" i="8" s="1"/>
  <c r="F6" i="9"/>
  <c r="D10" i="9"/>
  <c r="K8" i="7"/>
  <c r="K11" i="7" s="1"/>
  <c r="AG8" i="7"/>
  <c r="AG11" i="7" s="1"/>
  <c r="AG9" i="7" s="1"/>
  <c r="V31" i="7"/>
  <c r="I96" i="8"/>
  <c r="J96" i="8"/>
  <c r="K96" i="8" s="1"/>
  <c r="V30" i="7"/>
  <c r="H81" i="9"/>
  <c r="H7" i="9" s="1"/>
  <c r="L32" i="7"/>
  <c r="L34" i="7" s="1"/>
  <c r="F81" i="8"/>
  <c r="F9" i="8" s="1"/>
  <c r="G81" i="8"/>
  <c r="G9" i="8" s="1"/>
  <c r="H33" i="9"/>
  <c r="H4" i="9" s="1"/>
  <c r="H6" i="9" s="1"/>
  <c r="H81" i="8"/>
  <c r="H9" i="8" s="1"/>
  <c r="M87" i="8"/>
  <c r="N87" i="8" s="1"/>
  <c r="K87" i="8"/>
  <c r="L87" i="8"/>
  <c r="I86" i="8"/>
  <c r="I91" i="8"/>
  <c r="J33" i="9"/>
  <c r="J4" i="9" s="1"/>
  <c r="I88" i="8"/>
  <c r="G65" i="9"/>
  <c r="G9" i="9" s="1"/>
  <c r="J91" i="8"/>
  <c r="I49" i="9"/>
  <c r="I5" i="9" s="1"/>
  <c r="J92" i="8"/>
  <c r="J89" i="8"/>
  <c r="I65" i="9"/>
  <c r="I9" i="9" s="1"/>
  <c r="J65" i="9"/>
  <c r="J9" i="9" s="1"/>
  <c r="J16" i="9"/>
  <c r="I17" i="9"/>
  <c r="K65" i="9"/>
  <c r="K9" i="9" s="1"/>
  <c r="I93" i="8"/>
  <c r="J93" i="8"/>
  <c r="I33" i="9"/>
  <c r="I4" i="9" s="1"/>
  <c r="F49" i="9"/>
  <c r="F5" i="9" s="1"/>
  <c r="G49" i="9"/>
  <c r="G5" i="9" s="1"/>
  <c r="I65" i="8" l="1"/>
  <c r="K12" i="8"/>
  <c r="L5" i="8" s="1"/>
  <c r="L96" i="8"/>
  <c r="L114" i="5"/>
  <c r="L51" i="5"/>
  <c r="M96" i="8"/>
  <c r="H13" i="9"/>
  <c r="H15" i="5"/>
  <c r="H17" i="5" s="1"/>
  <c r="H15" i="6"/>
  <c r="K13" i="9"/>
  <c r="K15" i="5"/>
  <c r="K9" i="5"/>
  <c r="L89" i="8"/>
  <c r="L14" i="7"/>
  <c r="M9" i="7"/>
  <c r="H14" i="8"/>
  <c r="H11" i="8"/>
  <c r="W34" i="7"/>
  <c r="P14" i="7"/>
  <c r="Q9" i="7"/>
  <c r="G15" i="8"/>
  <c r="G17" i="7"/>
  <c r="G10" i="9"/>
  <c r="L9" i="9"/>
  <c r="M9" i="9" s="1"/>
  <c r="J14" i="6"/>
  <c r="J20" i="6"/>
  <c r="J6" i="6"/>
  <c r="K12" i="6"/>
  <c r="L5" i="6"/>
  <c r="L27" i="6"/>
  <c r="L31" i="6"/>
  <c r="L24" i="6"/>
  <c r="L25" i="6"/>
  <c r="L26" i="6"/>
  <c r="L32" i="6"/>
  <c r="L4" i="6"/>
  <c r="L30" i="6"/>
  <c r="L33" i="6"/>
  <c r="L34" i="6"/>
  <c r="M19" i="6"/>
  <c r="L29" i="6"/>
  <c r="L28" i="6"/>
  <c r="L93" i="8"/>
  <c r="G7" i="5"/>
  <c r="G9" i="5"/>
  <c r="I10" i="9"/>
  <c r="J12" i="6"/>
  <c r="AB34" i="7"/>
  <c r="N34" i="7"/>
  <c r="B9" i="5"/>
  <c r="B7" i="5"/>
  <c r="O87" i="8"/>
  <c r="P87" i="8" s="1"/>
  <c r="S34" i="7"/>
  <c r="I16" i="6"/>
  <c r="S9" i="7"/>
  <c r="R14" i="7"/>
  <c r="R34" i="7"/>
  <c r="Q14" i="7"/>
  <c r="R9" i="7"/>
  <c r="N85" i="8"/>
  <c r="D15" i="8"/>
  <c r="D17" i="7"/>
  <c r="B17" i="7"/>
  <c r="B15" i="8"/>
  <c r="I9" i="7"/>
  <c r="H14" i="7"/>
  <c r="J17" i="9"/>
  <c r="K16" i="9"/>
  <c r="F11" i="8"/>
  <c r="F14" i="8"/>
  <c r="I14" i="9"/>
  <c r="I14" i="5"/>
  <c r="I16" i="5" s="1"/>
  <c r="J6" i="9"/>
  <c r="N14" i="7"/>
  <c r="O9" i="7"/>
  <c r="N91" i="8"/>
  <c r="K91" i="8"/>
  <c r="K9" i="7"/>
  <c r="J14" i="7"/>
  <c r="AC34" i="7"/>
  <c r="M34" i="7"/>
  <c r="J86" i="8"/>
  <c r="I34" i="7"/>
  <c r="E11" i="8"/>
  <c r="E14" i="8"/>
  <c r="E14" i="7"/>
  <c r="F9" i="7"/>
  <c r="H14" i="9"/>
  <c r="H14" i="5"/>
  <c r="H16" i="5" s="1"/>
  <c r="D8" i="8"/>
  <c r="E15" i="8"/>
  <c r="E17" i="7"/>
  <c r="K88" i="8"/>
  <c r="L88" i="8"/>
  <c r="C14" i="5"/>
  <c r="C16" i="5" s="1"/>
  <c r="C10" i="9"/>
  <c r="L5" i="9"/>
  <c r="Z34" i="7"/>
  <c r="M5" i="5"/>
  <c r="K83" i="5"/>
  <c r="K10" i="9"/>
  <c r="H17" i="7"/>
  <c r="H15" i="8"/>
  <c r="G11" i="8"/>
  <c r="G14" i="8"/>
  <c r="J10" i="9"/>
  <c r="H10" i="9"/>
  <c r="U34" i="7"/>
  <c r="D13" i="9"/>
  <c r="D15" i="5"/>
  <c r="D17" i="5" s="1"/>
  <c r="K92" i="8"/>
  <c r="I7" i="8"/>
  <c r="J10" i="8"/>
  <c r="K6" i="6"/>
  <c r="K14" i="6"/>
  <c r="K20" i="6"/>
  <c r="L9" i="7"/>
  <c r="K14" i="7"/>
  <c r="I12" i="8"/>
  <c r="J5" i="8" s="1"/>
  <c r="J88" i="8"/>
  <c r="M17" i="8"/>
  <c r="L16" i="8"/>
  <c r="O34" i="7"/>
  <c r="X34" i="7"/>
  <c r="B11" i="8"/>
  <c r="I9" i="8"/>
  <c r="K34" i="7"/>
  <c r="C9" i="5"/>
  <c r="C7" i="5"/>
  <c r="E13" i="9"/>
  <c r="L4" i="5"/>
  <c r="I7" i="5"/>
  <c r="I9" i="5"/>
  <c r="L95" i="8"/>
  <c r="F7" i="5"/>
  <c r="F9" i="5"/>
  <c r="E10" i="9"/>
  <c r="E14" i="5"/>
  <c r="E16" i="5" s="1"/>
  <c r="M95" i="8"/>
  <c r="N95" i="8" s="1"/>
  <c r="M14" i="7"/>
  <c r="N9" i="7"/>
  <c r="J6" i="5"/>
  <c r="J12" i="8"/>
  <c r="K5" i="8" s="1"/>
  <c r="M4" i="5"/>
  <c r="T34" i="7"/>
  <c r="L91" i="8"/>
  <c r="K93" i="8"/>
  <c r="K94" i="8"/>
  <c r="I6" i="9"/>
  <c r="M91" i="8"/>
  <c r="E12" i="9"/>
  <c r="J90" i="8"/>
  <c r="Q34" i="7"/>
  <c r="O5" i="5" l="1"/>
  <c r="Q87" i="8"/>
  <c r="S87" i="8" s="1"/>
  <c r="O95" i="8"/>
  <c r="N5" i="6"/>
  <c r="M65" i="9"/>
  <c r="N9" i="9"/>
  <c r="C13" i="9"/>
  <c r="C15" i="5"/>
  <c r="C17" i="5" s="1"/>
  <c r="C15" i="6"/>
  <c r="J7" i="8"/>
  <c r="G13" i="9"/>
  <c r="G15" i="5"/>
  <c r="G17" i="5" s="1"/>
  <c r="G15" i="6"/>
  <c r="M93" i="8"/>
  <c r="L12" i="8"/>
  <c r="M5" i="8" s="1"/>
  <c r="M32" i="6"/>
  <c r="N19" i="6"/>
  <c r="M27" i="6"/>
  <c r="M31" i="6"/>
  <c r="M25" i="6"/>
  <c r="M26" i="6"/>
  <c r="M4" i="6"/>
  <c r="M30" i="6"/>
  <c r="M34" i="6"/>
  <c r="M24" i="6"/>
  <c r="M33" i="6"/>
  <c r="M28" i="6"/>
  <c r="M29" i="6"/>
  <c r="F13" i="9"/>
  <c r="F15" i="5"/>
  <c r="F17" i="5" s="1"/>
  <c r="F15" i="6"/>
  <c r="K86" i="8"/>
  <c r="L16" i="9"/>
  <c r="K17" i="9"/>
  <c r="M114" i="5"/>
  <c r="M51" i="5"/>
  <c r="J7" i="5"/>
  <c r="J9" i="5"/>
  <c r="P85" i="8"/>
  <c r="R85" i="8" s="1"/>
  <c r="Q85" i="8"/>
  <c r="N5" i="5"/>
  <c r="I17" i="7"/>
  <c r="I15" i="8"/>
  <c r="I56" i="8"/>
  <c r="I63" i="8"/>
  <c r="I58" i="8"/>
  <c r="I55" i="8"/>
  <c r="I54" i="8"/>
  <c r="I59" i="8"/>
  <c r="I53" i="8"/>
  <c r="I62" i="8"/>
  <c r="I60" i="8"/>
  <c r="I57" i="8"/>
  <c r="I61" i="8"/>
  <c r="I64" i="8"/>
  <c r="I14" i="8"/>
  <c r="I81" i="8"/>
  <c r="I11" i="8"/>
  <c r="I6" i="8"/>
  <c r="J9" i="8"/>
  <c r="L65" i="9"/>
  <c r="K90" i="8"/>
  <c r="K9" i="8"/>
  <c r="P5" i="5"/>
  <c r="K10" i="8"/>
  <c r="L94" i="8"/>
  <c r="R87" i="8"/>
  <c r="N5" i="9"/>
  <c r="L35" i="5"/>
  <c r="L8" i="5"/>
  <c r="M8" i="5" s="1"/>
  <c r="L6" i="5"/>
  <c r="L9" i="5" s="1"/>
  <c r="L92" i="8"/>
  <c r="M92" i="8" s="1"/>
  <c r="O85" i="8"/>
  <c r="J16" i="6"/>
  <c r="J17" i="6"/>
  <c r="M88" i="8"/>
  <c r="N88" i="8" s="1"/>
  <c r="B13" i="9"/>
  <c r="B15" i="5"/>
  <c r="B17" i="5" s="1"/>
  <c r="B15" i="6"/>
  <c r="N96" i="8"/>
  <c r="M86" i="8"/>
  <c r="L20" i="6"/>
  <c r="L14" i="6"/>
  <c r="L6" i="6"/>
  <c r="L36" i="6"/>
  <c r="L35" i="6" s="1"/>
  <c r="I13" i="9"/>
  <c r="I15" i="5"/>
  <c r="I17" i="5" s="1"/>
  <c r="I15" i="6"/>
  <c r="E15" i="5"/>
  <c r="E17" i="5" s="1"/>
  <c r="K16" i="6"/>
  <c r="K17" i="6"/>
  <c r="F15" i="8"/>
  <c r="F17" i="7"/>
  <c r="K15" i="8"/>
  <c r="M89" i="8"/>
  <c r="J65" i="8"/>
  <c r="L12" i="6"/>
  <c r="L52" i="6"/>
  <c r="M5" i="6"/>
  <c r="M35" i="5"/>
  <c r="M6" i="5"/>
  <c r="M9" i="5" s="1"/>
  <c r="I49" i="8"/>
  <c r="L49" i="9"/>
  <c r="M12" i="8"/>
  <c r="N5" i="8" s="1"/>
  <c r="L41" i="5"/>
  <c r="L50" i="5" s="1"/>
  <c r="L43" i="5"/>
  <c r="L45" i="5"/>
  <c r="L40" i="5"/>
  <c r="L44" i="5"/>
  <c r="L48" i="5"/>
  <c r="L47" i="5"/>
  <c r="L39" i="5"/>
  <c r="L42" i="5"/>
  <c r="L46" i="5"/>
  <c r="L49" i="5"/>
  <c r="L108" i="5"/>
  <c r="L111" i="5"/>
  <c r="L103" i="5"/>
  <c r="L106" i="5"/>
  <c r="L109" i="5"/>
  <c r="L112" i="5"/>
  <c r="L107" i="5"/>
  <c r="L105" i="5"/>
  <c r="L102" i="5"/>
  <c r="L104" i="5"/>
  <c r="L113" i="5" s="1"/>
  <c r="L110" i="5"/>
  <c r="O91" i="8"/>
  <c r="M16" i="8"/>
  <c r="N17" i="8"/>
  <c r="L86" i="8"/>
  <c r="P95" i="8"/>
  <c r="M5" i="9"/>
  <c r="L10" i="8"/>
  <c r="K7" i="6"/>
  <c r="P91" i="8"/>
  <c r="N4" i="5"/>
  <c r="O4" i="5" s="1"/>
  <c r="O35" i="5" l="1"/>
  <c r="O6" i="5"/>
  <c r="O9" i="5" s="1"/>
  <c r="Q4" i="5"/>
  <c r="R4" i="5" s="1"/>
  <c r="M130" i="5"/>
  <c r="M67" i="5"/>
  <c r="L16" i="6"/>
  <c r="N49" i="9"/>
  <c r="J13" i="9"/>
  <c r="J84" i="5"/>
  <c r="J15" i="5"/>
  <c r="J17" i="5" s="1"/>
  <c r="J15" i="6"/>
  <c r="M49" i="9"/>
  <c r="K17" i="7"/>
  <c r="Q95" i="8"/>
  <c r="K7" i="8"/>
  <c r="L90" i="8"/>
  <c r="L7" i="9"/>
  <c r="L17" i="9"/>
  <c r="L4" i="9"/>
  <c r="M16" i="9"/>
  <c r="N16" i="8"/>
  <c r="O17" i="8"/>
  <c r="O88" i="8"/>
  <c r="I79" i="8"/>
  <c r="I76" i="8"/>
  <c r="I71" i="8"/>
  <c r="I70" i="8"/>
  <c r="I69" i="8"/>
  <c r="I72" i="8"/>
  <c r="I73" i="8"/>
  <c r="I74" i="8"/>
  <c r="I77" i="8"/>
  <c r="I75" i="8"/>
  <c r="I78" i="8"/>
  <c r="I80" i="8" s="1"/>
  <c r="P114" i="5"/>
  <c r="P51" i="5"/>
  <c r="N12" i="6"/>
  <c r="N52" i="6"/>
  <c r="M43" i="5"/>
  <c r="M44" i="5"/>
  <c r="M48" i="5"/>
  <c r="M39" i="5"/>
  <c r="M40" i="5"/>
  <c r="M41" i="5"/>
  <c r="M42" i="5"/>
  <c r="M47" i="5"/>
  <c r="M45" i="5"/>
  <c r="M50" i="5" s="1"/>
  <c r="M46" i="5"/>
  <c r="M49" i="5"/>
  <c r="R95" i="8"/>
  <c r="L33" i="5"/>
  <c r="L28" i="5"/>
  <c r="M28" i="5" s="1"/>
  <c r="L23" i="5"/>
  <c r="M23" i="5" s="1"/>
  <c r="L27" i="5"/>
  <c r="M27" i="5" s="1"/>
  <c r="L31" i="5"/>
  <c r="M31" i="5" s="1"/>
  <c r="L29" i="5"/>
  <c r="M29" i="5" s="1"/>
  <c r="L30" i="5"/>
  <c r="M30" i="5" s="1"/>
  <c r="L32" i="5"/>
  <c r="M32" i="5" s="1"/>
  <c r="L25" i="5"/>
  <c r="M25" i="5" s="1"/>
  <c r="L26" i="5"/>
  <c r="M26" i="5" s="1"/>
  <c r="L24" i="5"/>
  <c r="M24" i="5" s="1"/>
  <c r="M20" i="6"/>
  <c r="M14" i="6"/>
  <c r="M6" i="6"/>
  <c r="M7" i="6" s="1"/>
  <c r="M36" i="6"/>
  <c r="M35" i="6" s="1"/>
  <c r="S85" i="8"/>
  <c r="N27" i="6"/>
  <c r="N31" i="6"/>
  <c r="N26" i="6"/>
  <c r="N28" i="6"/>
  <c r="N32" i="6"/>
  <c r="N4" i="6"/>
  <c r="N30" i="6"/>
  <c r="N24" i="6"/>
  <c r="N34" i="6"/>
  <c r="N33" i="6"/>
  <c r="O19" i="6"/>
  <c r="N25" i="6"/>
  <c r="N29" i="6"/>
  <c r="Q5" i="5"/>
  <c r="L40" i="6"/>
  <c r="L51" i="6" s="1"/>
  <c r="L43" i="6"/>
  <c r="L50" i="6"/>
  <c r="L49" i="6"/>
  <c r="L44" i="6"/>
  <c r="L41" i="6"/>
  <c r="L42" i="6"/>
  <c r="L47" i="6"/>
  <c r="L45" i="6"/>
  <c r="L46" i="6"/>
  <c r="L48" i="6"/>
  <c r="K12" i="9"/>
  <c r="K15" i="6"/>
  <c r="K9" i="6"/>
  <c r="K10" i="6" s="1"/>
  <c r="K16" i="5"/>
  <c r="K17" i="5" s="1"/>
  <c r="N65" i="9"/>
  <c r="K65" i="8"/>
  <c r="K81" i="8"/>
  <c r="K14" i="8"/>
  <c r="K11" i="8"/>
  <c r="T87" i="8"/>
  <c r="M7" i="5"/>
  <c r="N92" i="8"/>
  <c r="O51" i="5"/>
  <c r="O114" i="5"/>
  <c r="J49" i="8"/>
  <c r="Q91" i="8"/>
  <c r="O9" i="9"/>
  <c r="M33" i="5"/>
  <c r="J81" i="8"/>
  <c r="J11" i="8"/>
  <c r="J6" i="8"/>
  <c r="J14" i="8"/>
  <c r="J17" i="7"/>
  <c r="J15" i="8"/>
  <c r="L9" i="8"/>
  <c r="M9" i="8" s="1"/>
  <c r="O5" i="9"/>
  <c r="M12" i="6"/>
  <c r="M52" i="6"/>
  <c r="I33" i="8"/>
  <c r="I8" i="8"/>
  <c r="N93" i="8"/>
  <c r="L130" i="5"/>
  <c r="L67" i="5"/>
  <c r="N12" i="8"/>
  <c r="O5" i="8" s="1"/>
  <c r="O96" i="8"/>
  <c r="L65" i="8"/>
  <c r="J63" i="8"/>
  <c r="J58" i="8"/>
  <c r="J61" i="8"/>
  <c r="J55" i="8"/>
  <c r="J54" i="8"/>
  <c r="J59" i="8"/>
  <c r="J64" i="8" s="1"/>
  <c r="J53" i="8"/>
  <c r="J62" i="8"/>
  <c r="J60" i="8"/>
  <c r="J57" i="8"/>
  <c r="J56" i="8"/>
  <c r="M94" i="8"/>
  <c r="N94" i="8"/>
  <c r="N89" i="8"/>
  <c r="O89" i="8"/>
  <c r="M10" i="8"/>
  <c r="M103" i="5"/>
  <c r="M106" i="5"/>
  <c r="M112" i="5"/>
  <c r="M105" i="5"/>
  <c r="M113" i="5"/>
  <c r="M104" i="5"/>
  <c r="M109" i="5"/>
  <c r="M107" i="5"/>
  <c r="M111" i="5"/>
  <c r="M108" i="5"/>
  <c r="M102" i="5"/>
  <c r="M110" i="5"/>
  <c r="I41" i="8"/>
  <c r="I43" i="8"/>
  <c r="I39" i="8"/>
  <c r="I47" i="8"/>
  <c r="I38" i="8"/>
  <c r="I37" i="8"/>
  <c r="I48" i="8" s="1"/>
  <c r="I42" i="8"/>
  <c r="I40" i="8"/>
  <c r="I45" i="8"/>
  <c r="I46" i="8"/>
  <c r="I44" i="8"/>
  <c r="N35" i="5"/>
  <c r="N8" i="5"/>
  <c r="O8" i="5" s="1"/>
  <c r="N6" i="5"/>
  <c r="N9" i="5" s="1"/>
  <c r="P4" i="5"/>
  <c r="O5" i="6"/>
  <c r="L7" i="6"/>
  <c r="L9" i="6"/>
  <c r="L7" i="5"/>
  <c r="N114" i="5"/>
  <c r="N51" i="5"/>
  <c r="N86" i="8"/>
  <c r="M34" i="5" l="1"/>
  <c r="M81" i="8"/>
  <c r="M14" i="8"/>
  <c r="M11" i="8"/>
  <c r="M15" i="8"/>
  <c r="M17" i="7"/>
  <c r="T95" i="8"/>
  <c r="O130" i="5"/>
  <c r="O67" i="5"/>
  <c r="Q5" i="9"/>
  <c r="R6" i="5"/>
  <c r="R9" i="5" s="1"/>
  <c r="R35" i="5"/>
  <c r="R5" i="5"/>
  <c r="J33" i="8"/>
  <c r="J8" i="8"/>
  <c r="O45" i="5"/>
  <c r="O48" i="5"/>
  <c r="O39" i="5"/>
  <c r="O50" i="5" s="1"/>
  <c r="O43" i="5"/>
  <c r="P43" i="5" s="1"/>
  <c r="O40" i="5"/>
  <c r="O41" i="5"/>
  <c r="O42" i="5"/>
  <c r="O44" i="5"/>
  <c r="O47" i="5"/>
  <c r="O49" i="5"/>
  <c r="O46" i="5"/>
  <c r="O93" i="8"/>
  <c r="P96" i="8"/>
  <c r="O94" i="8"/>
  <c r="N10" i="8"/>
  <c r="J76" i="8"/>
  <c r="K76" i="8" s="1"/>
  <c r="J73" i="8"/>
  <c r="K73" i="8" s="1"/>
  <c r="J71" i="8"/>
  <c r="K71" i="8" s="1"/>
  <c r="J72" i="8"/>
  <c r="K72" i="8" s="1"/>
  <c r="J74" i="8"/>
  <c r="K74" i="8" s="1"/>
  <c r="J75" i="8"/>
  <c r="K75" i="8" s="1"/>
  <c r="J79" i="8"/>
  <c r="K79" i="8" s="1"/>
  <c r="J77" i="8"/>
  <c r="K77" i="8" s="1"/>
  <c r="J80" i="8"/>
  <c r="J78" i="8"/>
  <c r="J70" i="8"/>
  <c r="J69" i="8"/>
  <c r="S5" i="5"/>
  <c r="O32" i="5"/>
  <c r="O33" i="5"/>
  <c r="O27" i="5"/>
  <c r="O25" i="5"/>
  <c r="O24" i="5"/>
  <c r="O29" i="5"/>
  <c r="L119" i="5"/>
  <c r="L129" i="5" s="1"/>
  <c r="L120" i="5"/>
  <c r="M120" i="5" s="1"/>
  <c r="L121" i="5"/>
  <c r="M121" i="5" s="1"/>
  <c r="L122" i="5"/>
  <c r="M122" i="5" s="1"/>
  <c r="L128" i="5"/>
  <c r="L124" i="5"/>
  <c r="L125" i="5"/>
  <c r="L123" i="5"/>
  <c r="L126" i="5"/>
  <c r="L118" i="5"/>
  <c r="L127" i="5"/>
  <c r="I28" i="8"/>
  <c r="I25" i="8"/>
  <c r="I31" i="8"/>
  <c r="I22" i="8"/>
  <c r="I24" i="8"/>
  <c r="I30" i="8"/>
  <c r="I29" i="8"/>
  <c r="I27" i="8"/>
  <c r="I21" i="8"/>
  <c r="I32" i="8" s="1"/>
  <c r="I23" i="8"/>
  <c r="I26" i="8"/>
  <c r="O16" i="8"/>
  <c r="P17" i="8"/>
  <c r="L14" i="9"/>
  <c r="L81" i="9"/>
  <c r="L14" i="5"/>
  <c r="L17" i="6" s="1"/>
  <c r="L10" i="9"/>
  <c r="Q51" i="5"/>
  <c r="Q114" i="5"/>
  <c r="O65" i="9"/>
  <c r="K49" i="8"/>
  <c r="L34" i="5"/>
  <c r="L58" i="8"/>
  <c r="L56" i="8"/>
  <c r="L60" i="8"/>
  <c r="L54" i="8"/>
  <c r="L53" i="8"/>
  <c r="L63" i="8"/>
  <c r="L59" i="8"/>
  <c r="O7" i="5"/>
  <c r="P89" i="8"/>
  <c r="N6" i="6"/>
  <c r="N7" i="6" s="1"/>
  <c r="N20" i="6"/>
  <c r="N14" i="6"/>
  <c r="N36" i="6"/>
  <c r="N35" i="6" s="1"/>
  <c r="N9" i="8"/>
  <c r="O49" i="9"/>
  <c r="N28" i="5"/>
  <c r="O28" i="5" s="1"/>
  <c r="N23" i="5"/>
  <c r="N34" i="5" s="1"/>
  <c r="N31" i="5"/>
  <c r="O31" i="5" s="1"/>
  <c r="N26" i="5"/>
  <c r="O26" i="5" s="1"/>
  <c r="N30" i="5"/>
  <c r="O30" i="5" s="1"/>
  <c r="N32" i="5"/>
  <c r="N29" i="5"/>
  <c r="N27" i="5"/>
  <c r="N25" i="5"/>
  <c r="N24" i="5"/>
  <c r="N33" i="5"/>
  <c r="M65" i="5"/>
  <c r="M57" i="5"/>
  <c r="M63" i="5"/>
  <c r="M61" i="5"/>
  <c r="M59" i="5"/>
  <c r="M62" i="5"/>
  <c r="M58" i="5"/>
  <c r="M60" i="5"/>
  <c r="M64" i="5"/>
  <c r="M56" i="5"/>
  <c r="K6" i="8"/>
  <c r="M6" i="8" s="1"/>
  <c r="P45" i="5"/>
  <c r="O12" i="6"/>
  <c r="O52" i="6"/>
  <c r="P5" i="6"/>
  <c r="M43" i="6"/>
  <c r="N43" i="6" s="1"/>
  <c r="M46" i="6"/>
  <c r="N46" i="6" s="1"/>
  <c r="M45" i="6"/>
  <c r="N45" i="6" s="1"/>
  <c r="M50" i="6"/>
  <c r="N50" i="6" s="1"/>
  <c r="M49" i="6"/>
  <c r="N49" i="6" s="1"/>
  <c r="M44" i="6"/>
  <c r="N44" i="6" s="1"/>
  <c r="M41" i="6"/>
  <c r="M42" i="6"/>
  <c r="M47" i="6"/>
  <c r="M48" i="6"/>
  <c r="M40" i="6"/>
  <c r="M51" i="6" s="1"/>
  <c r="P110" i="5"/>
  <c r="L81" i="8"/>
  <c r="L14" i="8"/>
  <c r="L6" i="8"/>
  <c r="L11" i="8"/>
  <c r="L17" i="7"/>
  <c r="L15" i="8"/>
  <c r="J43" i="8"/>
  <c r="J45" i="8"/>
  <c r="J39" i="8"/>
  <c r="J47" i="8"/>
  <c r="J38" i="8"/>
  <c r="J46" i="8"/>
  <c r="J42" i="8"/>
  <c r="J41" i="8"/>
  <c r="J44" i="8"/>
  <c r="J37" i="8"/>
  <c r="J48" i="8" s="1"/>
  <c r="J40" i="8"/>
  <c r="Q6" i="5"/>
  <c r="Q9" i="5" s="1"/>
  <c r="Q35" i="5"/>
  <c r="L61" i="5"/>
  <c r="L65" i="5"/>
  <c r="L58" i="5"/>
  <c r="L57" i="5"/>
  <c r="L63" i="5"/>
  <c r="L59" i="5"/>
  <c r="L62" i="5"/>
  <c r="L56" i="5"/>
  <c r="L64" i="5"/>
  <c r="L60" i="5"/>
  <c r="L55" i="5"/>
  <c r="M55" i="5" s="1"/>
  <c r="M66" i="5" s="1"/>
  <c r="N111" i="5"/>
  <c r="O111" i="5" s="1"/>
  <c r="P111" i="5" s="1"/>
  <c r="N103" i="5"/>
  <c r="P103" i="5" s="1"/>
  <c r="N106" i="5"/>
  <c r="N109" i="5"/>
  <c r="N112" i="5"/>
  <c r="P112" i="5" s="1"/>
  <c r="N105" i="5"/>
  <c r="P105" i="5" s="1"/>
  <c r="N104" i="5"/>
  <c r="P104" i="5" s="1"/>
  <c r="N107" i="5"/>
  <c r="O107" i="5" s="1"/>
  <c r="N108" i="5"/>
  <c r="O108" i="5" s="1"/>
  <c r="N102" i="5"/>
  <c r="N110" i="5"/>
  <c r="N40" i="6"/>
  <c r="N42" i="6"/>
  <c r="N48" i="6"/>
  <c r="N41" i="6"/>
  <c r="N47" i="6"/>
  <c r="L7" i="8"/>
  <c r="P9" i="9"/>
  <c r="Q9" i="9" s="1"/>
  <c r="P35" i="5"/>
  <c r="P8" i="5"/>
  <c r="Q8" i="5" s="1"/>
  <c r="P6" i="5"/>
  <c r="P9" i="5" s="1"/>
  <c r="P7" i="5" s="1"/>
  <c r="P5" i="9"/>
  <c r="R5" i="9" s="1"/>
  <c r="M7" i="9"/>
  <c r="N16" i="9"/>
  <c r="M17" i="9"/>
  <c r="M4" i="9"/>
  <c r="M33" i="9" s="1"/>
  <c r="S95" i="8"/>
  <c r="M68" i="6"/>
  <c r="M12" i="9"/>
  <c r="M9" i="6"/>
  <c r="M15" i="6"/>
  <c r="M16" i="6"/>
  <c r="O103" i="5"/>
  <c r="O102" i="5"/>
  <c r="P102" i="5" s="1"/>
  <c r="O105" i="5"/>
  <c r="O104" i="5"/>
  <c r="O112" i="5"/>
  <c r="O110" i="5"/>
  <c r="N43" i="5"/>
  <c r="N45" i="5"/>
  <c r="N47" i="5"/>
  <c r="P47" i="5" s="1"/>
  <c r="N44" i="5"/>
  <c r="P44" i="5" s="1"/>
  <c r="N48" i="5"/>
  <c r="P48" i="5" s="1"/>
  <c r="N39" i="5"/>
  <c r="P39" i="5" s="1"/>
  <c r="N42" i="5"/>
  <c r="P42" i="5" s="1"/>
  <c r="N40" i="5"/>
  <c r="P40" i="5" s="1"/>
  <c r="N41" i="5"/>
  <c r="P41" i="5" s="1"/>
  <c r="N49" i="5"/>
  <c r="P49" i="5" s="1"/>
  <c r="N46" i="5"/>
  <c r="N50" i="5" s="1"/>
  <c r="M13" i="9"/>
  <c r="M83" i="5"/>
  <c r="L33" i="9"/>
  <c r="L6" i="9"/>
  <c r="O92" i="8"/>
  <c r="N130" i="5"/>
  <c r="N67" i="5"/>
  <c r="R91" i="8"/>
  <c r="M65" i="8"/>
  <c r="O31" i="6"/>
  <c r="O26" i="6"/>
  <c r="O27" i="6"/>
  <c r="O28" i="6"/>
  <c r="O29" i="6"/>
  <c r="O4" i="6"/>
  <c r="O30" i="6"/>
  <c r="P19" i="6"/>
  <c r="O32" i="6"/>
  <c r="O34" i="6"/>
  <c r="O33" i="6"/>
  <c r="O24" i="6"/>
  <c r="O25" i="6"/>
  <c r="M128" i="5"/>
  <c r="M123" i="5"/>
  <c r="M126" i="5"/>
  <c r="M124" i="5"/>
  <c r="M118" i="5"/>
  <c r="M125" i="5"/>
  <c r="M127" i="5"/>
  <c r="O12" i="8"/>
  <c r="P5" i="8" s="1"/>
  <c r="L13" i="9"/>
  <c r="L83" i="5"/>
  <c r="L15" i="5"/>
  <c r="L17" i="5" s="1"/>
  <c r="O86" i="8"/>
  <c r="L12" i="9"/>
  <c r="L68" i="6"/>
  <c r="L15" i="6"/>
  <c r="L16" i="5"/>
  <c r="N7" i="5"/>
  <c r="K78" i="8"/>
  <c r="K69" i="8"/>
  <c r="K70" i="8"/>
  <c r="S4" i="5"/>
  <c r="M90" i="8"/>
  <c r="T85" i="8"/>
  <c r="K63" i="8"/>
  <c r="K58" i="8"/>
  <c r="K61" i="8"/>
  <c r="L61" i="8" s="1"/>
  <c r="K56" i="8"/>
  <c r="K54" i="8"/>
  <c r="K53" i="8"/>
  <c r="K62" i="8"/>
  <c r="L62" i="8" s="1"/>
  <c r="K59" i="8"/>
  <c r="K60" i="8"/>
  <c r="K57" i="8"/>
  <c r="L57" i="8" s="1"/>
  <c r="K55" i="8"/>
  <c r="K64" i="8" s="1"/>
  <c r="U87" i="8"/>
  <c r="P88" i="8"/>
  <c r="S91" i="8"/>
  <c r="P92" i="8"/>
  <c r="P109" i="5" l="1"/>
  <c r="Q67" i="5"/>
  <c r="Q130" i="5"/>
  <c r="Q65" i="9"/>
  <c r="P106" i="5"/>
  <c r="P113" i="5" s="1"/>
  <c r="T5" i="9"/>
  <c r="R49" i="9"/>
  <c r="M33" i="8"/>
  <c r="M8" i="8"/>
  <c r="N51" i="6"/>
  <c r="U4" i="5"/>
  <c r="K80" i="8"/>
  <c r="M129" i="5"/>
  <c r="P50" i="5"/>
  <c r="O109" i="5"/>
  <c r="P52" i="6"/>
  <c r="P12" i="6"/>
  <c r="Q5" i="6"/>
  <c r="V87" i="8"/>
  <c r="M119" i="5"/>
  <c r="T5" i="5"/>
  <c r="P94" i="8"/>
  <c r="Q94" i="8" s="1"/>
  <c r="N9" i="6"/>
  <c r="N15" i="6"/>
  <c r="N68" i="6"/>
  <c r="Q109" i="5"/>
  <c r="Q112" i="5"/>
  <c r="Q105" i="5"/>
  <c r="Q104" i="5"/>
  <c r="Q111" i="5"/>
  <c r="Q103" i="5"/>
  <c r="Q110" i="5"/>
  <c r="Q108" i="5"/>
  <c r="Q102" i="5"/>
  <c r="P12" i="8"/>
  <c r="Q5" i="8" s="1"/>
  <c r="L66" i="5"/>
  <c r="Q96" i="8"/>
  <c r="Q47" i="5"/>
  <c r="Q39" i="5"/>
  <c r="Q50" i="5" s="1"/>
  <c r="Q43" i="5"/>
  <c r="Q42" i="5"/>
  <c r="Q49" i="5"/>
  <c r="Q40" i="5"/>
  <c r="Q48" i="5"/>
  <c r="Q45" i="5"/>
  <c r="Q44" i="5"/>
  <c r="Q41" i="5"/>
  <c r="O23" i="5"/>
  <c r="O34" i="5" s="1"/>
  <c r="S5" i="9"/>
  <c r="J23" i="8"/>
  <c r="J25" i="8"/>
  <c r="J31" i="8"/>
  <c r="J22" i="8"/>
  <c r="J28" i="8"/>
  <c r="J27" i="8"/>
  <c r="J26" i="8"/>
  <c r="J21" i="8"/>
  <c r="J24" i="8"/>
  <c r="J32" i="8" s="1"/>
  <c r="J29" i="8"/>
  <c r="J30" i="8"/>
  <c r="L33" i="8"/>
  <c r="L8" i="8"/>
  <c r="R29" i="5"/>
  <c r="L79" i="8"/>
  <c r="M79" i="8" s="1"/>
  <c r="L73" i="8"/>
  <c r="M73" i="8" s="1"/>
  <c r="L70" i="8"/>
  <c r="L71" i="8"/>
  <c r="M71" i="8" s="1"/>
  <c r="L75" i="8"/>
  <c r="M75" i="8" s="1"/>
  <c r="L78" i="8"/>
  <c r="M78" i="8" s="1"/>
  <c r="L77" i="8"/>
  <c r="L74" i="8"/>
  <c r="L72" i="8"/>
  <c r="L69" i="8"/>
  <c r="L76" i="8"/>
  <c r="L76" i="5"/>
  <c r="L77" i="5"/>
  <c r="L71" i="5"/>
  <c r="L75" i="5"/>
  <c r="L78" i="5"/>
  <c r="L79" i="5"/>
  <c r="L80" i="5"/>
  <c r="L74" i="5"/>
  <c r="L81" i="5"/>
  <c r="L73" i="5"/>
  <c r="L72" i="5"/>
  <c r="L82" i="5"/>
  <c r="N113" i="5"/>
  <c r="R8" i="5"/>
  <c r="O58" i="5"/>
  <c r="O57" i="5"/>
  <c r="O60" i="5"/>
  <c r="L49" i="8"/>
  <c r="M7" i="8"/>
  <c r="O49" i="6"/>
  <c r="O44" i="6"/>
  <c r="O41" i="6"/>
  <c r="O40" i="6"/>
  <c r="O50" i="6"/>
  <c r="O43" i="6"/>
  <c r="O42" i="6"/>
  <c r="O51" i="6" s="1"/>
  <c r="O48" i="6"/>
  <c r="O45" i="6"/>
  <c r="O47" i="6"/>
  <c r="O46" i="6"/>
  <c r="S51" i="5"/>
  <c r="S114" i="5"/>
  <c r="P93" i="8"/>
  <c r="Q93" i="8"/>
  <c r="R93" i="8" s="1"/>
  <c r="R51" i="5"/>
  <c r="R114" i="5"/>
  <c r="S6" i="5"/>
  <c r="S9" i="5" s="1"/>
  <c r="S35" i="5"/>
  <c r="P107" i="5"/>
  <c r="Q107" i="5" s="1"/>
  <c r="P65" i="9"/>
  <c r="S9" i="9"/>
  <c r="O106" i="5"/>
  <c r="O113" i="5" s="1"/>
  <c r="O118" i="5"/>
  <c r="O128" i="5"/>
  <c r="O125" i="5"/>
  <c r="O127" i="5"/>
  <c r="N120" i="5"/>
  <c r="O120" i="5" s="1"/>
  <c r="N121" i="5"/>
  <c r="O121" i="5" s="1"/>
  <c r="N122" i="5"/>
  <c r="O122" i="5" s="1"/>
  <c r="N123" i="5"/>
  <c r="O123" i="5" s="1"/>
  <c r="N124" i="5"/>
  <c r="O124" i="5" s="1"/>
  <c r="N126" i="5"/>
  <c r="O126" i="5" s="1"/>
  <c r="N127" i="5"/>
  <c r="N118" i="5"/>
  <c r="N125" i="5"/>
  <c r="N128" i="5"/>
  <c r="L55" i="8"/>
  <c r="L64" i="8" s="1"/>
  <c r="M74" i="8"/>
  <c r="M77" i="8"/>
  <c r="M72" i="8"/>
  <c r="M69" i="8"/>
  <c r="M76" i="8"/>
  <c r="M70" i="8"/>
  <c r="N90" i="8"/>
  <c r="P90" i="8" s="1"/>
  <c r="O90" i="8"/>
  <c r="Q7" i="5"/>
  <c r="P130" i="5"/>
  <c r="P67" i="5"/>
  <c r="P108" i="5"/>
  <c r="N81" i="8"/>
  <c r="N11" i="8"/>
  <c r="N6" i="8"/>
  <c r="N14" i="8"/>
  <c r="N17" i="7"/>
  <c r="N15" i="8"/>
  <c r="M60" i="8"/>
  <c r="M55" i="8"/>
  <c r="M54" i="8"/>
  <c r="M53" i="8"/>
  <c r="M63" i="8"/>
  <c r="M62" i="8"/>
  <c r="M57" i="8"/>
  <c r="M56" i="8"/>
  <c r="M64" i="8" s="1"/>
  <c r="M58" i="8"/>
  <c r="M59" i="8"/>
  <c r="M61" i="8"/>
  <c r="P46" i="5"/>
  <c r="Q46" i="5" s="1"/>
  <c r="M21" i="9"/>
  <c r="M88" i="9"/>
  <c r="M55" i="9"/>
  <c r="M58" i="9"/>
  <c r="M57" i="9"/>
  <c r="M79" i="9"/>
  <c r="M56" i="9"/>
  <c r="M41" i="9"/>
  <c r="M92" i="9"/>
  <c r="M31" i="9"/>
  <c r="N17" i="9"/>
  <c r="O16" i="9"/>
  <c r="N4" i="9"/>
  <c r="N33" i="9" s="1"/>
  <c r="N7" i="9"/>
  <c r="P83" i="5"/>
  <c r="M71" i="5"/>
  <c r="M76" i="5"/>
  <c r="M78" i="5"/>
  <c r="M79" i="5"/>
  <c r="M81" i="5"/>
  <c r="M74" i="5"/>
  <c r="M75" i="5"/>
  <c r="M73" i="5"/>
  <c r="M77" i="5"/>
  <c r="M80" i="5"/>
  <c r="M72" i="5"/>
  <c r="M82" i="5"/>
  <c r="V5" i="9"/>
  <c r="Q49" i="9"/>
  <c r="O6" i="6"/>
  <c r="O7" i="6" s="1"/>
  <c r="O14" i="6"/>
  <c r="O16" i="6" s="1"/>
  <c r="O20" i="6"/>
  <c r="O36" i="6"/>
  <c r="O35" i="6" s="1"/>
  <c r="K43" i="8"/>
  <c r="K45" i="8"/>
  <c r="K39" i="8"/>
  <c r="K38" i="8"/>
  <c r="K47" i="8"/>
  <c r="K44" i="8"/>
  <c r="K46" i="8"/>
  <c r="K42" i="8"/>
  <c r="K41" i="8"/>
  <c r="K37" i="8"/>
  <c r="K48" i="8" s="1"/>
  <c r="K40" i="8"/>
  <c r="T91" i="8"/>
  <c r="N65" i="8"/>
  <c r="P10" i="8"/>
  <c r="M65" i="6"/>
  <c r="M56" i="6"/>
  <c r="M58" i="6"/>
  <c r="M63" i="6"/>
  <c r="R9" i="9"/>
  <c r="Q92" i="8"/>
  <c r="M14" i="9"/>
  <c r="M81" i="9"/>
  <c r="M14" i="5"/>
  <c r="M10" i="9"/>
  <c r="Q89" i="8"/>
  <c r="P16" i="8"/>
  <c r="Q17" i="8"/>
  <c r="Q29" i="5"/>
  <c r="Q28" i="5"/>
  <c r="R28" i="5" s="1"/>
  <c r="V4" i="5"/>
  <c r="O83" i="5"/>
  <c r="L64" i="6"/>
  <c r="M64" i="6" s="1"/>
  <c r="L66" i="6"/>
  <c r="M66" i="6" s="1"/>
  <c r="L60" i="6"/>
  <c r="M60" i="6" s="1"/>
  <c r="L65" i="6"/>
  <c r="L59" i="6"/>
  <c r="M59" i="6" s="1"/>
  <c r="L58" i="6"/>
  <c r="L56" i="6"/>
  <c r="L73" i="6" s="1"/>
  <c r="L63" i="6"/>
  <c r="L57" i="6"/>
  <c r="M57" i="6" s="1"/>
  <c r="L61" i="6"/>
  <c r="M61" i="6" s="1"/>
  <c r="L62" i="6"/>
  <c r="M62" i="6" s="1"/>
  <c r="P86" i="8"/>
  <c r="Q88" i="8"/>
  <c r="T4" i="5"/>
  <c r="U5" i="5"/>
  <c r="K33" i="8"/>
  <c r="K8" i="8"/>
  <c r="R7" i="5"/>
  <c r="W4" i="5"/>
  <c r="P27" i="6"/>
  <c r="P31" i="6"/>
  <c r="P26" i="6"/>
  <c r="P28" i="6"/>
  <c r="P29" i="6"/>
  <c r="P30" i="6"/>
  <c r="P33" i="6"/>
  <c r="P34" i="6"/>
  <c r="P32" i="6"/>
  <c r="P24" i="6"/>
  <c r="P25" i="6"/>
  <c r="P4" i="6"/>
  <c r="Q19" i="6"/>
  <c r="P30" i="5"/>
  <c r="P26" i="5"/>
  <c r="P25" i="5"/>
  <c r="P32" i="5"/>
  <c r="P31" i="5"/>
  <c r="Q31" i="5" s="1"/>
  <c r="P33" i="5"/>
  <c r="P27" i="5"/>
  <c r="Q27" i="5" s="1"/>
  <c r="P24" i="5"/>
  <c r="Q24" i="5" s="1"/>
  <c r="P23" i="5"/>
  <c r="Q23" i="5" s="1"/>
  <c r="P34" i="5"/>
  <c r="P28" i="5"/>
  <c r="P29" i="5"/>
  <c r="O10" i="8"/>
  <c r="N16" i="6"/>
  <c r="N65" i="5"/>
  <c r="O65" i="5" s="1"/>
  <c r="N58" i="5"/>
  <c r="N62" i="5"/>
  <c r="O62" i="5" s="1"/>
  <c r="N57" i="5"/>
  <c r="N60" i="5"/>
  <c r="N63" i="5"/>
  <c r="O63" i="5" s="1"/>
  <c r="N61" i="5"/>
  <c r="O61" i="5" s="1"/>
  <c r="N59" i="5"/>
  <c r="O59" i="5" s="1"/>
  <c r="N56" i="5"/>
  <c r="O56" i="5" s="1"/>
  <c r="N64" i="5"/>
  <c r="O64" i="5" s="1"/>
  <c r="N55" i="5"/>
  <c r="N66" i="5" s="1"/>
  <c r="N13" i="9"/>
  <c r="N83" i="5"/>
  <c r="U85" i="8"/>
  <c r="V85" i="8" s="1"/>
  <c r="L94" i="9"/>
  <c r="M94" i="9" s="1"/>
  <c r="L69" i="9"/>
  <c r="M69" i="9" s="1"/>
  <c r="L59" i="9"/>
  <c r="M59" i="9" s="1"/>
  <c r="L42" i="9"/>
  <c r="M42" i="9" s="1"/>
  <c r="L97" i="9"/>
  <c r="L11" i="9" s="1"/>
  <c r="M3" i="9" s="1"/>
  <c r="M6" i="9" s="1"/>
  <c r="L86" i="9"/>
  <c r="M86" i="9" s="1"/>
  <c r="L72" i="9"/>
  <c r="M72" i="9" s="1"/>
  <c r="L61" i="9"/>
  <c r="M61" i="9" s="1"/>
  <c r="L44" i="9"/>
  <c r="M44" i="9" s="1"/>
  <c r="L24" i="9"/>
  <c r="M24" i="9" s="1"/>
  <c r="L89" i="9"/>
  <c r="M89" i="9" s="1"/>
  <c r="L75" i="9"/>
  <c r="M75" i="9" s="1"/>
  <c r="L63" i="9"/>
  <c r="M63" i="9" s="1"/>
  <c r="L46" i="9"/>
  <c r="M46" i="9" s="1"/>
  <c r="L27" i="9"/>
  <c r="M27" i="9" s="1"/>
  <c r="L95" i="9"/>
  <c r="M95" i="9" s="1"/>
  <c r="L70" i="9"/>
  <c r="M70" i="9" s="1"/>
  <c r="L56" i="9"/>
  <c r="L39" i="9"/>
  <c r="M39" i="9" s="1"/>
  <c r="L92" i="9"/>
  <c r="L88" i="9"/>
  <c r="L55" i="9"/>
  <c r="L26" i="9"/>
  <c r="M26" i="9" s="1"/>
  <c r="L78" i="9"/>
  <c r="M78" i="9" s="1"/>
  <c r="L54" i="9"/>
  <c r="M54" i="9" s="1"/>
  <c r="L91" i="9"/>
  <c r="M91" i="9" s="1"/>
  <c r="L53" i="9"/>
  <c r="L43" i="9"/>
  <c r="M43" i="9" s="1"/>
  <c r="L28" i="9"/>
  <c r="M28" i="9" s="1"/>
  <c r="L90" i="9"/>
  <c r="M90" i="9" s="1"/>
  <c r="L22" i="9"/>
  <c r="M22" i="9" s="1"/>
  <c r="L87" i="9"/>
  <c r="M87" i="9" s="1"/>
  <c r="L29" i="9"/>
  <c r="M29" i="9" s="1"/>
  <c r="L76" i="9"/>
  <c r="M76" i="9" s="1"/>
  <c r="L62" i="9"/>
  <c r="M62" i="9" s="1"/>
  <c r="L93" i="9"/>
  <c r="M93" i="9" s="1"/>
  <c r="L77" i="9"/>
  <c r="M77" i="9" s="1"/>
  <c r="L25" i="9"/>
  <c r="M25" i="9" s="1"/>
  <c r="L96" i="9"/>
  <c r="M96" i="9" s="1"/>
  <c r="L79" i="9"/>
  <c r="L57" i="9"/>
  <c r="L21" i="9"/>
  <c r="L73" i="9"/>
  <c r="M73" i="9" s="1"/>
  <c r="L41" i="9"/>
  <c r="L40" i="9"/>
  <c r="M40" i="9" s="1"/>
  <c r="L60" i="9"/>
  <c r="M60" i="9" s="1"/>
  <c r="L23" i="9"/>
  <c r="M23" i="9" s="1"/>
  <c r="L58" i="9"/>
  <c r="L71" i="9"/>
  <c r="M71" i="9" s="1"/>
  <c r="L38" i="9"/>
  <c r="M38" i="9" s="1"/>
  <c r="L30" i="9"/>
  <c r="M30" i="9" s="1"/>
  <c r="L31" i="9"/>
  <c r="L47" i="9"/>
  <c r="M47" i="9" s="1"/>
  <c r="L74" i="9"/>
  <c r="M74" i="9" s="1"/>
  <c r="L45" i="9"/>
  <c r="M45" i="9" s="1"/>
  <c r="L37" i="9"/>
  <c r="M37" i="9" s="1"/>
  <c r="P49" i="9"/>
  <c r="U5" i="9"/>
  <c r="O9" i="8"/>
  <c r="U95" i="8"/>
  <c r="M32" i="9" l="1"/>
  <c r="W5" i="5"/>
  <c r="R25" i="5"/>
  <c r="R26" i="5"/>
  <c r="M67" i="6"/>
  <c r="R30" i="5"/>
  <c r="M80" i="8"/>
  <c r="Q34" i="5"/>
  <c r="R32" i="5"/>
  <c r="M48" i="9"/>
  <c r="L80" i="9"/>
  <c r="L80" i="8"/>
  <c r="P65" i="8"/>
  <c r="N14" i="9"/>
  <c r="N81" i="9"/>
  <c r="N14" i="5"/>
  <c r="N10" i="9"/>
  <c r="O17" i="9"/>
  <c r="P16" i="9"/>
  <c r="O7" i="9"/>
  <c r="O4" i="9"/>
  <c r="O33" i="9" s="1"/>
  <c r="Z4" i="5"/>
  <c r="AB4" i="5" s="1"/>
  <c r="U35" i="5"/>
  <c r="U6" i="5"/>
  <c r="U9" i="5" s="1"/>
  <c r="R65" i="9"/>
  <c r="R24" i="5"/>
  <c r="S24" i="5" s="1"/>
  <c r="R47" i="5"/>
  <c r="R49" i="5"/>
  <c r="R40" i="5"/>
  <c r="R39" i="5"/>
  <c r="R43" i="5"/>
  <c r="R42" i="5"/>
  <c r="R46" i="5"/>
  <c r="S46" i="5" s="1"/>
  <c r="R44" i="5"/>
  <c r="S44" i="5" s="1"/>
  <c r="R48" i="5"/>
  <c r="S48" i="5" s="1"/>
  <c r="R45" i="5"/>
  <c r="S45" i="5" s="1"/>
  <c r="R41" i="5"/>
  <c r="S41" i="5" s="1"/>
  <c r="R50" i="5"/>
  <c r="W87" i="8"/>
  <c r="Q32" i="5"/>
  <c r="S32" i="5" s="1"/>
  <c r="R31" i="5"/>
  <c r="S31" i="5" s="1"/>
  <c r="L67" i="6"/>
  <c r="Q52" i="6"/>
  <c r="Q12" i="6"/>
  <c r="R5" i="6"/>
  <c r="S5" i="6"/>
  <c r="T5" i="6"/>
  <c r="L74" i="6"/>
  <c r="L75" i="6" s="1"/>
  <c r="L76" i="6" s="1"/>
  <c r="L77" i="6" s="1"/>
  <c r="L78" i="6" s="1"/>
  <c r="L79" i="6" s="1"/>
  <c r="L80" i="6" s="1"/>
  <c r="L81" i="6" s="1"/>
  <c r="L82" i="6" s="1"/>
  <c r="L83" i="6" s="1"/>
  <c r="Q26" i="5"/>
  <c r="P80" i="5"/>
  <c r="P79" i="5"/>
  <c r="P75" i="5"/>
  <c r="P74" i="5"/>
  <c r="P81" i="5"/>
  <c r="P76" i="5"/>
  <c r="P71" i="5"/>
  <c r="P78" i="5"/>
  <c r="P82" i="5"/>
  <c r="P77" i="5"/>
  <c r="P72" i="5"/>
  <c r="P73" i="5"/>
  <c r="N33" i="8"/>
  <c r="N8" i="8"/>
  <c r="S93" i="8"/>
  <c r="T93" i="8" s="1"/>
  <c r="R83" i="5"/>
  <c r="K31" i="8"/>
  <c r="K22" i="8"/>
  <c r="K27" i="8"/>
  <c r="K26" i="8"/>
  <c r="K24" i="8"/>
  <c r="M24" i="8" s="1"/>
  <c r="K23" i="8"/>
  <c r="K21" i="8"/>
  <c r="M21" i="8" s="1"/>
  <c r="K28" i="8"/>
  <c r="L28" i="8" s="1"/>
  <c r="K25" i="8"/>
  <c r="M25" i="8" s="1"/>
  <c r="K30" i="8"/>
  <c r="L30" i="8" s="1"/>
  <c r="M30" i="8" s="1"/>
  <c r="K29" i="8"/>
  <c r="M29" i="8" s="1"/>
  <c r="M80" i="9"/>
  <c r="AA4" i="5"/>
  <c r="V35" i="5"/>
  <c r="V6" i="5"/>
  <c r="V9" i="5" s="1"/>
  <c r="T94" i="8"/>
  <c r="S25" i="5"/>
  <c r="S26" i="5"/>
  <c r="S29" i="5"/>
  <c r="S23" i="5"/>
  <c r="S28" i="5"/>
  <c r="M49" i="8"/>
  <c r="N7" i="8"/>
  <c r="P6" i="6"/>
  <c r="P7" i="6" s="1"/>
  <c r="P14" i="6"/>
  <c r="P16" i="6" s="1"/>
  <c r="P20" i="6"/>
  <c r="P36" i="6"/>
  <c r="P35" i="6" s="1"/>
  <c r="X5" i="9"/>
  <c r="Y5" i="9" s="1"/>
  <c r="S49" i="9"/>
  <c r="L64" i="9"/>
  <c r="M97" i="9"/>
  <c r="M11" i="9" s="1"/>
  <c r="N3" i="9" s="1"/>
  <c r="N6" i="9" s="1"/>
  <c r="L32" i="9"/>
  <c r="V5" i="5"/>
  <c r="Q25" i="5"/>
  <c r="X5" i="5"/>
  <c r="O55" i="5"/>
  <c r="O66" i="5" s="1"/>
  <c r="O79" i="5"/>
  <c r="O76" i="5"/>
  <c r="O75" i="5"/>
  <c r="O81" i="5"/>
  <c r="O74" i="5"/>
  <c r="O71" i="5"/>
  <c r="O78" i="5"/>
  <c r="O82" i="5"/>
  <c r="O80" i="5"/>
  <c r="O77" i="5"/>
  <c r="O72" i="5"/>
  <c r="O73" i="5"/>
  <c r="N86" i="9"/>
  <c r="N72" i="9"/>
  <c r="N61" i="9"/>
  <c r="N44" i="9"/>
  <c r="N89" i="9"/>
  <c r="N75" i="9"/>
  <c r="N63" i="9"/>
  <c r="N46" i="9"/>
  <c r="N27" i="9"/>
  <c r="N92" i="9"/>
  <c r="N78" i="9"/>
  <c r="N54" i="9"/>
  <c r="N37" i="9"/>
  <c r="N30" i="9"/>
  <c r="N87" i="9"/>
  <c r="N73" i="9"/>
  <c r="N58" i="9"/>
  <c r="N41" i="9"/>
  <c r="N88" i="9"/>
  <c r="N55" i="9"/>
  <c r="N39" i="9"/>
  <c r="N26" i="9"/>
  <c r="N38" i="9"/>
  <c r="N29" i="9"/>
  <c r="N23" i="9"/>
  <c r="N95" i="9"/>
  <c r="N74" i="9"/>
  <c r="N90" i="9"/>
  <c r="N22" i="9"/>
  <c r="N57" i="9"/>
  <c r="N71" i="9"/>
  <c r="N70" i="9"/>
  <c r="N59" i="9"/>
  <c r="N45" i="9"/>
  <c r="N93" i="9"/>
  <c r="N77" i="9"/>
  <c r="N25" i="9"/>
  <c r="N96" i="9"/>
  <c r="N94" i="9"/>
  <c r="N53" i="9"/>
  <c r="N43" i="9"/>
  <c r="N24" i="9"/>
  <c r="N32" i="9" s="1"/>
  <c r="N47" i="9"/>
  <c r="N28" i="9"/>
  <c r="N69" i="9"/>
  <c r="N42" i="9"/>
  <c r="N79" i="9"/>
  <c r="N21" i="9"/>
  <c r="N91" i="9"/>
  <c r="N60" i="9"/>
  <c r="N40" i="9"/>
  <c r="N62" i="9"/>
  <c r="N76" i="9"/>
  <c r="N31" i="9"/>
  <c r="N56" i="9"/>
  <c r="R92" i="8"/>
  <c r="R27" i="5"/>
  <c r="S27" i="5" s="1"/>
  <c r="R106" i="5"/>
  <c r="R109" i="5"/>
  <c r="S109" i="5" s="1"/>
  <c r="R112" i="5"/>
  <c r="S112" i="5" s="1"/>
  <c r="R104" i="5"/>
  <c r="S104" i="5" s="1"/>
  <c r="R102" i="5"/>
  <c r="R105" i="5"/>
  <c r="R110" i="5"/>
  <c r="R103" i="5"/>
  <c r="R113" i="5" s="1"/>
  <c r="R108" i="5"/>
  <c r="R111" i="5"/>
  <c r="R107" i="5"/>
  <c r="Q33" i="5"/>
  <c r="R33" i="5" s="1"/>
  <c r="M53" i="9"/>
  <c r="M64" i="9" s="1"/>
  <c r="N78" i="8"/>
  <c r="N76" i="8"/>
  <c r="N74" i="8"/>
  <c r="N72" i="8"/>
  <c r="N70" i="8"/>
  <c r="N80" i="8" s="1"/>
  <c r="N75" i="8"/>
  <c r="N73" i="8"/>
  <c r="N77" i="8"/>
  <c r="N79" i="8"/>
  <c r="N69" i="8"/>
  <c r="N71" i="8"/>
  <c r="S102" i="5"/>
  <c r="S105" i="5"/>
  <c r="S108" i="5"/>
  <c r="S103" i="5"/>
  <c r="S110" i="5"/>
  <c r="S107" i="5"/>
  <c r="S111" i="5"/>
  <c r="P44" i="6"/>
  <c r="P49" i="6"/>
  <c r="P48" i="6"/>
  <c r="P41" i="6"/>
  <c r="P51" i="6" s="1"/>
  <c r="P40" i="6"/>
  <c r="P42" i="6"/>
  <c r="P50" i="6"/>
  <c r="P43" i="6"/>
  <c r="P45" i="6"/>
  <c r="P47" i="6"/>
  <c r="P46" i="6"/>
  <c r="W95" i="8"/>
  <c r="W35" i="5"/>
  <c r="W6" i="5"/>
  <c r="W9" i="5" s="1"/>
  <c r="O81" i="8"/>
  <c r="O14" i="8"/>
  <c r="O11" i="8"/>
  <c r="O6" i="8"/>
  <c r="O15" i="8"/>
  <c r="O17" i="7"/>
  <c r="R130" i="5"/>
  <c r="R67" i="5"/>
  <c r="S94" i="8"/>
  <c r="R94" i="8"/>
  <c r="U51" i="5"/>
  <c r="U114" i="5"/>
  <c r="X4" i="5"/>
  <c r="T51" i="5"/>
  <c r="T114" i="5"/>
  <c r="Y5" i="5"/>
  <c r="T49" i="9"/>
  <c r="Q30" i="5"/>
  <c r="S30" i="5" s="1"/>
  <c r="O65" i="8"/>
  <c r="P9" i="8"/>
  <c r="Q9" i="8" s="1"/>
  <c r="Q86" i="8"/>
  <c r="S49" i="5"/>
  <c r="S43" i="5"/>
  <c r="S42" i="5"/>
  <c r="S39" i="5"/>
  <c r="S50" i="5" s="1"/>
  <c r="S40" i="5"/>
  <c r="S47" i="5"/>
  <c r="Q106" i="5"/>
  <c r="Q113" i="5" s="1"/>
  <c r="Q125" i="5"/>
  <c r="Q122" i="5"/>
  <c r="Q121" i="5"/>
  <c r="S65" i="9"/>
  <c r="V95" i="8"/>
  <c r="Q90" i="8"/>
  <c r="Q12" i="8"/>
  <c r="R5" i="8" s="1"/>
  <c r="R96" i="8"/>
  <c r="X95" i="8"/>
  <c r="T9" i="9"/>
  <c r="L45" i="8"/>
  <c r="L47" i="8"/>
  <c r="L43" i="8"/>
  <c r="L42" i="8"/>
  <c r="L39" i="8"/>
  <c r="L38" i="8"/>
  <c r="L48" i="8" s="1"/>
  <c r="L46" i="8"/>
  <c r="L41" i="8"/>
  <c r="L37" i="8"/>
  <c r="L44" i="8"/>
  <c r="L40" i="8"/>
  <c r="R23" i="5"/>
  <c r="Q16" i="8"/>
  <c r="R17" i="8"/>
  <c r="P58" i="5"/>
  <c r="Q58" i="5" s="1"/>
  <c r="P62" i="5"/>
  <c r="Q62" i="5" s="1"/>
  <c r="P55" i="5"/>
  <c r="Q55" i="5" s="1"/>
  <c r="P57" i="5"/>
  <c r="Q57" i="5" s="1"/>
  <c r="P60" i="5"/>
  <c r="Q60" i="5" s="1"/>
  <c r="P63" i="5"/>
  <c r="Q63" i="5" s="1"/>
  <c r="P61" i="5"/>
  <c r="Q61" i="5" s="1"/>
  <c r="P59" i="5"/>
  <c r="Q59" i="5" s="1"/>
  <c r="P64" i="5"/>
  <c r="Q64" i="5" s="1"/>
  <c r="P56" i="5"/>
  <c r="Q56" i="5" s="1"/>
  <c r="P65" i="5"/>
  <c r="Q65" i="5" s="1"/>
  <c r="N119" i="5"/>
  <c r="N129" i="5" s="1"/>
  <c r="N76" i="5"/>
  <c r="N80" i="5"/>
  <c r="N75" i="5"/>
  <c r="N79" i="5"/>
  <c r="N81" i="5"/>
  <c r="N74" i="5"/>
  <c r="N71" i="5"/>
  <c r="N73" i="5"/>
  <c r="N78" i="5"/>
  <c r="N72" i="5"/>
  <c r="N77" i="5"/>
  <c r="N82" i="5"/>
  <c r="U49" i="9"/>
  <c r="T35" i="5"/>
  <c r="Y4" i="5"/>
  <c r="T6" i="5"/>
  <c r="T9" i="5" s="1"/>
  <c r="R88" i="8"/>
  <c r="S88" i="8" s="1"/>
  <c r="P121" i="5"/>
  <c r="P122" i="5"/>
  <c r="P123" i="5"/>
  <c r="Q123" i="5" s="1"/>
  <c r="P124" i="5"/>
  <c r="Q124" i="5" s="1"/>
  <c r="P120" i="5"/>
  <c r="Q120" i="5" s="1"/>
  <c r="P126" i="5"/>
  <c r="Q126" i="5" s="1"/>
  <c r="P118" i="5"/>
  <c r="P128" i="5"/>
  <c r="Q128" i="5" s="1"/>
  <c r="P127" i="5"/>
  <c r="Q127" i="5" s="1"/>
  <c r="P125" i="5"/>
  <c r="L22" i="8"/>
  <c r="L27" i="8"/>
  <c r="L21" i="8"/>
  <c r="L31" i="8"/>
  <c r="L24" i="8"/>
  <c r="L23" i="8"/>
  <c r="M23" i="8" s="1"/>
  <c r="L25" i="8"/>
  <c r="L29" i="8"/>
  <c r="L26" i="8"/>
  <c r="M26" i="8" s="1"/>
  <c r="V49" i="9"/>
  <c r="R90" i="8"/>
  <c r="M17" i="6"/>
  <c r="M16" i="5"/>
  <c r="M15" i="5"/>
  <c r="M17" i="5" s="1"/>
  <c r="N12" i="9"/>
  <c r="N59" i="8"/>
  <c r="N60" i="8"/>
  <c r="N53" i="8"/>
  <c r="N63" i="8"/>
  <c r="N62" i="8"/>
  <c r="N57" i="8"/>
  <c r="N54" i="8"/>
  <c r="N64" i="8" s="1"/>
  <c r="N56" i="8"/>
  <c r="N58" i="8"/>
  <c r="N61" i="8"/>
  <c r="N55" i="8"/>
  <c r="L48" i="9"/>
  <c r="U91" i="8"/>
  <c r="S8" i="5"/>
  <c r="M27" i="8"/>
  <c r="M22" i="8"/>
  <c r="M31" i="8"/>
  <c r="Q26" i="6"/>
  <c r="Q30" i="6"/>
  <c r="Q29" i="6"/>
  <c r="Q33" i="6"/>
  <c r="Q27" i="6"/>
  <c r="Q34" i="6"/>
  <c r="Q32" i="6"/>
  <c r="Q25" i="6"/>
  <c r="Q28" i="6"/>
  <c r="Q4" i="6"/>
  <c r="R19" i="6"/>
  <c r="Q31" i="6"/>
  <c r="Q24" i="6"/>
  <c r="W5" i="9"/>
  <c r="Z5" i="9" s="1"/>
  <c r="W85" i="8"/>
  <c r="X85" i="8" s="1"/>
  <c r="Q10" i="8"/>
  <c r="O9" i="6"/>
  <c r="O15" i="6"/>
  <c r="O68" i="6"/>
  <c r="R89" i="8"/>
  <c r="Q83" i="5"/>
  <c r="N66" i="6"/>
  <c r="N57" i="6"/>
  <c r="N67" i="6" s="1"/>
  <c r="N60" i="6"/>
  <c r="N65" i="6"/>
  <c r="N59" i="6"/>
  <c r="N56" i="6"/>
  <c r="N64" i="6"/>
  <c r="N62" i="6"/>
  <c r="N63" i="6"/>
  <c r="N61" i="6"/>
  <c r="N58" i="6"/>
  <c r="L32" i="8" l="1"/>
  <c r="Q66" i="5"/>
  <c r="Y49" i="9"/>
  <c r="Z49" i="9"/>
  <c r="V94" i="8"/>
  <c r="Q6" i="8"/>
  <c r="Q81" i="8"/>
  <c r="Q14" i="8"/>
  <c r="Q11" i="8"/>
  <c r="Q15" i="8"/>
  <c r="Q17" i="7"/>
  <c r="T86" i="8"/>
  <c r="AB35" i="5"/>
  <c r="P129" i="5"/>
  <c r="T89" i="8"/>
  <c r="Y85" i="8"/>
  <c r="T88" i="8"/>
  <c r="T49" i="5"/>
  <c r="U49" i="5" s="1"/>
  <c r="T40" i="5"/>
  <c r="U40" i="5" s="1"/>
  <c r="T42" i="5"/>
  <c r="U42" i="5" s="1"/>
  <c r="T43" i="5"/>
  <c r="U43" i="5" s="1"/>
  <c r="T47" i="5"/>
  <c r="U47" i="5" s="1"/>
  <c r="T41" i="5"/>
  <c r="T44" i="5"/>
  <c r="T45" i="5"/>
  <c r="T46" i="5"/>
  <c r="T48" i="5"/>
  <c r="T39" i="5"/>
  <c r="T50" i="5" s="1"/>
  <c r="Y35" i="5"/>
  <c r="Y6" i="5"/>
  <c r="Y9" i="5" s="1"/>
  <c r="AC4" i="5"/>
  <c r="X35" i="5"/>
  <c r="X6" i="5"/>
  <c r="X9" i="5" s="1"/>
  <c r="N80" i="9"/>
  <c r="T52" i="6"/>
  <c r="T12" i="6"/>
  <c r="O70" i="8"/>
  <c r="O77" i="8"/>
  <c r="O79" i="8"/>
  <c r="O75" i="8"/>
  <c r="O73" i="8"/>
  <c r="O74" i="8"/>
  <c r="O72" i="8"/>
  <c r="O69" i="8"/>
  <c r="O80" i="8" s="1"/>
  <c r="O78" i="8"/>
  <c r="O76" i="8"/>
  <c r="O71" i="8"/>
  <c r="P12" i="9"/>
  <c r="P68" i="6"/>
  <c r="P9" i="6"/>
  <c r="P15" i="6"/>
  <c r="AA35" i="5"/>
  <c r="O66" i="6"/>
  <c r="O65" i="6"/>
  <c r="O59" i="6"/>
  <c r="O64" i="6"/>
  <c r="O63" i="6"/>
  <c r="O58" i="6"/>
  <c r="O61" i="6"/>
  <c r="O56" i="6"/>
  <c r="O67" i="6" s="1"/>
  <c r="O62" i="6"/>
  <c r="O60" i="6"/>
  <c r="O57" i="6"/>
  <c r="O86" i="9"/>
  <c r="O72" i="9"/>
  <c r="O61" i="9"/>
  <c r="O44" i="9"/>
  <c r="O24" i="9"/>
  <c r="O89" i="9"/>
  <c r="O75" i="9"/>
  <c r="O63" i="9"/>
  <c r="O46" i="9"/>
  <c r="O27" i="9"/>
  <c r="O92" i="9"/>
  <c r="O78" i="9"/>
  <c r="O54" i="9"/>
  <c r="O37" i="9"/>
  <c r="O30" i="9"/>
  <c r="O38" i="9"/>
  <c r="O29" i="9"/>
  <c r="O23" i="9"/>
  <c r="O95" i="9"/>
  <c r="O74" i="9"/>
  <c r="O91" i="9"/>
  <c r="O70" i="9"/>
  <c r="O53" i="9"/>
  <c r="O57" i="9"/>
  <c r="O71" i="9"/>
  <c r="O58" i="9"/>
  <c r="O60" i="9"/>
  <c r="O55" i="9"/>
  <c r="O96" i="9"/>
  <c r="O94" i="9"/>
  <c r="O43" i="9"/>
  <c r="O47" i="9"/>
  <c r="O28" i="9"/>
  <c r="O26" i="9"/>
  <c r="O69" i="9"/>
  <c r="O59" i="9"/>
  <c r="O88" i="9"/>
  <c r="O90" i="9"/>
  <c r="O79" i="9"/>
  <c r="O21" i="9"/>
  <c r="O73" i="9"/>
  <c r="O40" i="9"/>
  <c r="O93" i="9"/>
  <c r="O62" i="9"/>
  <c r="O39" i="9"/>
  <c r="O76" i="9"/>
  <c r="O41" i="9"/>
  <c r="O31" i="9"/>
  <c r="O87" i="9"/>
  <c r="O77" i="9"/>
  <c r="O22" i="9"/>
  <c r="O32" i="9" s="1"/>
  <c r="O56" i="9"/>
  <c r="O45" i="9"/>
  <c r="O25" i="9"/>
  <c r="O42" i="9"/>
  <c r="P66" i="5"/>
  <c r="X87" i="8"/>
  <c r="M28" i="8"/>
  <c r="M32" i="8" s="1"/>
  <c r="X114" i="5"/>
  <c r="X51" i="5"/>
  <c r="W51" i="5"/>
  <c r="W114" i="5"/>
  <c r="R31" i="6"/>
  <c r="R26" i="6"/>
  <c r="R30" i="6"/>
  <c r="R34" i="6"/>
  <c r="R28" i="6"/>
  <c r="R27" i="6"/>
  <c r="R33" i="6"/>
  <c r="R24" i="6"/>
  <c r="R32" i="6"/>
  <c r="R25" i="6"/>
  <c r="S19" i="6"/>
  <c r="R4" i="6"/>
  <c r="R29" i="6"/>
  <c r="R74" i="5"/>
  <c r="R79" i="5"/>
  <c r="R80" i="5"/>
  <c r="R72" i="5"/>
  <c r="R71" i="5"/>
  <c r="R77" i="5"/>
  <c r="R75" i="5"/>
  <c r="R76" i="5"/>
  <c r="R82" i="5"/>
  <c r="R78" i="5"/>
  <c r="R81" i="5"/>
  <c r="R73" i="5"/>
  <c r="S67" i="5"/>
  <c r="S130" i="5"/>
  <c r="S90" i="8"/>
  <c r="Q119" i="5"/>
  <c r="R119" i="5" s="1"/>
  <c r="R129" i="5" s="1"/>
  <c r="Q118" i="5"/>
  <c r="O119" i="5"/>
  <c r="O129" i="5" s="1"/>
  <c r="Y114" i="5"/>
  <c r="Y51" i="5"/>
  <c r="R12" i="8"/>
  <c r="S5" i="8" s="1"/>
  <c r="S96" i="8"/>
  <c r="S106" i="5"/>
  <c r="N15" i="5"/>
  <c r="N16" i="5"/>
  <c r="N17" i="6"/>
  <c r="U104" i="5"/>
  <c r="U107" i="5"/>
  <c r="U105" i="5"/>
  <c r="U109" i="5"/>
  <c r="U112" i="5"/>
  <c r="U111" i="5"/>
  <c r="R122" i="5"/>
  <c r="R123" i="5"/>
  <c r="R124" i="5"/>
  <c r="R125" i="5"/>
  <c r="R121" i="5"/>
  <c r="R126" i="5"/>
  <c r="R127" i="5"/>
  <c r="R128" i="5"/>
  <c r="R118" i="5"/>
  <c r="R120" i="5"/>
  <c r="X49" i="9"/>
  <c r="Q6" i="6"/>
  <c r="Q7" i="6" s="1"/>
  <c r="Q14" i="6"/>
  <c r="Q16" i="6" s="1"/>
  <c r="Q20" i="6"/>
  <c r="Q36" i="6"/>
  <c r="Q35" i="6" s="1"/>
  <c r="O33" i="8"/>
  <c r="S7" i="5"/>
  <c r="R86" i="8"/>
  <c r="V29" i="5"/>
  <c r="V23" i="5"/>
  <c r="V26" i="5"/>
  <c r="V25" i="5"/>
  <c r="N30" i="8"/>
  <c r="N28" i="8"/>
  <c r="N32" i="8" s="1"/>
  <c r="N26" i="8"/>
  <c r="N24" i="8"/>
  <c r="N22" i="8"/>
  <c r="N25" i="8"/>
  <c r="N27" i="8"/>
  <c r="N21" i="8"/>
  <c r="N23" i="8"/>
  <c r="N29" i="8"/>
  <c r="N31" i="8"/>
  <c r="Z95" i="8"/>
  <c r="Q65" i="8"/>
  <c r="R10" i="8"/>
  <c r="K32" i="8"/>
  <c r="T32" i="5"/>
  <c r="T30" i="5"/>
  <c r="U30" i="5" s="1"/>
  <c r="T24" i="5"/>
  <c r="T31" i="5"/>
  <c r="T28" i="5"/>
  <c r="T29" i="5"/>
  <c r="T26" i="5"/>
  <c r="T25" i="5"/>
  <c r="T23" i="5"/>
  <c r="W23" i="5" s="1"/>
  <c r="T27" i="5"/>
  <c r="U27" i="5" s="1"/>
  <c r="R34" i="5"/>
  <c r="Y95" i="8"/>
  <c r="AA95" i="8" s="1"/>
  <c r="V51" i="5"/>
  <c r="V114" i="5"/>
  <c r="P55" i="8"/>
  <c r="P62" i="8"/>
  <c r="P63" i="8"/>
  <c r="P56" i="8"/>
  <c r="P58" i="8"/>
  <c r="P119" i="5"/>
  <c r="N64" i="9"/>
  <c r="R52" i="6"/>
  <c r="R12" i="6"/>
  <c r="U5" i="6"/>
  <c r="AA5" i="9"/>
  <c r="N48" i="9"/>
  <c r="T65" i="9"/>
  <c r="O14" i="9"/>
  <c r="O81" i="9"/>
  <c r="O14" i="5"/>
  <c r="O10" i="9"/>
  <c r="O13" i="9"/>
  <c r="T109" i="5"/>
  <c r="T112" i="5"/>
  <c r="T104" i="5"/>
  <c r="T107" i="5"/>
  <c r="T102" i="5"/>
  <c r="U102" i="5" s="1"/>
  <c r="T105" i="5"/>
  <c r="T108" i="5"/>
  <c r="U108" i="5" s="1"/>
  <c r="T111" i="5"/>
  <c r="T103" i="5"/>
  <c r="U103" i="5" s="1"/>
  <c r="T110" i="5"/>
  <c r="U110" i="5" s="1"/>
  <c r="R9" i="8"/>
  <c r="R16" i="8"/>
  <c r="S17" i="8"/>
  <c r="U9" i="9"/>
  <c r="U93" i="8"/>
  <c r="V93" i="8" s="1"/>
  <c r="S33" i="5"/>
  <c r="Z87" i="8"/>
  <c r="AA87" i="8" s="1"/>
  <c r="S52" i="6"/>
  <c r="S12" i="6"/>
  <c r="P6" i="8"/>
  <c r="P14" i="8"/>
  <c r="P11" i="8"/>
  <c r="P81" i="8"/>
  <c r="P17" i="7"/>
  <c r="P15" i="8"/>
  <c r="Q49" i="6"/>
  <c r="Q48" i="6"/>
  <c r="Q43" i="6"/>
  <c r="Q41" i="6"/>
  <c r="Q40" i="6"/>
  <c r="Q42" i="6"/>
  <c r="Q50" i="6"/>
  <c r="Q45" i="6"/>
  <c r="Q47" i="6"/>
  <c r="Q46" i="6"/>
  <c r="Q44" i="6"/>
  <c r="Q51" i="6" s="1"/>
  <c r="U32" i="5"/>
  <c r="U29" i="5"/>
  <c r="U23" i="5"/>
  <c r="U25" i="5"/>
  <c r="U26" i="5"/>
  <c r="W26" i="5" s="1"/>
  <c r="N49" i="8"/>
  <c r="O7" i="8"/>
  <c r="W29" i="5"/>
  <c r="W25" i="5"/>
  <c r="Y87" i="8"/>
  <c r="P17" i="9"/>
  <c r="Q16" i="9"/>
  <c r="P7" i="9"/>
  <c r="P4" i="9"/>
  <c r="P33" i="9" s="1"/>
  <c r="O12" i="9"/>
  <c r="Z5" i="5"/>
  <c r="T8" i="5"/>
  <c r="U44" i="5"/>
  <c r="U45" i="5"/>
  <c r="U46" i="5"/>
  <c r="U48" i="5"/>
  <c r="U41" i="5"/>
  <c r="U39" i="5"/>
  <c r="U94" i="8"/>
  <c r="W94" i="8" s="1"/>
  <c r="N97" i="9"/>
  <c r="N11" i="9" s="1"/>
  <c r="O3" i="9" s="1"/>
  <c r="O6" i="9" s="1"/>
  <c r="S86" i="8"/>
  <c r="V91" i="8"/>
  <c r="S92" i="8"/>
  <c r="Q75" i="5"/>
  <c r="Q79" i="5"/>
  <c r="Q81" i="5"/>
  <c r="Q74" i="5"/>
  <c r="Q73" i="5"/>
  <c r="Q71" i="5"/>
  <c r="Q77" i="5"/>
  <c r="Q76" i="5"/>
  <c r="Q82" i="5"/>
  <c r="Q80" i="5"/>
  <c r="Q72" i="5"/>
  <c r="Q78" i="5"/>
  <c r="O60" i="8"/>
  <c r="P60" i="8" s="1"/>
  <c r="O53" i="8"/>
  <c r="P53" i="8" s="1"/>
  <c r="O62" i="8"/>
  <c r="O61" i="8"/>
  <c r="P61" i="8" s="1"/>
  <c r="O56" i="8"/>
  <c r="O58" i="8"/>
  <c r="O54" i="8"/>
  <c r="P54" i="8" s="1"/>
  <c r="O59" i="8"/>
  <c r="P59" i="8" s="1"/>
  <c r="O55" i="8"/>
  <c r="O63" i="8"/>
  <c r="O57" i="8"/>
  <c r="P57" i="8" s="1"/>
  <c r="Z35" i="5"/>
  <c r="M45" i="8"/>
  <c r="M47" i="8"/>
  <c r="M43" i="8"/>
  <c r="M38" i="8"/>
  <c r="M46" i="8"/>
  <c r="M37" i="8"/>
  <c r="M48" i="8" s="1"/>
  <c r="M42" i="8"/>
  <c r="M41" i="8"/>
  <c r="M44" i="8"/>
  <c r="M40" i="8"/>
  <c r="M39" i="8"/>
  <c r="S89" i="8"/>
  <c r="W49" i="9"/>
  <c r="R62" i="5"/>
  <c r="R55" i="5"/>
  <c r="R66" i="5" s="1"/>
  <c r="R59" i="5"/>
  <c r="R60" i="5"/>
  <c r="R63" i="5"/>
  <c r="R64" i="5"/>
  <c r="R61" i="5"/>
  <c r="R57" i="5"/>
  <c r="R56" i="5"/>
  <c r="R58" i="5"/>
  <c r="R65" i="5"/>
  <c r="L84" i="6"/>
  <c r="M73" i="6" s="1"/>
  <c r="M74" i="6" s="1"/>
  <c r="M75" i="6" s="1"/>
  <c r="M76" i="6" s="1"/>
  <c r="M77" i="6" s="1"/>
  <c r="M78" i="6" s="1"/>
  <c r="M79" i="6" s="1"/>
  <c r="M80" i="6" s="1"/>
  <c r="M81" i="6" s="1"/>
  <c r="M82" i="6" s="1"/>
  <c r="M83" i="6" s="1"/>
  <c r="M84" i="6" s="1"/>
  <c r="N73" i="6" s="1"/>
  <c r="N74" i="6" s="1"/>
  <c r="N75" i="6" s="1"/>
  <c r="N76" i="6" s="1"/>
  <c r="N77" i="6" s="1"/>
  <c r="N78" i="6" s="1"/>
  <c r="N79" i="6" s="1"/>
  <c r="N80" i="6" s="1"/>
  <c r="N81" i="6" s="1"/>
  <c r="N82" i="6" s="1"/>
  <c r="N83" i="6" s="1"/>
  <c r="N84" i="6" s="1"/>
  <c r="O73" i="6" s="1"/>
  <c r="O74" i="6" s="1"/>
  <c r="O75" i="6" s="1"/>
  <c r="O76" i="6" s="1"/>
  <c r="O77" i="6" s="1"/>
  <c r="O78" i="6" s="1"/>
  <c r="O79" i="6" s="1"/>
  <c r="O80" i="6" s="1"/>
  <c r="O81" i="6" s="1"/>
  <c r="O82" i="6" s="1"/>
  <c r="O83" i="6" s="1"/>
  <c r="U50" i="5" l="1"/>
  <c r="W30" i="5"/>
  <c r="U106" i="5"/>
  <c r="U113" i="5"/>
  <c r="V27" i="5"/>
  <c r="W27" i="5"/>
  <c r="X94" i="8"/>
  <c r="Y94" i="8" s="1"/>
  <c r="P64" i="8"/>
  <c r="O15" i="5"/>
  <c r="O16" i="5"/>
  <c r="T33" i="5"/>
  <c r="T34" i="5"/>
  <c r="T130" i="5"/>
  <c r="T67" i="5"/>
  <c r="S9" i="8"/>
  <c r="T17" i="8"/>
  <c r="S16" i="8"/>
  <c r="Q78" i="8"/>
  <c r="Q76" i="8"/>
  <c r="Q74" i="8"/>
  <c r="Q75" i="8"/>
  <c r="Z114" i="5"/>
  <c r="Z51" i="5"/>
  <c r="AA5" i="5"/>
  <c r="AA49" i="9"/>
  <c r="V40" i="5"/>
  <c r="X40" i="5" s="1"/>
  <c r="V42" i="5"/>
  <c r="V44" i="5"/>
  <c r="V47" i="5"/>
  <c r="V46" i="5"/>
  <c r="V45" i="5"/>
  <c r="V43" i="5"/>
  <c r="V48" i="5"/>
  <c r="V41" i="5"/>
  <c r="V39" i="5"/>
  <c r="V49" i="5"/>
  <c r="V30" i="5"/>
  <c r="U88" i="8"/>
  <c r="P81" i="9"/>
  <c r="P14" i="9"/>
  <c r="P14" i="5"/>
  <c r="P13" i="9"/>
  <c r="P10" i="9"/>
  <c r="T113" i="5"/>
  <c r="V5" i="6"/>
  <c r="S12" i="8"/>
  <c r="T5" i="8" s="1"/>
  <c r="T96" i="8"/>
  <c r="S34" i="5"/>
  <c r="O80" i="9"/>
  <c r="S55" i="5"/>
  <c r="S66" i="5" s="1"/>
  <c r="S60" i="5"/>
  <c r="S63" i="5"/>
  <c r="S61" i="5"/>
  <c r="S59" i="5"/>
  <c r="S57" i="5"/>
  <c r="S64" i="5"/>
  <c r="S65" i="5"/>
  <c r="S58" i="5"/>
  <c r="S56" i="5"/>
  <c r="S62" i="5"/>
  <c r="Q33" i="8"/>
  <c r="O49" i="8"/>
  <c r="P7" i="8"/>
  <c r="R65" i="8"/>
  <c r="S10" i="8"/>
  <c r="U28" i="5"/>
  <c r="U31" i="5"/>
  <c r="V32" i="5"/>
  <c r="W32" i="5" s="1"/>
  <c r="P70" i="8"/>
  <c r="Q70" i="8" s="1"/>
  <c r="P75" i="8"/>
  <c r="P77" i="8"/>
  <c r="Q77" i="8" s="1"/>
  <c r="P78" i="8"/>
  <c r="P76" i="8"/>
  <c r="P73" i="8"/>
  <c r="Q73" i="8" s="1"/>
  <c r="P74" i="8"/>
  <c r="P79" i="8"/>
  <c r="Q79" i="8" s="1"/>
  <c r="P69" i="8"/>
  <c r="P80" i="8" s="1"/>
  <c r="P72" i="8"/>
  <c r="Q72" i="8" s="1"/>
  <c r="P71" i="8"/>
  <c r="Q71" i="8" s="1"/>
  <c r="O97" i="9"/>
  <c r="O11" i="9" s="1"/>
  <c r="P3" i="9" s="1"/>
  <c r="P6" i="9" s="1"/>
  <c r="Z85" i="8"/>
  <c r="S83" i="5"/>
  <c r="R14" i="6"/>
  <c r="R16" i="6" s="1"/>
  <c r="R20" i="6"/>
  <c r="R36" i="6"/>
  <c r="R35" i="6" s="1"/>
  <c r="R6" i="6"/>
  <c r="R7" i="6" s="1"/>
  <c r="AB95" i="8"/>
  <c r="O48" i="9"/>
  <c r="S42" i="6"/>
  <c r="S49" i="6"/>
  <c r="T49" i="6" s="1"/>
  <c r="N47" i="8"/>
  <c r="N38" i="8"/>
  <c r="N46" i="8"/>
  <c r="N37" i="8"/>
  <c r="N42" i="8"/>
  <c r="N45" i="8"/>
  <c r="N44" i="8"/>
  <c r="N48" i="8" s="1"/>
  <c r="N39" i="8"/>
  <c r="N40" i="8"/>
  <c r="N41" i="8"/>
  <c r="N43" i="8"/>
  <c r="Q53" i="8"/>
  <c r="Q55" i="8"/>
  <c r="Q62" i="8"/>
  <c r="Q63" i="8"/>
  <c r="Q60" i="8"/>
  <c r="Q54" i="8"/>
  <c r="Q64" i="8" s="1"/>
  <c r="Q56" i="8"/>
  <c r="Q58" i="8"/>
  <c r="Q61" i="8"/>
  <c r="Q59" i="8"/>
  <c r="Q57" i="8"/>
  <c r="N17" i="5"/>
  <c r="AC35" i="5"/>
  <c r="X39" i="5"/>
  <c r="W86" i="8"/>
  <c r="T7" i="5"/>
  <c r="U24" i="5"/>
  <c r="U8" i="5"/>
  <c r="S26" i="6"/>
  <c r="S30" i="6"/>
  <c r="S34" i="6"/>
  <c r="S28" i="6"/>
  <c r="S27" i="6"/>
  <c r="S29" i="6"/>
  <c r="S33" i="6"/>
  <c r="S24" i="6"/>
  <c r="T19" i="6"/>
  <c r="S32" i="6"/>
  <c r="S25" i="6"/>
  <c r="S4" i="6"/>
  <c r="S31" i="6"/>
  <c r="O84" i="6"/>
  <c r="P73" i="6" s="1"/>
  <c r="V86" i="8"/>
  <c r="W93" i="8"/>
  <c r="AB87" i="8"/>
  <c r="T90" i="8"/>
  <c r="O64" i="9"/>
  <c r="P89" i="9"/>
  <c r="P75" i="9"/>
  <c r="P63" i="9"/>
  <c r="P46" i="9"/>
  <c r="P27" i="9"/>
  <c r="P92" i="9"/>
  <c r="P78" i="9"/>
  <c r="P54" i="9"/>
  <c r="P37" i="9"/>
  <c r="P30" i="9"/>
  <c r="P95" i="9"/>
  <c r="P70" i="9"/>
  <c r="P56" i="9"/>
  <c r="P39" i="9"/>
  <c r="P22" i="9"/>
  <c r="P90" i="9"/>
  <c r="P76" i="9"/>
  <c r="P60" i="9"/>
  <c r="P43" i="9"/>
  <c r="P38" i="9"/>
  <c r="P29" i="9"/>
  <c r="P23" i="9"/>
  <c r="P74" i="9"/>
  <c r="P91" i="9"/>
  <c r="P53" i="9"/>
  <c r="P64" i="9" s="1"/>
  <c r="P32" i="9"/>
  <c r="P71" i="9"/>
  <c r="P58" i="9"/>
  <c r="P79" i="9"/>
  <c r="P44" i="9"/>
  <c r="P87" i="9"/>
  <c r="P69" i="9"/>
  <c r="P21" i="9"/>
  <c r="P47" i="9"/>
  <c r="P28" i="9"/>
  <c r="P26" i="9"/>
  <c r="P24" i="9"/>
  <c r="P59" i="9"/>
  <c r="P88" i="9"/>
  <c r="P73" i="9"/>
  <c r="P86" i="9"/>
  <c r="P57" i="9"/>
  <c r="P40" i="9"/>
  <c r="P93" i="9"/>
  <c r="P77" i="9"/>
  <c r="P41" i="9"/>
  <c r="P72" i="9"/>
  <c r="P62" i="9"/>
  <c r="P31" i="9"/>
  <c r="P55" i="9"/>
  <c r="P42" i="9"/>
  <c r="P94" i="9"/>
  <c r="P61" i="9"/>
  <c r="P45" i="9"/>
  <c r="P25" i="9"/>
  <c r="P96" i="9"/>
  <c r="Q17" i="9"/>
  <c r="R16" i="9"/>
  <c r="Q4" i="9"/>
  <c r="Q33" i="9" s="1"/>
  <c r="Q7" i="9"/>
  <c r="AE4" i="5"/>
  <c r="Q68" i="6"/>
  <c r="Q9" i="6"/>
  <c r="Q15" i="6"/>
  <c r="S124" i="5"/>
  <c r="S125" i="5"/>
  <c r="S121" i="5"/>
  <c r="S126" i="5"/>
  <c r="S123" i="5"/>
  <c r="S127" i="5"/>
  <c r="S119" i="5"/>
  <c r="S122" i="5"/>
  <c r="S118" i="5"/>
  <c r="S129" i="5" s="1"/>
  <c r="S128" i="5"/>
  <c r="S120" i="5"/>
  <c r="U65" i="9"/>
  <c r="V9" i="9"/>
  <c r="W9" i="9" s="1"/>
  <c r="P57" i="6"/>
  <c r="P59" i="6"/>
  <c r="P63" i="6"/>
  <c r="P64" i="6"/>
  <c r="P58" i="6"/>
  <c r="P65" i="6"/>
  <c r="P66" i="6"/>
  <c r="P61" i="6"/>
  <c r="P62" i="6"/>
  <c r="P60" i="6"/>
  <c r="P56" i="6"/>
  <c r="P67" i="6" s="1"/>
  <c r="W45" i="5"/>
  <c r="W43" i="5"/>
  <c r="X43" i="5" s="1"/>
  <c r="W49" i="5"/>
  <c r="W41" i="5"/>
  <c r="W48" i="5"/>
  <c r="W40" i="5"/>
  <c r="W39" i="5"/>
  <c r="V112" i="5"/>
  <c r="V104" i="5"/>
  <c r="X104" i="5" s="1"/>
  <c r="V107" i="5"/>
  <c r="X107" i="5" s="1"/>
  <c r="Y107" i="5" s="1"/>
  <c r="V110" i="5"/>
  <c r="X110" i="5" s="1"/>
  <c r="V109" i="5"/>
  <c r="V108" i="5"/>
  <c r="X108" i="5" s="1"/>
  <c r="V111" i="5"/>
  <c r="V105" i="5"/>
  <c r="Y105" i="5" s="1"/>
  <c r="V102" i="5"/>
  <c r="X102" i="5" s="1"/>
  <c r="V103" i="5"/>
  <c r="U52" i="6"/>
  <c r="U12" i="6"/>
  <c r="Y29" i="5"/>
  <c r="Y25" i="5"/>
  <c r="Y23" i="5"/>
  <c r="P33" i="8"/>
  <c r="O8" i="8"/>
  <c r="U89" i="8"/>
  <c r="T92" i="8"/>
  <c r="O30" i="8"/>
  <c r="O28" i="8"/>
  <c r="O26" i="8"/>
  <c r="O24" i="8"/>
  <c r="O22" i="8"/>
  <c r="O32" i="8" s="1"/>
  <c r="O27" i="8"/>
  <c r="O29" i="8"/>
  <c r="O21" i="8"/>
  <c r="O23" i="8"/>
  <c r="O25" i="8"/>
  <c r="O31" i="8"/>
  <c r="W91" i="8"/>
  <c r="S113" i="5"/>
  <c r="O64" i="8"/>
  <c r="R11" i="8"/>
  <c r="R6" i="8"/>
  <c r="R14" i="8"/>
  <c r="R81" i="8"/>
  <c r="R17" i="7"/>
  <c r="R15" i="8"/>
  <c r="W107" i="5"/>
  <c r="W110" i="5"/>
  <c r="W112" i="5"/>
  <c r="X112" i="5" s="1"/>
  <c r="Y112" i="5" s="1"/>
  <c r="W108" i="5"/>
  <c r="W104" i="5"/>
  <c r="W102" i="5"/>
  <c r="W103" i="5"/>
  <c r="W111" i="5"/>
  <c r="W105" i="5"/>
  <c r="X105" i="5" s="1"/>
  <c r="W109" i="5"/>
  <c r="X29" i="5"/>
  <c r="AA29" i="5" s="1"/>
  <c r="X25" i="5"/>
  <c r="AA25" i="5" s="1"/>
  <c r="X23" i="5"/>
  <c r="X26" i="5"/>
  <c r="T106" i="5"/>
  <c r="Z6" i="5"/>
  <c r="Z9" i="5" s="1"/>
  <c r="Z29" i="5"/>
  <c r="Z25" i="5"/>
  <c r="Z23" i="5"/>
  <c r="AD4" i="5"/>
  <c r="R44" i="6"/>
  <c r="S44" i="6" s="1"/>
  <c r="T44" i="6" s="1"/>
  <c r="R49" i="6"/>
  <c r="R48" i="6"/>
  <c r="S48" i="6" s="1"/>
  <c r="T48" i="6" s="1"/>
  <c r="R43" i="6"/>
  <c r="S43" i="6" s="1"/>
  <c r="T43" i="6" s="1"/>
  <c r="R42" i="6"/>
  <c r="T42" i="6" s="1"/>
  <c r="R50" i="6"/>
  <c r="R45" i="6"/>
  <c r="R40" i="6"/>
  <c r="R51" i="6" s="1"/>
  <c r="R47" i="6"/>
  <c r="S47" i="6" s="1"/>
  <c r="T47" i="6" s="1"/>
  <c r="R46" i="6"/>
  <c r="R41" i="6"/>
  <c r="S41" i="6" s="1"/>
  <c r="T41" i="6" s="1"/>
  <c r="AB5" i="9"/>
  <c r="U86" i="8"/>
  <c r="Q129" i="5"/>
  <c r="Z94" i="8" l="1"/>
  <c r="AB25" i="5"/>
  <c r="AC25" i="5" s="1"/>
  <c r="X42" i="5"/>
  <c r="Y104" i="5"/>
  <c r="Z104" i="5" s="1"/>
  <c r="Y108" i="5"/>
  <c r="Z108" i="5" s="1"/>
  <c r="W50" i="5"/>
  <c r="Y48" i="5"/>
  <c r="X89" i="8"/>
  <c r="U34" i="5"/>
  <c r="AB29" i="5"/>
  <c r="W65" i="9"/>
  <c r="Y8" i="5"/>
  <c r="Y109" i="5"/>
  <c r="Z109" i="5" s="1"/>
  <c r="T46" i="6"/>
  <c r="U10" i="8"/>
  <c r="Y111" i="5"/>
  <c r="U96" i="8"/>
  <c r="R12" i="9"/>
  <c r="R68" i="6"/>
  <c r="R9" i="6"/>
  <c r="R15" i="6"/>
  <c r="V31" i="5"/>
  <c r="T9" i="8"/>
  <c r="U17" i="8"/>
  <c r="T16" i="8"/>
  <c r="X9" i="9"/>
  <c r="V90" i="8"/>
  <c r="X27" i="5"/>
  <c r="Y40" i="5"/>
  <c r="Z107" i="5"/>
  <c r="Z105" i="5"/>
  <c r="Z112" i="5"/>
  <c r="AA23" i="5"/>
  <c r="X111" i="5"/>
  <c r="Z111" i="5" s="1"/>
  <c r="X91" i="8"/>
  <c r="X45" i="5"/>
  <c r="Y45" i="5" s="1"/>
  <c r="W90" i="8"/>
  <c r="X41" i="5"/>
  <c r="Y41" i="5" s="1"/>
  <c r="Z41" i="5" s="1"/>
  <c r="S46" i="6"/>
  <c r="W24" i="5"/>
  <c r="V52" i="6"/>
  <c r="V12" i="6"/>
  <c r="W5" i="6"/>
  <c r="X5" i="6"/>
  <c r="Y5" i="6" s="1"/>
  <c r="AC87" i="8"/>
  <c r="AE87" i="8" s="1"/>
  <c r="T55" i="5"/>
  <c r="T66" i="5" s="1"/>
  <c r="T59" i="5"/>
  <c r="T63" i="5"/>
  <c r="T57" i="5"/>
  <c r="T65" i="5"/>
  <c r="T58" i="5"/>
  <c r="T60" i="5"/>
  <c r="T56" i="5"/>
  <c r="T61" i="5"/>
  <c r="T62" i="5"/>
  <c r="T64" i="5"/>
  <c r="AA114" i="5"/>
  <c r="AA51" i="5"/>
  <c r="AA6" i="5"/>
  <c r="AA9" i="5" s="1"/>
  <c r="Q14" i="9"/>
  <c r="Q81" i="9"/>
  <c r="Q14" i="5"/>
  <c r="Q10" i="9"/>
  <c r="Q13" i="9"/>
  <c r="Q89" i="9"/>
  <c r="Q75" i="9"/>
  <c r="Q63" i="9"/>
  <c r="Q46" i="9"/>
  <c r="Q27" i="9"/>
  <c r="Q92" i="9"/>
  <c r="Q78" i="9"/>
  <c r="Q54" i="9"/>
  <c r="Q37" i="9"/>
  <c r="Q30" i="9"/>
  <c r="Q95" i="9"/>
  <c r="Q70" i="9"/>
  <c r="Q56" i="9"/>
  <c r="Q39" i="9"/>
  <c r="Q22" i="9"/>
  <c r="Q74" i="9"/>
  <c r="Q91" i="9"/>
  <c r="Q53" i="9"/>
  <c r="Q87" i="9"/>
  <c r="Q79" i="9"/>
  <c r="Q44" i="9"/>
  <c r="Q59" i="9"/>
  <c r="Q45" i="9"/>
  <c r="Q88" i="9"/>
  <c r="Q86" i="9"/>
  <c r="Q77" i="9"/>
  <c r="Q26" i="9"/>
  <c r="Q97" i="9"/>
  <c r="Q11" i="9" s="1"/>
  <c r="R3" i="9" s="1"/>
  <c r="R6" i="9" s="1"/>
  <c r="Q69" i="9"/>
  <c r="Q73" i="9"/>
  <c r="Q21" i="9"/>
  <c r="Q57" i="9"/>
  <c r="Q43" i="9"/>
  <c r="Q93" i="9"/>
  <c r="Q41" i="9"/>
  <c r="Q24" i="9"/>
  <c r="Q90" i="9"/>
  <c r="Q60" i="9"/>
  <c r="Q42" i="9"/>
  <c r="Q40" i="9"/>
  <c r="Q62" i="9"/>
  <c r="Q76" i="9"/>
  <c r="Q31" i="9"/>
  <c r="Q23" i="9"/>
  <c r="Q32" i="9" s="1"/>
  <c r="Q58" i="9"/>
  <c r="Q55" i="9"/>
  <c r="Q29" i="9"/>
  <c r="Q71" i="9"/>
  <c r="Q94" i="9"/>
  <c r="Q72" i="9"/>
  <c r="Q61" i="9"/>
  <c r="Q38" i="9"/>
  <c r="Q28" i="9"/>
  <c r="Q25" i="9"/>
  <c r="Q47" i="9"/>
  <c r="Q96" i="9"/>
  <c r="AB5" i="5"/>
  <c r="P74" i="6"/>
  <c r="P75" i="6" s="1"/>
  <c r="P76" i="6" s="1"/>
  <c r="P77" i="6" s="1"/>
  <c r="P78" i="6" s="1"/>
  <c r="P79" i="6" s="1"/>
  <c r="P80" i="6" s="1"/>
  <c r="P81" i="6" s="1"/>
  <c r="P82" i="6" s="1"/>
  <c r="P83" i="6" s="1"/>
  <c r="P84" i="6" s="1"/>
  <c r="U33" i="5"/>
  <c r="AB49" i="9"/>
  <c r="AC5" i="9"/>
  <c r="V106" i="5"/>
  <c r="P30" i="8"/>
  <c r="Q30" i="8" s="1"/>
  <c r="P27" i="8"/>
  <c r="Q27" i="8" s="1"/>
  <c r="P24" i="8"/>
  <c r="Q24" i="8" s="1"/>
  <c r="P21" i="8"/>
  <c r="P32" i="8" s="1"/>
  <c r="P22" i="8"/>
  <c r="Q22" i="8" s="1"/>
  <c r="P23" i="8"/>
  <c r="Q23" i="8" s="1"/>
  <c r="P29" i="8"/>
  <c r="Q29" i="8" s="1"/>
  <c r="P26" i="8"/>
  <c r="P25" i="8"/>
  <c r="P31" i="8"/>
  <c r="P28" i="8"/>
  <c r="Q57" i="6"/>
  <c r="Q63" i="6"/>
  <c r="Q56" i="6"/>
  <c r="Q67" i="6" s="1"/>
  <c r="Q59" i="6"/>
  <c r="Q64" i="6"/>
  <c r="Q58" i="6"/>
  <c r="Q65" i="6"/>
  <c r="Q66" i="6"/>
  <c r="Q61" i="6"/>
  <c r="Q60" i="6"/>
  <c r="Q62" i="6"/>
  <c r="W31" i="5"/>
  <c r="Y39" i="5"/>
  <c r="Z39" i="5" s="1"/>
  <c r="X30" i="5"/>
  <c r="R78" i="8"/>
  <c r="R76" i="8"/>
  <c r="R75" i="8"/>
  <c r="R74" i="8"/>
  <c r="R79" i="8"/>
  <c r="R77" i="8"/>
  <c r="R73" i="8"/>
  <c r="R72" i="8"/>
  <c r="R70" i="8"/>
  <c r="R71" i="8"/>
  <c r="Y43" i="5"/>
  <c r="Z43" i="5" s="1"/>
  <c r="Z26" i="5"/>
  <c r="X32" i="5"/>
  <c r="P48" i="9"/>
  <c r="S45" i="6"/>
  <c r="T45" i="6" s="1"/>
  <c r="Y102" i="5"/>
  <c r="Q69" i="8"/>
  <c r="Q80" i="8" s="1"/>
  <c r="V50" i="5"/>
  <c r="W44" i="5"/>
  <c r="X44" i="5" s="1"/>
  <c r="S65" i="8"/>
  <c r="U92" i="8"/>
  <c r="P15" i="5"/>
  <c r="P16" i="5"/>
  <c r="W47" i="5"/>
  <c r="P97" i="9"/>
  <c r="P11" i="9" s="1"/>
  <c r="Q3" i="9" s="1"/>
  <c r="Q6" i="9" s="1"/>
  <c r="R63" i="8"/>
  <c r="R55" i="8"/>
  <c r="R62" i="8"/>
  <c r="R57" i="8"/>
  <c r="R59" i="8"/>
  <c r="R53" i="8"/>
  <c r="R64" i="8" s="1"/>
  <c r="R60" i="8"/>
  <c r="R54" i="8"/>
  <c r="R56" i="8"/>
  <c r="R58" i="8"/>
  <c r="R61" i="8"/>
  <c r="P80" i="9"/>
  <c r="X109" i="5"/>
  <c r="Q26" i="8"/>
  <c r="Q28" i="8"/>
  <c r="Q25" i="8"/>
  <c r="Q31" i="8"/>
  <c r="V65" i="9"/>
  <c r="U130" i="5"/>
  <c r="U67" i="5"/>
  <c r="V8" i="5"/>
  <c r="W8" i="5"/>
  <c r="X8" i="5"/>
  <c r="U7" i="5"/>
  <c r="V28" i="5"/>
  <c r="W46" i="5"/>
  <c r="Y46" i="5" s="1"/>
  <c r="AE35" i="5"/>
  <c r="U48" i="6"/>
  <c r="U43" i="6"/>
  <c r="U47" i="6"/>
  <c r="U42" i="6"/>
  <c r="U46" i="6"/>
  <c r="U49" i="6"/>
  <c r="U44" i="6"/>
  <c r="U41" i="6"/>
  <c r="AC95" i="8"/>
  <c r="W42" i="5"/>
  <c r="X48" i="5"/>
  <c r="Z48" i="5" s="1"/>
  <c r="P49" i="8"/>
  <c r="Q7" i="8"/>
  <c r="X49" i="5"/>
  <c r="Y49" i="5" s="1"/>
  <c r="Z49" i="5" s="1"/>
  <c r="P8" i="8"/>
  <c r="Z8" i="5"/>
  <c r="Z7" i="5" s="1"/>
  <c r="X28" i="5"/>
  <c r="Y28" i="5" s="1"/>
  <c r="AD87" i="8"/>
  <c r="Y27" i="5"/>
  <c r="T30" i="6"/>
  <c r="T34" i="6"/>
  <c r="T25" i="6"/>
  <c r="T28" i="6"/>
  <c r="T27" i="6"/>
  <c r="T29" i="6"/>
  <c r="U19" i="6"/>
  <c r="T33" i="6"/>
  <c r="T24" i="6"/>
  <c r="T32" i="6"/>
  <c r="T26" i="6"/>
  <c r="T4" i="6"/>
  <c r="T31" i="6"/>
  <c r="Y26" i="5"/>
  <c r="X46" i="5"/>
  <c r="S50" i="6"/>
  <c r="T50" i="6" s="1"/>
  <c r="Y110" i="5"/>
  <c r="Z110" i="5" s="1"/>
  <c r="AA85" i="8"/>
  <c r="AB85" i="8"/>
  <c r="S11" i="8"/>
  <c r="S6" i="8"/>
  <c r="S14" i="8"/>
  <c r="S81" i="8"/>
  <c r="S15" i="8"/>
  <c r="S17" i="7"/>
  <c r="T83" i="5"/>
  <c r="T10" i="8"/>
  <c r="T123" i="5"/>
  <c r="T124" i="5"/>
  <c r="T125" i="5"/>
  <c r="T126" i="5"/>
  <c r="T121" i="5"/>
  <c r="T127" i="5"/>
  <c r="T119" i="5"/>
  <c r="T122" i="5"/>
  <c r="T118" i="5"/>
  <c r="T120" i="5"/>
  <c r="T129" i="5" s="1"/>
  <c r="T128" i="5"/>
  <c r="V24" i="5"/>
  <c r="V88" i="8"/>
  <c r="O17" i="5"/>
  <c r="X103" i="5"/>
  <c r="Y103" i="5" s="1"/>
  <c r="Z103" i="5" s="1"/>
  <c r="X24" i="5"/>
  <c r="R33" i="8"/>
  <c r="T12" i="8"/>
  <c r="U5" i="8" s="1"/>
  <c r="V96" i="8"/>
  <c r="AC29" i="5"/>
  <c r="W28" i="5"/>
  <c r="V89" i="8"/>
  <c r="W89" i="8"/>
  <c r="X93" i="8"/>
  <c r="X86" i="8"/>
  <c r="R4" i="9"/>
  <c r="R33" i="9" s="1"/>
  <c r="R17" i="9"/>
  <c r="R7" i="9"/>
  <c r="S16" i="9"/>
  <c r="Z40" i="5"/>
  <c r="O47" i="8"/>
  <c r="O38" i="8"/>
  <c r="O42" i="8"/>
  <c r="O46" i="8"/>
  <c r="O37" i="8"/>
  <c r="O44" i="8"/>
  <c r="O48" i="8"/>
  <c r="O45" i="8"/>
  <c r="O39" i="8"/>
  <c r="O40" i="8"/>
  <c r="O43" i="8"/>
  <c r="O41" i="8"/>
  <c r="S40" i="6"/>
  <c r="AD35" i="5"/>
  <c r="AF4" i="5"/>
  <c r="Q12" i="9"/>
  <c r="S14" i="6"/>
  <c r="S16" i="6" s="1"/>
  <c r="S20" i="6"/>
  <c r="S36" i="6"/>
  <c r="S35" i="6" s="1"/>
  <c r="S6" i="6"/>
  <c r="S7" i="6" s="1"/>
  <c r="Y42" i="5"/>
  <c r="S75" i="5"/>
  <c r="S79" i="5"/>
  <c r="S74" i="5"/>
  <c r="S80" i="5"/>
  <c r="S71" i="5"/>
  <c r="S77" i="5"/>
  <c r="S82" i="5"/>
  <c r="S73" i="5"/>
  <c r="S72" i="5"/>
  <c r="S76" i="5"/>
  <c r="S81" i="5"/>
  <c r="S78" i="5"/>
  <c r="W88" i="8"/>
  <c r="U90" i="8"/>
  <c r="Z28" i="5" l="1"/>
  <c r="Z83" i="5"/>
  <c r="X96" i="8"/>
  <c r="Y52" i="6"/>
  <c r="Y12" i="6"/>
  <c r="AF87" i="8"/>
  <c r="AG87" i="8"/>
  <c r="AH87" i="8" s="1"/>
  <c r="Q64" i="9"/>
  <c r="AD25" i="5"/>
  <c r="AE25" i="5" s="1"/>
  <c r="AD29" i="5"/>
  <c r="AE29" i="5" s="1"/>
  <c r="T78" i="5"/>
  <c r="T74" i="5"/>
  <c r="T80" i="5"/>
  <c r="T82" i="5"/>
  <c r="T71" i="5"/>
  <c r="T79" i="5"/>
  <c r="T77" i="5"/>
  <c r="T72" i="5"/>
  <c r="T76" i="5"/>
  <c r="T81" i="5"/>
  <c r="T73" i="5"/>
  <c r="T75" i="5"/>
  <c r="AA28" i="5"/>
  <c r="AC28" i="5" s="1"/>
  <c r="R69" i="8"/>
  <c r="R80" i="8" s="1"/>
  <c r="AB114" i="5"/>
  <c r="AB51" i="5"/>
  <c r="AB6" i="5"/>
  <c r="AB9" i="5" s="1"/>
  <c r="AC5" i="5"/>
  <c r="AA41" i="5"/>
  <c r="AA49" i="5"/>
  <c r="AA43" i="5"/>
  <c r="AA40" i="5"/>
  <c r="AA48" i="5"/>
  <c r="AA39" i="5"/>
  <c r="V48" i="6"/>
  <c r="V47" i="6"/>
  <c r="V42" i="6"/>
  <c r="V43" i="6"/>
  <c r="V45" i="6"/>
  <c r="V44" i="6"/>
  <c r="V46" i="6"/>
  <c r="V50" i="6"/>
  <c r="V41" i="6"/>
  <c r="V49" i="6"/>
  <c r="AA94" i="8"/>
  <c r="R92" i="9"/>
  <c r="R78" i="9"/>
  <c r="R54" i="9"/>
  <c r="R37" i="9"/>
  <c r="R30" i="9"/>
  <c r="R95" i="9"/>
  <c r="R70" i="9"/>
  <c r="R56" i="9"/>
  <c r="R39" i="9"/>
  <c r="R22" i="9"/>
  <c r="R87" i="9"/>
  <c r="R73" i="9"/>
  <c r="R58" i="9"/>
  <c r="R41" i="9"/>
  <c r="R25" i="9"/>
  <c r="R93" i="9"/>
  <c r="R79" i="9"/>
  <c r="R62" i="9"/>
  <c r="R45" i="9"/>
  <c r="R91" i="9"/>
  <c r="R53" i="9"/>
  <c r="R44" i="9"/>
  <c r="R59" i="9"/>
  <c r="R55" i="9"/>
  <c r="R27" i="9"/>
  <c r="R97" i="9"/>
  <c r="R11" i="9" s="1"/>
  <c r="S3" i="9" s="1"/>
  <c r="S6" i="9" s="1"/>
  <c r="R69" i="9"/>
  <c r="R88" i="9"/>
  <c r="R75" i="9"/>
  <c r="R74" i="9"/>
  <c r="R90" i="9"/>
  <c r="R89" i="9"/>
  <c r="R72" i="9"/>
  <c r="R23" i="9"/>
  <c r="R57" i="9"/>
  <c r="R86" i="9"/>
  <c r="R63" i="9"/>
  <c r="R43" i="9"/>
  <c r="R77" i="9"/>
  <c r="R38" i="9"/>
  <c r="R60" i="9"/>
  <c r="R76" i="9"/>
  <c r="R31" i="9"/>
  <c r="R26" i="9"/>
  <c r="R46" i="9"/>
  <c r="R94" i="9"/>
  <c r="R29" i="9"/>
  <c r="R61" i="9"/>
  <c r="R40" i="9"/>
  <c r="R21" i="9"/>
  <c r="R32" i="9" s="1"/>
  <c r="R71" i="9"/>
  <c r="R28" i="9"/>
  <c r="R24" i="9"/>
  <c r="R47" i="9"/>
  <c r="R96" i="9"/>
  <c r="R42" i="9"/>
  <c r="X65" i="9"/>
  <c r="S68" i="6"/>
  <c r="S9" i="6"/>
  <c r="S15" i="6"/>
  <c r="V17" i="8"/>
  <c r="U9" i="8"/>
  <c r="U16" i="8"/>
  <c r="Y86" i="8"/>
  <c r="Z86" i="8" s="1"/>
  <c r="R27" i="8"/>
  <c r="R24" i="8"/>
  <c r="R30" i="8"/>
  <c r="R23" i="8"/>
  <c r="R22" i="8"/>
  <c r="R25" i="8"/>
  <c r="R29" i="8"/>
  <c r="R26" i="8"/>
  <c r="R28" i="8"/>
  <c r="R31" i="8"/>
  <c r="Q80" i="9"/>
  <c r="X52" i="6"/>
  <c r="X12" i="6"/>
  <c r="U65" i="8"/>
  <c r="Y89" i="8"/>
  <c r="Z89" i="8" s="1"/>
  <c r="AC85" i="8"/>
  <c r="Z27" i="5"/>
  <c r="R59" i="6"/>
  <c r="R61" i="6"/>
  <c r="R56" i="6"/>
  <c r="R64" i="6"/>
  <c r="R58" i="6"/>
  <c r="R63" i="6"/>
  <c r="R65" i="6"/>
  <c r="R66" i="6"/>
  <c r="R60" i="6"/>
  <c r="R67" i="6" s="1"/>
  <c r="R62" i="6"/>
  <c r="R57" i="6"/>
  <c r="W52" i="6"/>
  <c r="W12" i="6"/>
  <c r="T65" i="8"/>
  <c r="V10" i="8"/>
  <c r="S51" i="6"/>
  <c r="T40" i="6"/>
  <c r="X88" i="8"/>
  <c r="Y88" i="8" s="1"/>
  <c r="AA27" i="5"/>
  <c r="AB27" i="5" s="1"/>
  <c r="V12" i="8"/>
  <c r="W5" i="8" s="1"/>
  <c r="W96" i="8"/>
  <c r="AB23" i="5"/>
  <c r="W106" i="5"/>
  <c r="Y30" i="5"/>
  <c r="AB28" i="5"/>
  <c r="AD28" i="5" s="1"/>
  <c r="Z42" i="5"/>
  <c r="AA42" i="5" s="1"/>
  <c r="Q73" i="6"/>
  <c r="Q74" i="6" s="1"/>
  <c r="Q75" i="6" s="1"/>
  <c r="Q76" i="6" s="1"/>
  <c r="Q77" i="6" s="1"/>
  <c r="Q78" i="6" s="1"/>
  <c r="Q79" i="6" s="1"/>
  <c r="Q80" i="6" s="1"/>
  <c r="Q81" i="6" s="1"/>
  <c r="Q82" i="6" s="1"/>
  <c r="Q83" i="6" s="1"/>
  <c r="Q84" i="6" s="1"/>
  <c r="R73" i="6" s="1"/>
  <c r="R74" i="6" s="1"/>
  <c r="R75" i="6" s="1"/>
  <c r="R76" i="6" s="1"/>
  <c r="U12" i="8"/>
  <c r="V5" i="8" s="1"/>
  <c r="U83" i="5"/>
  <c r="AD95" i="8"/>
  <c r="W130" i="5"/>
  <c r="W129" i="5" s="1"/>
  <c r="W67" i="5"/>
  <c r="W66" i="5" s="1"/>
  <c r="W7" i="5"/>
  <c r="V113" i="5"/>
  <c r="Y31" i="5"/>
  <c r="U45" i="6"/>
  <c r="Q15" i="5"/>
  <c r="Q16" i="5"/>
  <c r="Z45" i="5"/>
  <c r="AA45" i="5" s="1"/>
  <c r="AA26" i="5"/>
  <c r="AC26" i="5" s="1"/>
  <c r="Z30" i="5"/>
  <c r="V33" i="5"/>
  <c r="Q21" i="8"/>
  <c r="Q32" i="8" s="1"/>
  <c r="Z102" i="5"/>
  <c r="X130" i="5"/>
  <c r="X129" i="5" s="1"/>
  <c r="X67" i="5"/>
  <c r="X66" i="5" s="1"/>
  <c r="X7" i="5"/>
  <c r="V92" i="8"/>
  <c r="Z46" i="5"/>
  <c r="AA46" i="5" s="1"/>
  <c r="AC23" i="5"/>
  <c r="Y9" i="9"/>
  <c r="X31" i="5"/>
  <c r="U26" i="6"/>
  <c r="U30" i="6"/>
  <c r="U34" i="6"/>
  <c r="U25" i="6"/>
  <c r="U29" i="6"/>
  <c r="V19" i="6"/>
  <c r="U33" i="6"/>
  <c r="U24" i="6"/>
  <c r="U27" i="6"/>
  <c r="U31" i="6"/>
  <c r="U28" i="6"/>
  <c r="U32" i="6"/>
  <c r="U4" i="6"/>
  <c r="U50" i="6"/>
  <c r="V130" i="5"/>
  <c r="V129" i="5" s="1"/>
  <c r="V67" i="5"/>
  <c r="V66" i="5" s="1"/>
  <c r="V7" i="5"/>
  <c r="Y91" i="8"/>
  <c r="Y96" i="8"/>
  <c r="Y32" i="5"/>
  <c r="Z32" i="5" s="1"/>
  <c r="Y130" i="5"/>
  <c r="Y129" i="5" s="1"/>
  <c r="Y67" i="5"/>
  <c r="Y66" i="5" s="1"/>
  <c r="Y7" i="5"/>
  <c r="Z5" i="6"/>
  <c r="T14" i="6"/>
  <c r="T16" i="6" s="1"/>
  <c r="T20" i="6"/>
  <c r="T36" i="6"/>
  <c r="T35" i="6" s="1"/>
  <c r="T6" i="6"/>
  <c r="T7" i="6" s="1"/>
  <c r="P38" i="8"/>
  <c r="P48" i="8" s="1"/>
  <c r="P40" i="8"/>
  <c r="P42" i="8"/>
  <c r="P46" i="8"/>
  <c r="P37" i="8"/>
  <c r="P47" i="8"/>
  <c r="P44" i="8"/>
  <c r="P45" i="8"/>
  <c r="P43" i="8"/>
  <c r="P39" i="8"/>
  <c r="P41" i="8"/>
  <c r="P17" i="5"/>
  <c r="S17" i="9"/>
  <c r="S4" i="9"/>
  <c r="S33" i="9" s="1"/>
  <c r="S7" i="9"/>
  <c r="T16" i="9"/>
  <c r="Y24" i="5"/>
  <c r="AA24" i="5" s="1"/>
  <c r="V34" i="5"/>
  <c r="Z24" i="5"/>
  <c r="S80" i="8"/>
  <c r="S78" i="8"/>
  <c r="S76" i="8"/>
  <c r="S74" i="8"/>
  <c r="S72" i="8"/>
  <c r="S70" i="8"/>
  <c r="S75" i="8"/>
  <c r="S79" i="8"/>
  <c r="S69" i="8"/>
  <c r="S77" i="8"/>
  <c r="S73" i="8"/>
  <c r="S71" i="8"/>
  <c r="U59" i="5"/>
  <c r="U63" i="5"/>
  <c r="U61" i="5"/>
  <c r="U58" i="5"/>
  <c r="U55" i="5"/>
  <c r="U66" i="5" s="1"/>
  <c r="U57" i="5"/>
  <c r="U64" i="5"/>
  <c r="U56" i="5"/>
  <c r="U65" i="5"/>
  <c r="U60" i="5"/>
  <c r="U62" i="5"/>
  <c r="S55" i="8"/>
  <c r="S62" i="8"/>
  <c r="S57" i="8"/>
  <c r="S60" i="8"/>
  <c r="S54" i="8"/>
  <c r="S53" i="8"/>
  <c r="S64" i="8" s="1"/>
  <c r="S63" i="8"/>
  <c r="S59" i="8"/>
  <c r="S56" i="8"/>
  <c r="S58" i="8"/>
  <c r="S61" i="8"/>
  <c r="Q48" i="9"/>
  <c r="Z91" i="8"/>
  <c r="X47" i="5"/>
  <c r="S33" i="8"/>
  <c r="T81" i="8"/>
  <c r="T11" i="8"/>
  <c r="T14" i="8"/>
  <c r="T6" i="8"/>
  <c r="T15" i="8"/>
  <c r="T17" i="7"/>
  <c r="Z130" i="5"/>
  <c r="Z129" i="5" s="1"/>
  <c r="Z67" i="5"/>
  <c r="Z66" i="5" s="1"/>
  <c r="AF35" i="5"/>
  <c r="AG4" i="5"/>
  <c r="AH4" i="5" s="1"/>
  <c r="AC49" i="9"/>
  <c r="AD5" i="9"/>
  <c r="X90" i="8"/>
  <c r="Y90" i="8"/>
  <c r="W10" i="8"/>
  <c r="Q49" i="8"/>
  <c r="Q8" i="8"/>
  <c r="R7" i="8"/>
  <c r="AA102" i="5"/>
  <c r="AA105" i="5"/>
  <c r="AA103" i="5"/>
  <c r="AA111" i="5"/>
  <c r="AA110" i="5"/>
  <c r="AA112" i="5"/>
  <c r="AA107" i="5"/>
  <c r="AA108" i="5"/>
  <c r="AA104" i="5"/>
  <c r="AA109" i="5"/>
  <c r="AB26" i="5"/>
  <c r="AA8" i="5"/>
  <c r="R81" i="9"/>
  <c r="R14" i="9"/>
  <c r="R14" i="5"/>
  <c r="R13" i="9"/>
  <c r="R10" i="9"/>
  <c r="Y93" i="8"/>
  <c r="U125" i="5"/>
  <c r="U126" i="5"/>
  <c r="U124" i="5"/>
  <c r="U123" i="5"/>
  <c r="U127" i="5"/>
  <c r="U122" i="5"/>
  <c r="U120" i="5"/>
  <c r="U119" i="5"/>
  <c r="U121" i="5"/>
  <c r="U128" i="5"/>
  <c r="U118" i="5"/>
  <c r="U129" i="5" s="1"/>
  <c r="Y44" i="5"/>
  <c r="AA86" i="8" l="1"/>
  <c r="AB86" i="8"/>
  <c r="AE85" i="8"/>
  <c r="AH35" i="5"/>
  <c r="AI4" i="5"/>
  <c r="AK4" i="5" s="1"/>
  <c r="AE27" i="5"/>
  <c r="AF27" i="5" s="1"/>
  <c r="Z88" i="8"/>
  <c r="AA88" i="8"/>
  <c r="AB88" i="8"/>
  <c r="Y10" i="8"/>
  <c r="AC27" i="5"/>
  <c r="AD27" i="5"/>
  <c r="AE28" i="5"/>
  <c r="AF28" i="5" s="1"/>
  <c r="W65" i="8"/>
  <c r="AC114" i="5"/>
  <c r="AC51" i="5"/>
  <c r="AC6" i="5"/>
  <c r="AC9" i="5" s="1"/>
  <c r="AD5" i="5"/>
  <c r="X10" i="8"/>
  <c r="T7" i="9"/>
  <c r="T17" i="9"/>
  <c r="U16" i="9"/>
  <c r="T4" i="9"/>
  <c r="T33" i="9" s="1"/>
  <c r="AF5" i="9"/>
  <c r="U14" i="6"/>
  <c r="U16" i="6" s="1"/>
  <c r="U20" i="6"/>
  <c r="U36" i="6"/>
  <c r="U35" i="6" s="1"/>
  <c r="U6" i="6"/>
  <c r="U7" i="6" s="1"/>
  <c r="AD26" i="5"/>
  <c r="AE26" i="5" s="1"/>
  <c r="S92" i="9"/>
  <c r="S78" i="9"/>
  <c r="S54" i="9"/>
  <c r="S37" i="9"/>
  <c r="S30" i="9"/>
  <c r="S95" i="9"/>
  <c r="S70" i="9"/>
  <c r="S56" i="9"/>
  <c r="S39" i="9"/>
  <c r="S22" i="9"/>
  <c r="S87" i="9"/>
  <c r="S73" i="9"/>
  <c r="S58" i="9"/>
  <c r="S41" i="9"/>
  <c r="S25" i="9"/>
  <c r="S91" i="9"/>
  <c r="S77" i="9"/>
  <c r="S79" i="9"/>
  <c r="S59" i="9"/>
  <c r="S55" i="9"/>
  <c r="S45" i="9"/>
  <c r="S27" i="9"/>
  <c r="S89" i="9"/>
  <c r="S69" i="9"/>
  <c r="S60" i="9"/>
  <c r="S21" i="9"/>
  <c r="S97" i="9"/>
  <c r="S11" i="9" s="1"/>
  <c r="T3" i="9" s="1"/>
  <c r="T6" i="9" s="1"/>
  <c r="S31" i="9"/>
  <c r="S88" i="9"/>
  <c r="S53" i="9"/>
  <c r="S64" i="9" s="1"/>
  <c r="S75" i="9"/>
  <c r="S74" i="9"/>
  <c r="S90" i="9"/>
  <c r="S72" i="9"/>
  <c r="S23" i="9"/>
  <c r="S86" i="9"/>
  <c r="S63" i="9"/>
  <c r="S43" i="9"/>
  <c r="S38" i="9"/>
  <c r="S62" i="9"/>
  <c r="S47" i="9"/>
  <c r="S76" i="9"/>
  <c r="S26" i="9"/>
  <c r="S46" i="9"/>
  <c r="S94" i="9"/>
  <c r="S44" i="9"/>
  <c r="S29" i="9"/>
  <c r="S61" i="9"/>
  <c r="S40" i="9"/>
  <c r="S57" i="9"/>
  <c r="S71" i="9"/>
  <c r="S28" i="9"/>
  <c r="S32" i="9" s="1"/>
  <c r="S24" i="9"/>
  <c r="S42" i="9"/>
  <c r="S93" i="9"/>
  <c r="S96" i="9"/>
  <c r="U79" i="5"/>
  <c r="U78" i="5"/>
  <c r="U73" i="5"/>
  <c r="U80" i="5"/>
  <c r="U81" i="5"/>
  <c r="U71" i="5"/>
  <c r="U74" i="5"/>
  <c r="U77" i="5"/>
  <c r="U82" i="5"/>
  <c r="U72" i="5"/>
  <c r="U76" i="5"/>
  <c r="U75" i="5"/>
  <c r="Z44" i="5"/>
  <c r="AA130" i="5"/>
  <c r="AA129" i="5" s="1"/>
  <c r="AA67" i="5"/>
  <c r="AA66" i="5" s="1"/>
  <c r="W92" i="8"/>
  <c r="S30" i="8"/>
  <c r="S24" i="8"/>
  <c r="S21" i="8"/>
  <c r="S29" i="8"/>
  <c r="S23" i="8"/>
  <c r="S22" i="8"/>
  <c r="S25" i="8"/>
  <c r="S26" i="8"/>
  <c r="S27" i="8"/>
  <c r="S28" i="8"/>
  <c r="S32" i="8" s="1"/>
  <c r="S31" i="8"/>
  <c r="AB24" i="5"/>
  <c r="Z47" i="5"/>
  <c r="X12" i="8"/>
  <c r="Y5" i="8" s="1"/>
  <c r="Z52" i="6"/>
  <c r="Z12" i="6"/>
  <c r="AC88" i="8"/>
  <c r="R21" i="8"/>
  <c r="R32" i="8" s="1"/>
  <c r="AA7" i="5"/>
  <c r="AB46" i="5"/>
  <c r="AB48" i="5"/>
  <c r="AB39" i="5"/>
  <c r="AB41" i="5"/>
  <c r="AB45" i="5"/>
  <c r="AB42" i="5"/>
  <c r="AB49" i="5"/>
  <c r="AB40" i="5"/>
  <c r="AB43" i="5"/>
  <c r="AB110" i="5"/>
  <c r="AB102" i="5"/>
  <c r="AB105" i="5"/>
  <c r="AB108" i="5"/>
  <c r="AB103" i="5"/>
  <c r="AB111" i="5"/>
  <c r="AB104" i="5"/>
  <c r="AB109" i="5"/>
  <c r="AB107" i="5"/>
  <c r="AB112" i="5"/>
  <c r="X50" i="5"/>
  <c r="AJ4" i="5"/>
  <c r="Z31" i="5"/>
  <c r="Y83" i="5"/>
  <c r="Z96" i="8"/>
  <c r="Z9" i="9"/>
  <c r="T78" i="8"/>
  <c r="T69" i="8"/>
  <c r="T79" i="8"/>
  <c r="T74" i="8"/>
  <c r="T70" i="8"/>
  <c r="T80" i="8" s="1"/>
  <c r="T77" i="8"/>
  <c r="T75" i="8"/>
  <c r="T76" i="8"/>
  <c r="T73" i="8"/>
  <c r="T72" i="8"/>
  <c r="T71" i="8"/>
  <c r="Y47" i="6"/>
  <c r="Y42" i="6"/>
  <c r="Y48" i="6"/>
  <c r="V83" i="5"/>
  <c r="T12" i="9"/>
  <c r="T68" i="6"/>
  <c r="T9" i="6"/>
  <c r="T15" i="6"/>
  <c r="X83" i="5"/>
  <c r="AE95" i="8"/>
  <c r="AF95" i="8" s="1"/>
  <c r="AC86" i="8"/>
  <c r="AD49" i="9"/>
  <c r="S81" i="9"/>
  <c r="S14" i="9"/>
  <c r="S14" i="5"/>
  <c r="S10" i="9"/>
  <c r="S13" i="9"/>
  <c r="W33" i="5"/>
  <c r="Z90" i="8"/>
  <c r="AA90" i="8" s="1"/>
  <c r="T51" i="6"/>
  <c r="U40" i="6"/>
  <c r="Y47" i="5"/>
  <c r="Z78" i="5"/>
  <c r="Z77" i="5"/>
  <c r="Z72" i="5"/>
  <c r="Z71" i="5"/>
  <c r="Z74" i="5"/>
  <c r="Z73" i="5"/>
  <c r="Z75" i="5"/>
  <c r="Z80" i="5"/>
  <c r="Z76" i="5"/>
  <c r="Z79" i="5"/>
  <c r="R48" i="9"/>
  <c r="W113" i="5"/>
  <c r="T62" i="8"/>
  <c r="T57" i="8"/>
  <c r="T60" i="8"/>
  <c r="U60" i="8" s="1"/>
  <c r="T55" i="8"/>
  <c r="T53" i="8"/>
  <c r="U53" i="8" s="1"/>
  <c r="T63" i="8"/>
  <c r="T61" i="8"/>
  <c r="U61" i="8" s="1"/>
  <c r="T58" i="8"/>
  <c r="U58" i="8" s="1"/>
  <c r="T54" i="8"/>
  <c r="U54" i="8" s="1"/>
  <c r="T56" i="8"/>
  <c r="U56" i="8" s="1"/>
  <c r="T59" i="8"/>
  <c r="U59" i="8" s="1"/>
  <c r="V9" i="8"/>
  <c r="W17" i="8"/>
  <c r="V16" i="8"/>
  <c r="AB8" i="5"/>
  <c r="AE5" i="9"/>
  <c r="R80" i="9"/>
  <c r="Q17" i="5"/>
  <c r="AD86" i="8"/>
  <c r="R49" i="8"/>
  <c r="R8" i="8"/>
  <c r="S7" i="8"/>
  <c r="U57" i="8"/>
  <c r="U55" i="8"/>
  <c r="U63" i="8"/>
  <c r="U62" i="8"/>
  <c r="AA91" i="8"/>
  <c r="AB91" i="8" s="1"/>
  <c r="W43" i="6"/>
  <c r="X43" i="6" s="1"/>
  <c r="Y43" i="6" s="1"/>
  <c r="W48" i="6"/>
  <c r="W47" i="6"/>
  <c r="W42" i="6"/>
  <c r="W45" i="6"/>
  <c r="Y45" i="6" s="1"/>
  <c r="W44" i="6"/>
  <c r="Y44" i="6" s="1"/>
  <c r="W46" i="6"/>
  <c r="Y46" i="6" s="1"/>
  <c r="W50" i="6"/>
  <c r="W41" i="6"/>
  <c r="X41" i="6" s="1"/>
  <c r="Y41" i="6" s="1"/>
  <c r="W49" i="6"/>
  <c r="Y49" i="6" s="1"/>
  <c r="AB94" i="8"/>
  <c r="AC94" i="8" s="1"/>
  <c r="AD23" i="5"/>
  <c r="AE23" i="5" s="1"/>
  <c r="AA30" i="5"/>
  <c r="AB30" i="5" s="1"/>
  <c r="Q38" i="8"/>
  <c r="Q40" i="8"/>
  <c r="Q47" i="8"/>
  <c r="Q46" i="8"/>
  <c r="Q37" i="8"/>
  <c r="Q44" i="8"/>
  <c r="Q45" i="8"/>
  <c r="Q43" i="8"/>
  <c r="Q42" i="8"/>
  <c r="Q39" i="8"/>
  <c r="Q48" i="8" s="1"/>
  <c r="Q41" i="8"/>
  <c r="X106" i="5"/>
  <c r="S59" i="6"/>
  <c r="S64" i="6"/>
  <c r="S58" i="6"/>
  <c r="S63" i="6"/>
  <c r="S65" i="6"/>
  <c r="S66" i="6"/>
  <c r="S61" i="6"/>
  <c r="S60" i="6"/>
  <c r="S62" i="6"/>
  <c r="S56" i="6"/>
  <c r="S67" i="6" s="1"/>
  <c r="S57" i="6"/>
  <c r="R64" i="9"/>
  <c r="AB5" i="6"/>
  <c r="R15" i="5"/>
  <c r="R16" i="5"/>
  <c r="Y65" i="9"/>
  <c r="AA9" i="9"/>
  <c r="AB9" i="9" s="1"/>
  <c r="AG35" i="5"/>
  <c r="R77" i="6"/>
  <c r="R78" i="6" s="1"/>
  <c r="R79" i="6" s="1"/>
  <c r="R80" i="6" s="1"/>
  <c r="R81" i="6" s="1"/>
  <c r="R82" i="6" s="1"/>
  <c r="R83" i="6" s="1"/>
  <c r="R84" i="6" s="1"/>
  <c r="AD85" i="8"/>
  <c r="AA32" i="5"/>
  <c r="V34" i="6"/>
  <c r="V25" i="6"/>
  <c r="V29" i="6"/>
  <c r="W19" i="6"/>
  <c r="V30" i="6"/>
  <c r="V24" i="6"/>
  <c r="V27" i="6"/>
  <c r="V28" i="6"/>
  <c r="V33" i="6"/>
  <c r="V32" i="6"/>
  <c r="V26" i="6"/>
  <c r="V31" i="6"/>
  <c r="V4" i="6"/>
  <c r="V65" i="8"/>
  <c r="AA89" i="8"/>
  <c r="U81" i="8"/>
  <c r="U6" i="8"/>
  <c r="U14" i="8"/>
  <c r="U11" i="8"/>
  <c r="U17" i="7"/>
  <c r="U15" i="8"/>
  <c r="AF25" i="5"/>
  <c r="AF29" i="5"/>
  <c r="Y12" i="8"/>
  <c r="Z5" i="8" s="1"/>
  <c r="AB89" i="8"/>
  <c r="T33" i="8"/>
  <c r="Z93" i="8"/>
  <c r="W83" i="5"/>
  <c r="W12" i="8"/>
  <c r="X5" i="8" s="1"/>
  <c r="X48" i="6"/>
  <c r="X47" i="6"/>
  <c r="X42" i="6"/>
  <c r="X45" i="6"/>
  <c r="X44" i="6"/>
  <c r="X46" i="6"/>
  <c r="X49" i="6"/>
  <c r="S12" i="9"/>
  <c r="AA5" i="6"/>
  <c r="U64" i="8" l="1"/>
  <c r="AK35" i="5"/>
  <c r="AB90" i="8"/>
  <c r="AC91" i="8"/>
  <c r="AB65" i="9"/>
  <c r="AF23" i="5"/>
  <c r="Z12" i="8"/>
  <c r="AA5" i="8" s="1"/>
  <c r="AA96" i="8"/>
  <c r="AH23" i="5"/>
  <c r="AH27" i="5"/>
  <c r="AH25" i="5"/>
  <c r="W30" i="6"/>
  <c r="W25" i="6"/>
  <c r="W29" i="6"/>
  <c r="W32" i="6"/>
  <c r="W31" i="6"/>
  <c r="W24" i="6"/>
  <c r="W27" i="6"/>
  <c r="X19" i="6"/>
  <c r="W34" i="6"/>
  <c r="W28" i="6"/>
  <c r="W26" i="6"/>
  <c r="W33" i="6"/>
  <c r="W4" i="6"/>
  <c r="Y33" i="5"/>
  <c r="W34" i="5"/>
  <c r="U12" i="9"/>
  <c r="U68" i="6"/>
  <c r="U9" i="6"/>
  <c r="U15" i="6"/>
  <c r="X33" i="5"/>
  <c r="V82" i="5"/>
  <c r="V80" i="5"/>
  <c r="V81" i="5"/>
  <c r="V73" i="5"/>
  <c r="V72" i="5"/>
  <c r="V75" i="5"/>
  <c r="V74" i="5"/>
  <c r="V71" i="5"/>
  <c r="V77" i="5"/>
  <c r="V79" i="5"/>
  <c r="V76" i="5"/>
  <c r="V78" i="5"/>
  <c r="AF26" i="5"/>
  <c r="AG26" i="5" s="1"/>
  <c r="AH26" i="5" s="1"/>
  <c r="V14" i="6"/>
  <c r="V16" i="6" s="1"/>
  <c r="V20" i="6"/>
  <c r="V36" i="6"/>
  <c r="V35" i="6" s="1"/>
  <c r="V6" i="6"/>
  <c r="V7" i="6" s="1"/>
  <c r="AA44" i="5"/>
  <c r="AA50" i="5" s="1"/>
  <c r="U51" i="6"/>
  <c r="V40" i="6"/>
  <c r="AA93" i="8"/>
  <c r="AB93" i="8" s="1"/>
  <c r="AF49" i="9"/>
  <c r="Z50" i="5"/>
  <c r="AE49" i="9"/>
  <c r="AG5" i="9"/>
  <c r="U7" i="9"/>
  <c r="U17" i="9"/>
  <c r="V16" i="9"/>
  <c r="U4" i="9"/>
  <c r="U33" i="9" s="1"/>
  <c r="V59" i="8"/>
  <c r="W59" i="8" s="1"/>
  <c r="V54" i="8"/>
  <c r="W54" i="8" s="1"/>
  <c r="V63" i="8"/>
  <c r="W63" i="8" s="1"/>
  <c r="V62" i="8"/>
  <c r="W62" i="8" s="1"/>
  <c r="V61" i="8"/>
  <c r="W61" i="8" s="1"/>
  <c r="V60" i="8"/>
  <c r="W60" i="8" s="1"/>
  <c r="V57" i="8"/>
  <c r="W57" i="8" s="1"/>
  <c r="V56" i="8"/>
  <c r="W56" i="8" s="1"/>
  <c r="V53" i="8"/>
  <c r="V64" i="8" s="1"/>
  <c r="V58" i="8"/>
  <c r="W58" i="8" s="1"/>
  <c r="V55" i="8"/>
  <c r="W55" i="8" s="1"/>
  <c r="X74" i="5"/>
  <c r="X78" i="5"/>
  <c r="X73" i="5"/>
  <c r="X81" i="5"/>
  <c r="X72" i="5"/>
  <c r="X71" i="5"/>
  <c r="X77" i="5"/>
  <c r="X79" i="5"/>
  <c r="X75" i="5"/>
  <c r="X80" i="5"/>
  <c r="X76" i="5"/>
  <c r="AC48" i="5"/>
  <c r="AC41" i="5"/>
  <c r="AC46" i="5"/>
  <c r="AC45" i="5"/>
  <c r="AC40" i="5"/>
  <c r="AC49" i="5"/>
  <c r="AC42" i="5"/>
  <c r="AC39" i="5"/>
  <c r="AC43" i="5"/>
  <c r="AJ35" i="5"/>
  <c r="S49" i="8"/>
  <c r="T7" i="8"/>
  <c r="S8" i="8"/>
  <c r="U7" i="8"/>
  <c r="R17" i="5"/>
  <c r="R40" i="8"/>
  <c r="R42" i="8"/>
  <c r="R47" i="8"/>
  <c r="R41" i="8"/>
  <c r="R46" i="8"/>
  <c r="R38" i="8"/>
  <c r="R37" i="8"/>
  <c r="R44" i="8"/>
  <c r="R45" i="8"/>
  <c r="R48" i="8"/>
  <c r="R43" i="8"/>
  <c r="R39" i="8"/>
  <c r="AB32" i="5"/>
  <c r="S15" i="5"/>
  <c r="S16" i="5"/>
  <c r="Y65" i="8"/>
  <c r="AA52" i="6"/>
  <c r="AA12" i="6"/>
  <c r="AD5" i="6"/>
  <c r="U33" i="8"/>
  <c r="U8" i="8"/>
  <c r="AB67" i="5"/>
  <c r="AB66" i="5" s="1"/>
  <c r="AB130" i="5"/>
  <c r="AB129" i="5" s="1"/>
  <c r="AC8" i="5"/>
  <c r="S80" i="9"/>
  <c r="AG95" i="8"/>
  <c r="AH95" i="8" s="1"/>
  <c r="Y73" i="5"/>
  <c r="Y81" i="5"/>
  <c r="Y72" i="5"/>
  <c r="Y71" i="5"/>
  <c r="Y74" i="5"/>
  <c r="Y79" i="5"/>
  <c r="Y77" i="5"/>
  <c r="Y75" i="5"/>
  <c r="Y78" i="5"/>
  <c r="Y80" i="5"/>
  <c r="Y76" i="5"/>
  <c r="X113" i="5"/>
  <c r="Y106" i="5"/>
  <c r="AC24" i="5"/>
  <c r="T64" i="8"/>
  <c r="AB96" i="8"/>
  <c r="T61" i="6"/>
  <c r="T63" i="6"/>
  <c r="T64" i="6"/>
  <c r="T58" i="6"/>
  <c r="T62" i="6"/>
  <c r="T65" i="6"/>
  <c r="T66" i="6"/>
  <c r="T60" i="6"/>
  <c r="T59" i="6"/>
  <c r="T56" i="6"/>
  <c r="T67" i="6" s="1"/>
  <c r="T57" i="6"/>
  <c r="AA31" i="5"/>
  <c r="T24" i="8"/>
  <c r="T21" i="8"/>
  <c r="T32" i="8" s="1"/>
  <c r="T30" i="8"/>
  <c r="T29" i="8"/>
  <c r="T22" i="8"/>
  <c r="T25" i="8"/>
  <c r="T26" i="8"/>
  <c r="T23" i="8"/>
  <c r="T27" i="8"/>
  <c r="T28" i="8"/>
  <c r="T31" i="8"/>
  <c r="AC32" i="5"/>
  <c r="U72" i="8"/>
  <c r="U79" i="8"/>
  <c r="U74" i="8"/>
  <c r="U70" i="8"/>
  <c r="U69" i="8"/>
  <c r="U78" i="8"/>
  <c r="U73" i="8"/>
  <c r="U75" i="8"/>
  <c r="U76" i="8"/>
  <c r="U77" i="8"/>
  <c r="U71" i="8"/>
  <c r="U80" i="8" s="1"/>
  <c r="AG85" i="8"/>
  <c r="AB7" i="5"/>
  <c r="T81" i="9"/>
  <c r="T80" i="9" s="1"/>
  <c r="T14" i="9"/>
  <c r="T14" i="5"/>
  <c r="T10" i="9"/>
  <c r="T13" i="9"/>
  <c r="Z41" i="6"/>
  <c r="Z47" i="6"/>
  <c r="Z42" i="6"/>
  <c r="Z46" i="6"/>
  <c r="Z43" i="6"/>
  <c r="Z45" i="6"/>
  <c r="Z44" i="6"/>
  <c r="Z48" i="6"/>
  <c r="Z49" i="6"/>
  <c r="X92" i="8"/>
  <c r="X65" i="8"/>
  <c r="Z10" i="8"/>
  <c r="AA10" i="8" s="1"/>
  <c r="AD88" i="8"/>
  <c r="AA65" i="9"/>
  <c r="AC105" i="5"/>
  <c r="AC108" i="5"/>
  <c r="AC103" i="5"/>
  <c r="AC111" i="5"/>
  <c r="AC110" i="5"/>
  <c r="AC104" i="5"/>
  <c r="AC107" i="5"/>
  <c r="AC109" i="5"/>
  <c r="AC102" i="5"/>
  <c r="AC112" i="5"/>
  <c r="AA47" i="5"/>
  <c r="Y50" i="5"/>
  <c r="S48" i="9"/>
  <c r="AC9" i="9"/>
  <c r="AD9" i="9" s="1"/>
  <c r="W82" i="5"/>
  <c r="W73" i="5"/>
  <c r="W80" i="5"/>
  <c r="W81" i="5"/>
  <c r="W72" i="5"/>
  <c r="W71" i="5"/>
  <c r="W76" i="5"/>
  <c r="W77" i="5"/>
  <c r="W79" i="5"/>
  <c r="W78" i="5"/>
  <c r="W74" i="5"/>
  <c r="W75" i="5"/>
  <c r="T95" i="9"/>
  <c r="T70" i="9"/>
  <c r="T56" i="9"/>
  <c r="T39" i="9"/>
  <c r="T87" i="9"/>
  <c r="T73" i="9"/>
  <c r="T58" i="9"/>
  <c r="T41" i="9"/>
  <c r="T25" i="9"/>
  <c r="T90" i="9"/>
  <c r="T76" i="9"/>
  <c r="T60" i="9"/>
  <c r="T43" i="9"/>
  <c r="T28" i="9"/>
  <c r="T96" i="9"/>
  <c r="T71" i="9"/>
  <c r="T53" i="9"/>
  <c r="T47" i="9"/>
  <c r="T78" i="9"/>
  <c r="T54" i="9"/>
  <c r="T77" i="9"/>
  <c r="T94" i="9"/>
  <c r="T37" i="9"/>
  <c r="T55" i="9"/>
  <c r="T45" i="9"/>
  <c r="T27" i="9"/>
  <c r="T89" i="9"/>
  <c r="T69" i="9"/>
  <c r="T21" i="9"/>
  <c r="T32" i="9" s="1"/>
  <c r="T88" i="9"/>
  <c r="T86" i="9"/>
  <c r="T26" i="9"/>
  <c r="T61" i="9"/>
  <c r="T97" i="9"/>
  <c r="T11" i="9" s="1"/>
  <c r="U3" i="9" s="1"/>
  <c r="T75" i="9"/>
  <c r="T74" i="9"/>
  <c r="T59" i="9"/>
  <c r="T72" i="9"/>
  <c r="T23" i="9"/>
  <c r="T79" i="9"/>
  <c r="T44" i="9"/>
  <c r="T63" i="9"/>
  <c r="T91" i="9"/>
  <c r="T46" i="9"/>
  <c r="T62" i="9"/>
  <c r="T42" i="9"/>
  <c r="T31" i="9"/>
  <c r="T30" i="9"/>
  <c r="T29" i="9"/>
  <c r="T40" i="9"/>
  <c r="T24" i="9"/>
  <c r="T92" i="9"/>
  <c r="T57" i="9"/>
  <c r="T38" i="9"/>
  <c r="T22" i="9"/>
  <c r="T93" i="9"/>
  <c r="X50" i="6"/>
  <c r="Y50" i="6" s="1"/>
  <c r="Z50" i="6" s="1"/>
  <c r="AF85" i="8"/>
  <c r="S73" i="6"/>
  <c r="S74" i="6" s="1"/>
  <c r="S75" i="6" s="1"/>
  <c r="S76" i="6" s="1"/>
  <c r="S77" i="6" s="1"/>
  <c r="S78" i="6" s="1"/>
  <c r="S79" i="6" s="1"/>
  <c r="S80" i="6" s="1"/>
  <c r="S81" i="6" s="1"/>
  <c r="S82" i="6" s="1"/>
  <c r="S83" i="6" s="1"/>
  <c r="S84" i="6" s="1"/>
  <c r="T73" i="6" s="1"/>
  <c r="T74" i="6" s="1"/>
  <c r="T75" i="6" s="1"/>
  <c r="T76" i="6" s="1"/>
  <c r="T77" i="6" s="1"/>
  <c r="V6" i="8"/>
  <c r="V81" i="8"/>
  <c r="V14" i="8"/>
  <c r="V11" i="8"/>
  <c r="V15" i="8"/>
  <c r="V17" i="7"/>
  <c r="AC30" i="5"/>
  <c r="AC89" i="8"/>
  <c r="AD89" i="8" s="1"/>
  <c r="AF86" i="8"/>
  <c r="AH86" i="8" s="1"/>
  <c r="AD114" i="5"/>
  <c r="AD51" i="5"/>
  <c r="AD6" i="5"/>
  <c r="AD9" i="5" s="1"/>
  <c r="AG23" i="5"/>
  <c r="AG27" i="5"/>
  <c r="AG25" i="5"/>
  <c r="AG29" i="5"/>
  <c r="AH29" i="5" s="1"/>
  <c r="AG28" i="5"/>
  <c r="AH28" i="5" s="1"/>
  <c r="AI35" i="5"/>
  <c r="AB52" i="6"/>
  <c r="AB12" i="6"/>
  <c r="AC5" i="6"/>
  <c r="AA83" i="5"/>
  <c r="W9" i="8"/>
  <c r="X17" i="8"/>
  <c r="W16" i="8"/>
  <c r="AD94" i="8"/>
  <c r="AF94" i="8" s="1"/>
  <c r="AE94" i="8"/>
  <c r="AB31" i="5"/>
  <c r="Z65" i="9"/>
  <c r="AE5" i="5"/>
  <c r="AE86" i="8"/>
  <c r="AG86" i="8" s="1"/>
  <c r="AA65" i="8" l="1"/>
  <c r="AF88" i="8"/>
  <c r="AD65" i="9"/>
  <c r="AE9" i="9"/>
  <c r="AF9" i="9"/>
  <c r="AG91" i="8"/>
  <c r="AH91" i="8" s="1"/>
  <c r="Z82" i="5"/>
  <c r="AD33" i="5"/>
  <c r="Y34" i="5"/>
  <c r="AD91" i="8"/>
  <c r="AE91" i="8" s="1"/>
  <c r="AG94" i="8"/>
  <c r="AH94" i="8" s="1"/>
  <c r="AC93" i="8"/>
  <c r="AD52" i="6"/>
  <c r="AD12" i="6"/>
  <c r="AA50" i="6"/>
  <c r="AA41" i="6"/>
  <c r="AB41" i="6" s="1"/>
  <c r="AA44" i="6"/>
  <c r="AB44" i="6" s="1"/>
  <c r="AA47" i="6"/>
  <c r="AB47" i="6" s="1"/>
  <c r="AA46" i="6"/>
  <c r="AB46" i="6" s="1"/>
  <c r="AA43" i="6"/>
  <c r="AB43" i="6" s="1"/>
  <c r="AA45" i="6"/>
  <c r="AB45" i="6" s="1"/>
  <c r="AA48" i="6"/>
  <c r="AB48" i="6" s="1"/>
  <c r="AA42" i="6"/>
  <c r="AB42" i="6" s="1"/>
  <c r="AA49" i="6"/>
  <c r="AB49" i="6" s="1"/>
  <c r="U49" i="8"/>
  <c r="W53" i="8"/>
  <c r="W64" i="8" s="1"/>
  <c r="AA12" i="8"/>
  <c r="AB5" i="8" s="1"/>
  <c r="AD24" i="5"/>
  <c r="Y17" i="8"/>
  <c r="X16" i="8"/>
  <c r="X9" i="8"/>
  <c r="AH85" i="8"/>
  <c r="T64" i="9"/>
  <c r="X34" i="6"/>
  <c r="X25" i="6"/>
  <c r="X29" i="6"/>
  <c r="X33" i="6"/>
  <c r="Y19" i="6"/>
  <c r="X30" i="6"/>
  <c r="X32" i="6"/>
  <c r="X31" i="6"/>
  <c r="X27" i="6"/>
  <c r="X26" i="6"/>
  <c r="X28" i="6"/>
  <c r="X4" i="6"/>
  <c r="X24" i="6"/>
  <c r="AB12" i="8"/>
  <c r="AC5" i="8" s="1"/>
  <c r="AF89" i="8"/>
  <c r="AD93" i="8"/>
  <c r="AE93" i="8" s="1"/>
  <c r="AF93" i="8" s="1"/>
  <c r="U95" i="9"/>
  <c r="U70" i="9"/>
  <c r="U56" i="9"/>
  <c r="U39" i="9"/>
  <c r="U22" i="9"/>
  <c r="U87" i="9"/>
  <c r="U73" i="9"/>
  <c r="U58" i="9"/>
  <c r="U41" i="9"/>
  <c r="U25" i="9"/>
  <c r="U90" i="9"/>
  <c r="U76" i="9"/>
  <c r="U60" i="9"/>
  <c r="U43" i="9"/>
  <c r="U28" i="9"/>
  <c r="U78" i="9"/>
  <c r="U54" i="9"/>
  <c r="U77" i="9"/>
  <c r="U94" i="9"/>
  <c r="U37" i="9"/>
  <c r="U69" i="9"/>
  <c r="U62" i="9"/>
  <c r="U47" i="9"/>
  <c r="U31" i="9"/>
  <c r="U89" i="9"/>
  <c r="U21" i="9"/>
  <c r="U32" i="9" s="1"/>
  <c r="U88" i="9"/>
  <c r="U86" i="9"/>
  <c r="U26" i="9"/>
  <c r="U97" i="9"/>
  <c r="U11" i="9" s="1"/>
  <c r="V3" i="9" s="1"/>
  <c r="V6" i="9" s="1"/>
  <c r="U96" i="9"/>
  <c r="U46" i="9"/>
  <c r="U72" i="9"/>
  <c r="U27" i="9"/>
  <c r="U23" i="9"/>
  <c r="U79" i="9"/>
  <c r="U44" i="9"/>
  <c r="U92" i="9"/>
  <c r="U91" i="9"/>
  <c r="U71" i="9"/>
  <c r="U63" i="9"/>
  <c r="U24" i="9"/>
  <c r="U93" i="9"/>
  <c r="U42" i="9"/>
  <c r="U57" i="9"/>
  <c r="U55" i="9"/>
  <c r="U30" i="9"/>
  <c r="U29" i="9"/>
  <c r="U53" i="9"/>
  <c r="U61" i="9"/>
  <c r="U40" i="9"/>
  <c r="U59" i="9"/>
  <c r="U38" i="9"/>
  <c r="U45" i="9"/>
  <c r="U75" i="9"/>
  <c r="U74" i="9"/>
  <c r="AB47" i="5"/>
  <c r="AC47" i="5" s="1"/>
  <c r="AD47" i="5" s="1"/>
  <c r="AA81" i="5"/>
  <c r="AA72" i="5"/>
  <c r="AA71" i="5"/>
  <c r="AA74" i="5"/>
  <c r="AA73" i="5"/>
  <c r="AA75" i="5"/>
  <c r="AA76" i="5"/>
  <c r="AA79" i="5"/>
  <c r="AA77" i="5"/>
  <c r="AA78" i="5"/>
  <c r="AA80" i="5"/>
  <c r="V17" i="9"/>
  <c r="W16" i="9"/>
  <c r="V4" i="9"/>
  <c r="V33" i="9" s="1"/>
  <c r="V7" i="9"/>
  <c r="AI28" i="5"/>
  <c r="AJ28" i="5" s="1"/>
  <c r="AI23" i="5"/>
  <c r="AI27" i="5"/>
  <c r="AJ27" i="5" s="1"/>
  <c r="AI26" i="5"/>
  <c r="AJ26" i="5" s="1"/>
  <c r="AI25" i="5"/>
  <c r="AI29" i="5"/>
  <c r="Y92" i="8"/>
  <c r="AA33" i="5"/>
  <c r="AA34" i="5" s="1"/>
  <c r="Y61" i="8"/>
  <c r="Y60" i="8"/>
  <c r="Y53" i="8"/>
  <c r="Y56" i="8"/>
  <c r="Y54" i="8"/>
  <c r="Y57" i="8"/>
  <c r="Y55" i="8"/>
  <c r="Y62" i="8"/>
  <c r="Y63" i="8"/>
  <c r="Z33" i="5"/>
  <c r="U6" i="9"/>
  <c r="AE88" i="8"/>
  <c r="AF91" i="8"/>
  <c r="AD30" i="5"/>
  <c r="AE30" i="5"/>
  <c r="AF30" i="5" s="1"/>
  <c r="T48" i="9"/>
  <c r="AC44" i="5"/>
  <c r="V78" i="8"/>
  <c r="V69" i="8"/>
  <c r="V79" i="8"/>
  <c r="V74" i="8"/>
  <c r="V70" i="8"/>
  <c r="V76" i="8"/>
  <c r="V75" i="8"/>
  <c r="V77" i="8"/>
  <c r="V73" i="8"/>
  <c r="V71" i="8"/>
  <c r="V80" i="8" s="1"/>
  <c r="V72" i="8"/>
  <c r="AC31" i="5"/>
  <c r="T49" i="8"/>
  <c r="T8" i="8"/>
  <c r="AG88" i="8"/>
  <c r="S17" i="5"/>
  <c r="AD7" i="5"/>
  <c r="U81" i="9"/>
  <c r="U14" i="9"/>
  <c r="U14" i="5"/>
  <c r="U10" i="9"/>
  <c r="U13" i="9"/>
  <c r="AF5" i="5"/>
  <c r="AC10" i="8"/>
  <c r="AD10" i="8" s="1"/>
  <c r="AD65" i="8" s="1"/>
  <c r="U61" i="6"/>
  <c r="U64" i="6"/>
  <c r="U58" i="6"/>
  <c r="U63" i="6"/>
  <c r="U62" i="6"/>
  <c r="U66" i="6"/>
  <c r="U60" i="6"/>
  <c r="U59" i="6"/>
  <c r="U65" i="6"/>
  <c r="U56" i="6"/>
  <c r="U67" i="6" s="1"/>
  <c r="U57" i="6"/>
  <c r="Y113" i="5"/>
  <c r="V33" i="8"/>
  <c r="W81" i="8"/>
  <c r="W6" i="8"/>
  <c r="W14" i="8"/>
  <c r="W11" i="8"/>
  <c r="W15" i="8"/>
  <c r="W17" i="7"/>
  <c r="AC52" i="6"/>
  <c r="AC12" i="6"/>
  <c r="AE5" i="6"/>
  <c r="AJ25" i="5"/>
  <c r="AK25" i="5" s="1"/>
  <c r="AJ29" i="5"/>
  <c r="AK29" i="5" s="1"/>
  <c r="Z106" i="5"/>
  <c r="AD32" i="5"/>
  <c r="AB50" i="6"/>
  <c r="AB83" i="5"/>
  <c r="V12" i="9"/>
  <c r="V68" i="6"/>
  <c r="V9" i="6"/>
  <c r="V15" i="6"/>
  <c r="X58" i="8"/>
  <c r="Y58" i="8" s="1"/>
  <c r="X59" i="8"/>
  <c r="X64" i="8" s="1"/>
  <c r="X62" i="8"/>
  <c r="X61" i="8"/>
  <c r="X60" i="8"/>
  <c r="X53" i="8"/>
  <c r="X56" i="8"/>
  <c r="X54" i="8"/>
  <c r="X57" i="8"/>
  <c r="X55" i="8"/>
  <c r="X63" i="8"/>
  <c r="U21" i="8"/>
  <c r="U30" i="8"/>
  <c r="U29" i="8"/>
  <c r="U26" i="8"/>
  <c r="U23" i="8"/>
  <c r="U22" i="8"/>
  <c r="U32" i="8" s="1"/>
  <c r="U25" i="8"/>
  <c r="U28" i="8"/>
  <c r="U31" i="8"/>
  <c r="U24" i="8"/>
  <c r="U27" i="8"/>
  <c r="W14" i="6"/>
  <c r="W16" i="6" s="1"/>
  <c r="W20" i="6"/>
  <c r="W36" i="6"/>
  <c r="W35" i="6" s="1"/>
  <c r="W6" i="6"/>
  <c r="W7" i="6" s="1"/>
  <c r="T78" i="6"/>
  <c r="T79" i="6" s="1"/>
  <c r="T80" i="6" s="1"/>
  <c r="T81" i="6" s="1"/>
  <c r="T82" i="6" s="1"/>
  <c r="T83" i="6" s="1"/>
  <c r="T84" i="6" s="1"/>
  <c r="X82" i="5"/>
  <c r="AE114" i="5"/>
  <c r="AE51" i="5"/>
  <c r="AE6" i="5"/>
  <c r="AE9" i="5" s="1"/>
  <c r="AE7" i="5" s="1"/>
  <c r="AC96" i="8"/>
  <c r="T15" i="5"/>
  <c r="T16" i="5"/>
  <c r="AH88" i="8"/>
  <c r="AC33" i="5"/>
  <c r="AC34" i="5" s="1"/>
  <c r="X34" i="5"/>
  <c r="Z81" i="5"/>
  <c r="AB44" i="5"/>
  <c r="Z65" i="8"/>
  <c r="AB10" i="8"/>
  <c r="AC130" i="5"/>
  <c r="AC129" i="5" s="1"/>
  <c r="AC67" i="5"/>
  <c r="AC66" i="5" s="1"/>
  <c r="AD8" i="5"/>
  <c r="AE8" i="5"/>
  <c r="AC7" i="5"/>
  <c r="AB33" i="5"/>
  <c r="AB34" i="5" s="1"/>
  <c r="V7" i="8"/>
  <c r="S40" i="8"/>
  <c r="S42" i="8"/>
  <c r="S46" i="8"/>
  <c r="S44" i="8"/>
  <c r="S47" i="8"/>
  <c r="S45" i="8"/>
  <c r="S41" i="8"/>
  <c r="S43" i="8"/>
  <c r="S38" i="8"/>
  <c r="S39" i="8"/>
  <c r="S37" i="8"/>
  <c r="S48" i="8" s="1"/>
  <c r="AE89" i="8"/>
  <c r="AD48" i="5"/>
  <c r="AD39" i="5"/>
  <c r="AD50" i="5" s="1"/>
  <c r="AD41" i="5"/>
  <c r="AD46" i="5"/>
  <c r="AD45" i="5"/>
  <c r="AD49" i="5"/>
  <c r="AD42" i="5"/>
  <c r="AD40" i="5"/>
  <c r="AD43" i="5"/>
  <c r="AD44" i="5"/>
  <c r="AC90" i="8"/>
  <c r="AD102" i="5"/>
  <c r="AD105" i="5"/>
  <c r="AD108" i="5"/>
  <c r="AD111" i="5"/>
  <c r="AD104" i="5"/>
  <c r="AD110" i="5"/>
  <c r="AD109" i="5"/>
  <c r="AD107" i="5"/>
  <c r="AD103" i="5"/>
  <c r="AD112" i="5"/>
  <c r="AC65" i="9"/>
  <c r="AG49" i="9"/>
  <c r="AH5" i="9"/>
  <c r="V51" i="6"/>
  <c r="W40" i="6"/>
  <c r="AD31" i="5"/>
  <c r="AE31" i="5" s="1"/>
  <c r="AG30" i="5" l="1"/>
  <c r="AH30" i="5" s="1"/>
  <c r="Y64" i="8"/>
  <c r="AA82" i="5"/>
  <c r="AA40" i="6"/>
  <c r="AA51" i="6" s="1"/>
  <c r="U42" i="8"/>
  <c r="U44" i="8"/>
  <c r="U38" i="8"/>
  <c r="U47" i="8"/>
  <c r="U45" i="8"/>
  <c r="U43" i="8"/>
  <c r="U39" i="8"/>
  <c r="U40" i="8"/>
  <c r="U46" i="8"/>
  <c r="Z113" i="5"/>
  <c r="AH49" i="9"/>
  <c r="AI5" i="9"/>
  <c r="AI49" i="9" s="1"/>
  <c r="AJ5" i="9"/>
  <c r="AJ49" i="9" s="1"/>
  <c r="V8" i="8"/>
  <c r="Y29" i="6"/>
  <c r="Y33" i="6"/>
  <c r="Y24" i="6"/>
  <c r="Z19" i="6"/>
  <c r="Y32" i="6"/>
  <c r="Y31" i="6"/>
  <c r="Y27" i="6"/>
  <c r="Y30" i="6"/>
  <c r="Y25" i="6"/>
  <c r="Y34" i="6"/>
  <c r="Y26" i="6"/>
  <c r="Y28" i="6"/>
  <c r="Y4" i="6"/>
  <c r="AC12" i="8"/>
  <c r="AD5" i="8" s="1"/>
  <c r="AB81" i="5"/>
  <c r="AB72" i="5"/>
  <c r="AB71" i="5"/>
  <c r="AB74" i="5"/>
  <c r="AB73" i="5"/>
  <c r="AB75" i="5"/>
  <c r="AB76" i="5"/>
  <c r="AB80" i="5"/>
  <c r="AB77" i="5"/>
  <c r="AB79" i="5"/>
  <c r="AB78" i="5"/>
  <c r="AC50" i="5"/>
  <c r="AD67" i="5"/>
  <c r="AD66" i="5" s="1"/>
  <c r="AD130" i="5"/>
  <c r="AD129" i="5" s="1"/>
  <c r="AA92" i="8"/>
  <c r="Y82" i="5"/>
  <c r="W7" i="8"/>
  <c r="AG89" i="8"/>
  <c r="AH89" i="8" s="1"/>
  <c r="AK27" i="5"/>
  <c r="Y16" i="8"/>
  <c r="Y9" i="8"/>
  <c r="Z17" i="8"/>
  <c r="AD50" i="6"/>
  <c r="AD48" i="6"/>
  <c r="AD43" i="6"/>
  <c r="AD45" i="6"/>
  <c r="AD47" i="6"/>
  <c r="AE67" i="5"/>
  <c r="AE66" i="5" s="1"/>
  <c r="AE130" i="5"/>
  <c r="AE129" i="5" s="1"/>
  <c r="W4" i="9"/>
  <c r="W33" i="9" s="1"/>
  <c r="W17" i="9"/>
  <c r="W7" i="9"/>
  <c r="X16" i="9"/>
  <c r="AK28" i="5"/>
  <c r="U48" i="9"/>
  <c r="AE108" i="5"/>
  <c r="AE111" i="5"/>
  <c r="AE104" i="5"/>
  <c r="AE110" i="5"/>
  <c r="AE112" i="5"/>
  <c r="AE107" i="5"/>
  <c r="AE109" i="5"/>
  <c r="AE105" i="5"/>
  <c r="AE103" i="5"/>
  <c r="AE102" i="5"/>
  <c r="X81" i="8"/>
  <c r="X11" i="8"/>
  <c r="X14" i="8"/>
  <c r="X6" i="8"/>
  <c r="X17" i="7"/>
  <c r="X15" i="8"/>
  <c r="AB65" i="8"/>
  <c r="AE12" i="6"/>
  <c r="AE52" i="6"/>
  <c r="AF5" i="6"/>
  <c r="AG5" i="6"/>
  <c r="AE96" i="8"/>
  <c r="AE12" i="8" s="1"/>
  <c r="AF5" i="8" s="1"/>
  <c r="AD34" i="5"/>
  <c r="AE24" i="5"/>
  <c r="AG93" i="8"/>
  <c r="AH93" i="8" s="1"/>
  <c r="W33" i="8"/>
  <c r="V49" i="8"/>
  <c r="X7" i="8"/>
  <c r="AC83" i="5"/>
  <c r="U80" i="9"/>
  <c r="AA106" i="5"/>
  <c r="AA113" i="5" s="1"/>
  <c r="Y59" i="8"/>
  <c r="AK26" i="5"/>
  <c r="T42" i="8"/>
  <c r="T44" i="8"/>
  <c r="T46" i="8"/>
  <c r="T38" i="8"/>
  <c r="T47" i="8"/>
  <c r="T45" i="8"/>
  <c r="T43" i="8"/>
  <c r="T39" i="8"/>
  <c r="T37" i="8"/>
  <c r="T48" i="8" s="1"/>
  <c r="T40" i="8"/>
  <c r="T41" i="8"/>
  <c r="U41" i="8" s="1"/>
  <c r="AE32" i="5"/>
  <c r="AE10" i="8"/>
  <c r="AE65" i="8" s="1"/>
  <c r="U73" i="6"/>
  <c r="U74" i="6" s="1"/>
  <c r="U75" i="6" s="1"/>
  <c r="U76" i="6" s="1"/>
  <c r="U77" i="6" s="1"/>
  <c r="U78" i="6" s="1"/>
  <c r="U79" i="6" s="1"/>
  <c r="U80" i="6" s="1"/>
  <c r="U81" i="6" s="1"/>
  <c r="U82" i="6" s="1"/>
  <c r="U83" i="6" s="1"/>
  <c r="U84" i="6" s="1"/>
  <c r="AD96" i="8"/>
  <c r="AD12" i="8" s="1"/>
  <c r="AE5" i="8" s="1"/>
  <c r="U64" i="9"/>
  <c r="V29" i="8"/>
  <c r="V30" i="8"/>
  <c r="V26" i="8"/>
  <c r="V23" i="8"/>
  <c r="V21" i="8"/>
  <c r="V32" i="8" s="1"/>
  <c r="V25" i="8"/>
  <c r="V28" i="8"/>
  <c r="V24" i="8"/>
  <c r="V22" i="8"/>
  <c r="V31" i="8"/>
  <c r="V27" i="8"/>
  <c r="T17" i="5"/>
  <c r="U15" i="5"/>
  <c r="U16" i="5"/>
  <c r="V87" i="9"/>
  <c r="V73" i="9"/>
  <c r="V58" i="9"/>
  <c r="V41" i="9"/>
  <c r="V90" i="9"/>
  <c r="V76" i="9"/>
  <c r="V60" i="9"/>
  <c r="V43" i="9"/>
  <c r="V28" i="9"/>
  <c r="V93" i="9"/>
  <c r="V79" i="9"/>
  <c r="V62" i="9"/>
  <c r="V45" i="9"/>
  <c r="V31" i="9"/>
  <c r="V88" i="9"/>
  <c r="V74" i="9"/>
  <c r="V55" i="9"/>
  <c r="V38" i="9"/>
  <c r="V77" i="9"/>
  <c r="V95" i="9"/>
  <c r="V94" i="9"/>
  <c r="V37" i="9"/>
  <c r="V70" i="9"/>
  <c r="V69" i="9"/>
  <c r="V47" i="9"/>
  <c r="V86" i="9"/>
  <c r="V26" i="9"/>
  <c r="V97" i="9"/>
  <c r="V11" i="9" s="1"/>
  <c r="W3" i="9" s="1"/>
  <c r="V56" i="9"/>
  <c r="V54" i="9"/>
  <c r="V44" i="9"/>
  <c r="V92" i="9"/>
  <c r="V91" i="9"/>
  <c r="V89" i="9"/>
  <c r="V71" i="9"/>
  <c r="V63" i="9"/>
  <c r="V78" i="9"/>
  <c r="V46" i="9"/>
  <c r="V24" i="9"/>
  <c r="V61" i="9"/>
  <c r="V22" i="9"/>
  <c r="V57" i="9"/>
  <c r="V25" i="9"/>
  <c r="V23" i="9"/>
  <c r="V30" i="9"/>
  <c r="V29" i="9"/>
  <c r="V27" i="9"/>
  <c r="V40" i="9"/>
  <c r="V39" i="9"/>
  <c r="V59" i="9"/>
  <c r="V72" i="9"/>
  <c r="V21" i="9"/>
  <c r="V32" i="9" s="1"/>
  <c r="V75" i="9"/>
  <c r="V53" i="9"/>
  <c r="V42" i="9"/>
  <c r="V96" i="9"/>
  <c r="AE65" i="9"/>
  <c r="AE39" i="5"/>
  <c r="AE50" i="5" s="1"/>
  <c r="AE46" i="5"/>
  <c r="AE45" i="5"/>
  <c r="AE49" i="5"/>
  <c r="AE44" i="5"/>
  <c r="AE47" i="5"/>
  <c r="AE42" i="5"/>
  <c r="AE41" i="5"/>
  <c r="AE48" i="5"/>
  <c r="AE40" i="5"/>
  <c r="AE43" i="5"/>
  <c r="AF8" i="5"/>
  <c r="AJ23" i="5"/>
  <c r="AK23" i="5" s="1"/>
  <c r="W68" i="6"/>
  <c r="W9" i="6"/>
  <c r="W15" i="6"/>
  <c r="AC47" i="6"/>
  <c r="AC46" i="6"/>
  <c r="AD46" i="6" s="1"/>
  <c r="AC41" i="6"/>
  <c r="AD41" i="6" s="1"/>
  <c r="AC44" i="6"/>
  <c r="AD44" i="6" s="1"/>
  <c r="AC42" i="6"/>
  <c r="AD42" i="6" s="1"/>
  <c r="AC40" i="6"/>
  <c r="AC51" i="6" s="1"/>
  <c r="AC49" i="6"/>
  <c r="AD49" i="6" s="1"/>
  <c r="AC50" i="6"/>
  <c r="AC48" i="6"/>
  <c r="AC45" i="6"/>
  <c r="AC43" i="6"/>
  <c r="AF31" i="5"/>
  <c r="AA61" i="8"/>
  <c r="AA56" i="8"/>
  <c r="AA55" i="8"/>
  <c r="AA62" i="8"/>
  <c r="AA53" i="8"/>
  <c r="AA59" i="8"/>
  <c r="AD90" i="8"/>
  <c r="AE90" i="8" s="1"/>
  <c r="W51" i="6"/>
  <c r="Z40" i="6"/>
  <c r="Z51" i="6" s="1"/>
  <c r="X40" i="6"/>
  <c r="X51" i="6" s="1"/>
  <c r="Y40" i="6"/>
  <c r="Y51" i="6" s="1"/>
  <c r="AC65" i="8"/>
  <c r="W78" i="8"/>
  <c r="W69" i="8"/>
  <c r="W72" i="8"/>
  <c r="W77" i="8"/>
  <c r="W70" i="8"/>
  <c r="W79" i="8"/>
  <c r="W75" i="8"/>
  <c r="W76" i="8"/>
  <c r="W74" i="8"/>
  <c r="W73" i="8"/>
  <c r="W71" i="8"/>
  <c r="W80" i="8" s="1"/>
  <c r="AF114" i="5"/>
  <c r="AF51" i="5"/>
  <c r="AF6" i="5"/>
  <c r="AF9" i="5" s="1"/>
  <c r="AF7" i="5" s="1"/>
  <c r="AG5" i="5"/>
  <c r="AI5" i="5" s="1"/>
  <c r="V63" i="6"/>
  <c r="V65" i="6"/>
  <c r="V59" i="6"/>
  <c r="V62" i="6"/>
  <c r="V57" i="6"/>
  <c r="V60" i="6"/>
  <c r="V61" i="6"/>
  <c r="V64" i="6"/>
  <c r="V56" i="6"/>
  <c r="V67" i="6" s="1"/>
  <c r="V66" i="6"/>
  <c r="V58" i="6"/>
  <c r="AG33" i="5"/>
  <c r="AH5" i="5"/>
  <c r="V14" i="9"/>
  <c r="V81" i="9"/>
  <c r="V14" i="5"/>
  <c r="V10" i="9"/>
  <c r="V13" i="9"/>
  <c r="AF65" i="9"/>
  <c r="AE83" i="5"/>
  <c r="AD83" i="5"/>
  <c r="AG9" i="9"/>
  <c r="AF33" i="5"/>
  <c r="AB40" i="6"/>
  <c r="AB51" i="6" s="1"/>
  <c r="Z92" i="8"/>
  <c r="Z60" i="8"/>
  <c r="AA60" i="8" s="1"/>
  <c r="Z59" i="8"/>
  <c r="Z54" i="8"/>
  <c r="Z63" i="8"/>
  <c r="Z58" i="8"/>
  <c r="AA58" i="8" s="1"/>
  <c r="Z57" i="8"/>
  <c r="Z56" i="8"/>
  <c r="Z55" i="8"/>
  <c r="Z61" i="8"/>
  <c r="Z62" i="8"/>
  <c r="Z53" i="8"/>
  <c r="AB50" i="5"/>
  <c r="AE33" i="5"/>
  <c r="AH33" i="5" s="1"/>
  <c r="Z34" i="5"/>
  <c r="AB82" i="5" s="1"/>
  <c r="X20" i="6"/>
  <c r="X36" i="6"/>
  <c r="X35" i="6" s="1"/>
  <c r="X14" i="6"/>
  <c r="X16" i="6" s="1"/>
  <c r="X6" i="6"/>
  <c r="X7" i="6" s="1"/>
  <c r="AI114" i="5" l="1"/>
  <c r="AI51" i="5"/>
  <c r="AI6" i="5"/>
  <c r="AI9" i="5" s="1"/>
  <c r="AI30" i="5"/>
  <c r="AJ30" i="5" s="1"/>
  <c r="AK30" i="5" s="1"/>
  <c r="AF83" i="5"/>
  <c r="W14" i="9"/>
  <c r="W81" i="9"/>
  <c r="W14" i="5"/>
  <c r="W10" i="9"/>
  <c r="W13" i="9"/>
  <c r="V44" i="8"/>
  <c r="V46" i="8"/>
  <c r="V41" i="8"/>
  <c r="V43" i="8"/>
  <c r="V42" i="8"/>
  <c r="V47" i="8"/>
  <c r="V39" i="8"/>
  <c r="V38" i="8"/>
  <c r="V45" i="8"/>
  <c r="V40" i="8"/>
  <c r="V37" i="8"/>
  <c r="V48" i="8" s="1"/>
  <c r="V15" i="5"/>
  <c r="V16" i="5"/>
  <c r="X33" i="8"/>
  <c r="X8" i="8"/>
  <c r="AF105" i="5"/>
  <c r="AF108" i="5"/>
  <c r="AF111" i="5"/>
  <c r="AF103" i="5"/>
  <c r="AF107" i="5"/>
  <c r="AF110" i="5"/>
  <c r="AF112" i="5"/>
  <c r="AF104" i="5"/>
  <c r="AF109" i="5"/>
  <c r="AF102" i="5"/>
  <c r="W8" i="8"/>
  <c r="X72" i="8"/>
  <c r="X69" i="8"/>
  <c r="X73" i="8"/>
  <c r="X74" i="8"/>
  <c r="X80" i="8" s="1"/>
  <c r="X76" i="8"/>
  <c r="X79" i="8"/>
  <c r="X77" i="8"/>
  <c r="X75" i="8"/>
  <c r="X78" i="8"/>
  <c r="X70" i="8"/>
  <c r="X71" i="8"/>
  <c r="X68" i="6"/>
  <c r="X9" i="6"/>
  <c r="X15" i="6"/>
  <c r="AA57" i="8"/>
  <c r="AC57" i="8" s="1"/>
  <c r="AF67" i="5"/>
  <c r="AF66" i="5" s="1"/>
  <c r="AF130" i="5"/>
  <c r="AF129" i="5" s="1"/>
  <c r="AG8" i="5"/>
  <c r="AD72" i="5"/>
  <c r="AD80" i="5"/>
  <c r="AD74" i="5"/>
  <c r="AD73" i="5"/>
  <c r="AD75" i="5"/>
  <c r="AD76" i="5"/>
  <c r="AD82" i="5"/>
  <c r="AD77" i="5"/>
  <c r="AD78" i="5"/>
  <c r="AD71" i="5"/>
  <c r="AD81" i="5"/>
  <c r="AD79" i="5"/>
  <c r="AF12" i="6"/>
  <c r="AF52" i="6"/>
  <c r="AH5" i="6"/>
  <c r="AE77" i="5"/>
  <c r="AE81" i="5"/>
  <c r="AE79" i="5"/>
  <c r="AE71" i="5"/>
  <c r="AE82" i="5"/>
  <c r="AE75" i="5"/>
  <c r="AE72" i="5"/>
  <c r="AE76" i="5"/>
  <c r="AE80" i="5"/>
  <c r="AE78" i="5"/>
  <c r="AE74" i="5"/>
  <c r="AE73" i="5"/>
  <c r="Z16" i="8"/>
  <c r="Z9" i="8"/>
  <c r="AA17" i="8"/>
  <c r="X49" i="8"/>
  <c r="W49" i="8"/>
  <c r="W87" i="9"/>
  <c r="W73" i="9"/>
  <c r="W58" i="9"/>
  <c r="W41" i="9"/>
  <c r="W25" i="9"/>
  <c r="W32" i="9" s="1"/>
  <c r="W90" i="9"/>
  <c r="W76" i="9"/>
  <c r="W60" i="9"/>
  <c r="W43" i="9"/>
  <c r="W28" i="9"/>
  <c r="W93" i="9"/>
  <c r="W79" i="9"/>
  <c r="W62" i="9"/>
  <c r="W45" i="9"/>
  <c r="W31" i="9"/>
  <c r="W95" i="9"/>
  <c r="W94" i="9"/>
  <c r="W37" i="9"/>
  <c r="W70" i="9"/>
  <c r="W69" i="9"/>
  <c r="W47" i="9"/>
  <c r="W86" i="9"/>
  <c r="W63" i="9"/>
  <c r="W61" i="9"/>
  <c r="W88" i="9"/>
  <c r="W97" i="9"/>
  <c r="W11" i="9" s="1"/>
  <c r="X3" i="9" s="1"/>
  <c r="X6" i="9" s="1"/>
  <c r="W56" i="9"/>
  <c r="W54" i="9"/>
  <c r="W44" i="9"/>
  <c r="W92" i="9"/>
  <c r="W91" i="9"/>
  <c r="W89" i="9"/>
  <c r="W71" i="9"/>
  <c r="W78" i="9"/>
  <c r="W21" i="9"/>
  <c r="W46" i="9"/>
  <c r="W24" i="9"/>
  <c r="W22" i="9"/>
  <c r="W74" i="9"/>
  <c r="W23" i="9"/>
  <c r="W55" i="9"/>
  <c r="W30" i="9"/>
  <c r="W29" i="9"/>
  <c r="W27" i="9"/>
  <c r="W42" i="9"/>
  <c r="W77" i="9"/>
  <c r="W59" i="9"/>
  <c r="W72" i="9"/>
  <c r="W26" i="9"/>
  <c r="W75" i="9"/>
  <c r="W38" i="9"/>
  <c r="W57" i="9"/>
  <c r="W53" i="9"/>
  <c r="W64" i="9" s="1"/>
  <c r="W40" i="9"/>
  <c r="W96" i="9"/>
  <c r="W39" i="9"/>
  <c r="AH114" i="5"/>
  <c r="AH51" i="5"/>
  <c r="AH6" i="5"/>
  <c r="AH9" i="5" s="1"/>
  <c r="U37" i="8"/>
  <c r="U48" i="8" s="1"/>
  <c r="W6" i="9"/>
  <c r="AF96" i="8"/>
  <c r="AI33" i="5"/>
  <c r="AC77" i="5"/>
  <c r="AC72" i="5"/>
  <c r="AC74" i="5"/>
  <c r="AC73" i="5"/>
  <c r="AC75" i="5"/>
  <c r="AC76" i="5"/>
  <c r="AC82" i="5"/>
  <c r="AC80" i="5"/>
  <c r="AC71" i="5"/>
  <c r="AC79" i="5"/>
  <c r="AC78" i="5"/>
  <c r="AC81" i="5"/>
  <c r="AF90" i="8"/>
  <c r="Y81" i="8"/>
  <c r="Y6" i="8"/>
  <c r="Y11" i="8"/>
  <c r="Y14" i="8"/>
  <c r="Y15" i="8"/>
  <c r="Y17" i="7"/>
  <c r="AK5" i="9"/>
  <c r="AK49" i="9" s="1"/>
  <c r="AF50" i="5"/>
  <c r="AF39" i="5"/>
  <c r="AF41" i="5"/>
  <c r="AF43" i="5"/>
  <c r="AF45" i="5"/>
  <c r="AF49" i="5"/>
  <c r="AF46" i="5"/>
  <c r="AF47" i="5"/>
  <c r="AF48" i="5"/>
  <c r="AF42" i="5"/>
  <c r="AF40" i="5"/>
  <c r="AF44" i="5"/>
  <c r="Z64" i="8"/>
  <c r="AH90" i="8"/>
  <c r="AF10" i="8"/>
  <c r="AF65" i="8" s="1"/>
  <c r="W29" i="8"/>
  <c r="W26" i="8"/>
  <c r="W23" i="8"/>
  <c r="W25" i="8"/>
  <c r="W28" i="8"/>
  <c r="W24" i="8"/>
  <c r="W22" i="8"/>
  <c r="W27" i="8"/>
  <c r="W21" i="8"/>
  <c r="W32" i="8" s="1"/>
  <c r="W30" i="8"/>
  <c r="W31" i="8"/>
  <c r="AB92" i="8"/>
  <c r="AG90" i="8"/>
  <c r="AG65" i="9"/>
  <c r="AA63" i="8"/>
  <c r="AG12" i="6"/>
  <c r="AG52" i="6"/>
  <c r="AC61" i="8"/>
  <c r="AC56" i="8"/>
  <c r="AC62" i="8"/>
  <c r="AC53" i="8"/>
  <c r="AC60" i="8"/>
  <c r="AD60" i="8" s="1"/>
  <c r="Y14" i="6"/>
  <c r="Y16" i="6" s="1"/>
  <c r="Y20" i="6"/>
  <c r="Y36" i="6"/>
  <c r="Y35" i="6" s="1"/>
  <c r="Y6" i="6"/>
  <c r="Y7" i="6" s="1"/>
  <c r="AF32" i="5"/>
  <c r="V64" i="9"/>
  <c r="AE34" i="5"/>
  <c r="AF24" i="5"/>
  <c r="W63" i="6"/>
  <c r="W59" i="6"/>
  <c r="W66" i="6"/>
  <c r="W62" i="6"/>
  <c r="W57" i="6"/>
  <c r="W60" i="6"/>
  <c r="W61" i="6"/>
  <c r="W56" i="6"/>
  <c r="W64" i="6"/>
  <c r="W65" i="6"/>
  <c r="W58" i="6"/>
  <c r="W67" i="6" s="1"/>
  <c r="AK33" i="5"/>
  <c r="Z25" i="6"/>
  <c r="Z29" i="6"/>
  <c r="Z33" i="6"/>
  <c r="Z24" i="6"/>
  <c r="Z4" i="6"/>
  <c r="AA19" i="6"/>
  <c r="Z30" i="6"/>
  <c r="Z28" i="6"/>
  <c r="Z27" i="6"/>
  <c r="Z34" i="6"/>
  <c r="Z31" i="6"/>
  <c r="Z26" i="6"/>
  <c r="Z32" i="6"/>
  <c r="AJ33" i="5"/>
  <c r="AE41" i="6"/>
  <c r="AE45" i="6"/>
  <c r="AE49" i="6"/>
  <c r="AE46" i="6"/>
  <c r="AE43" i="6"/>
  <c r="AE50" i="6"/>
  <c r="AE48" i="6"/>
  <c r="AE44" i="6"/>
  <c r="AE42" i="6"/>
  <c r="AE47" i="6"/>
  <c r="AJ5" i="5"/>
  <c r="AK5" i="5" s="1"/>
  <c r="AB106" i="5"/>
  <c r="V48" i="9"/>
  <c r="AB62" i="8"/>
  <c r="AD62" i="8" s="1"/>
  <c r="AB61" i="8"/>
  <c r="AB56" i="8"/>
  <c r="AB58" i="8"/>
  <c r="AC58" i="8" s="1"/>
  <c r="AB57" i="8"/>
  <c r="AB60" i="8"/>
  <c r="AB55" i="8"/>
  <c r="AC55" i="8" s="1"/>
  <c r="AB63" i="8"/>
  <c r="AB53" i="8"/>
  <c r="AB59" i="8"/>
  <c r="U17" i="5"/>
  <c r="V80" i="9"/>
  <c r="W12" i="9"/>
  <c r="AD40" i="6"/>
  <c r="AD51" i="6" s="1"/>
  <c r="AA54" i="8"/>
  <c r="AH9" i="9"/>
  <c r="AI9" i="9" s="1"/>
  <c r="AG114" i="5"/>
  <c r="AG51" i="5"/>
  <c r="AG6" i="5"/>
  <c r="AG9" i="5" s="1"/>
  <c r="Y7" i="8"/>
  <c r="V73" i="6"/>
  <c r="V74" i="6" s="1"/>
  <c r="V75" i="6" s="1"/>
  <c r="V76" i="6" s="1"/>
  <c r="V77" i="6" s="1"/>
  <c r="V78" i="6" s="1"/>
  <c r="V79" i="6" s="1"/>
  <c r="V80" i="6" s="1"/>
  <c r="V81" i="6" s="1"/>
  <c r="V82" i="6" s="1"/>
  <c r="V83" i="6" s="1"/>
  <c r="V84" i="6" s="1"/>
  <c r="W73" i="6" s="1"/>
  <c r="W74" i="6" s="1"/>
  <c r="X4" i="9"/>
  <c r="X33" i="9" s="1"/>
  <c r="X7" i="9"/>
  <c r="X17" i="9"/>
  <c r="Y16" i="9"/>
  <c r="AG31" i="5"/>
  <c r="AD58" i="8" l="1"/>
  <c r="AE58" i="8" s="1"/>
  <c r="AF58" i="8" s="1"/>
  <c r="AE62" i="8"/>
  <c r="AE56" i="8"/>
  <c r="AK114" i="5"/>
  <c r="AK51" i="5"/>
  <c r="AK6" i="5"/>
  <c r="AK9" i="5" s="1"/>
  <c r="AE55" i="8"/>
  <c r="AJ5" i="6"/>
  <c r="AI65" i="9"/>
  <c r="AK9" i="9"/>
  <c r="AE61" i="8"/>
  <c r="AF61" i="8" s="1"/>
  <c r="AE63" i="8"/>
  <c r="AA33" i="6"/>
  <c r="AA24" i="6"/>
  <c r="AA4" i="6"/>
  <c r="AA28" i="6"/>
  <c r="AA30" i="6"/>
  <c r="AA32" i="6"/>
  <c r="AA31" i="6"/>
  <c r="AB19" i="6"/>
  <c r="AA25" i="6"/>
  <c r="AA27" i="6"/>
  <c r="AA34" i="6"/>
  <c r="AA29" i="6"/>
  <c r="AA26" i="6"/>
  <c r="AC54" i="8"/>
  <c r="AC64" i="8" s="1"/>
  <c r="Y12" i="9"/>
  <c r="Y68" i="6"/>
  <c r="Y9" i="6"/>
  <c r="Y15" i="6"/>
  <c r="AD54" i="8"/>
  <c r="X81" i="9"/>
  <c r="X80" i="9" s="1"/>
  <c r="X14" i="9"/>
  <c r="X14" i="5"/>
  <c r="X10" i="9"/>
  <c r="X13" i="9"/>
  <c r="AF12" i="8"/>
  <c r="AG5" i="8" s="1"/>
  <c r="AG96" i="8"/>
  <c r="AG12" i="8" s="1"/>
  <c r="AH5" i="8" s="1"/>
  <c r="AH96" i="8"/>
  <c r="AH12" i="8" s="1"/>
  <c r="W44" i="8"/>
  <c r="W46" i="8"/>
  <c r="W45" i="8"/>
  <c r="W43" i="8"/>
  <c r="W47" i="8"/>
  <c r="W37" i="8"/>
  <c r="X37" i="8" s="1"/>
  <c r="W39" i="8"/>
  <c r="W38" i="8"/>
  <c r="W40" i="8"/>
  <c r="X40" i="8" s="1"/>
  <c r="W42" i="8"/>
  <c r="W41" i="8"/>
  <c r="AK5" i="6"/>
  <c r="AD63" i="8"/>
  <c r="AF63" i="8" s="1"/>
  <c r="AB113" i="5"/>
  <c r="AG130" i="5"/>
  <c r="AG129" i="5" s="1"/>
  <c r="AG67" i="5"/>
  <c r="AG66" i="5" s="1"/>
  <c r="Y17" i="9"/>
  <c r="Y4" i="9"/>
  <c r="Y33" i="9" s="1"/>
  <c r="Z16" i="9"/>
  <c r="Y7" i="9"/>
  <c r="X90" i="9"/>
  <c r="X76" i="9"/>
  <c r="X60" i="9"/>
  <c r="X43" i="9"/>
  <c r="X28" i="9"/>
  <c r="X93" i="9"/>
  <c r="X79" i="9"/>
  <c r="X62" i="9"/>
  <c r="X45" i="9"/>
  <c r="X31" i="9"/>
  <c r="X96" i="9"/>
  <c r="X71" i="9"/>
  <c r="X53" i="9"/>
  <c r="X64" i="9" s="1"/>
  <c r="X47" i="9"/>
  <c r="X23" i="9"/>
  <c r="X91" i="9"/>
  <c r="X77" i="9"/>
  <c r="X57" i="9"/>
  <c r="X40" i="9"/>
  <c r="X95" i="9"/>
  <c r="X94" i="9"/>
  <c r="X70" i="9"/>
  <c r="X69" i="9"/>
  <c r="X87" i="9"/>
  <c r="X86" i="9"/>
  <c r="X63" i="9"/>
  <c r="X61" i="9"/>
  <c r="X97" i="9"/>
  <c r="X11" i="9" s="1"/>
  <c r="Y3" i="9" s="1"/>
  <c r="Y6" i="9" s="1"/>
  <c r="X56" i="9"/>
  <c r="X54" i="9"/>
  <c r="X46" i="9"/>
  <c r="X78" i="9"/>
  <c r="X25" i="9"/>
  <c r="X24" i="9"/>
  <c r="X32" i="9" s="1"/>
  <c r="X92" i="9"/>
  <c r="X89" i="9"/>
  <c r="X73" i="9"/>
  <c r="X21" i="9"/>
  <c r="X22" i="9"/>
  <c r="X74" i="9"/>
  <c r="X39" i="9"/>
  <c r="X55" i="9"/>
  <c r="X30" i="9"/>
  <c r="X29" i="9"/>
  <c r="X58" i="9"/>
  <c r="X41" i="9"/>
  <c r="X27" i="9"/>
  <c r="X44" i="9"/>
  <c r="X42" i="9"/>
  <c r="X72" i="9"/>
  <c r="X26" i="9"/>
  <c r="X75" i="9"/>
  <c r="X88" i="9"/>
  <c r="X59" i="9"/>
  <c r="X38" i="9"/>
  <c r="X37" i="9"/>
  <c r="AG10" i="8"/>
  <c r="AD56" i="8"/>
  <c r="Y49" i="8"/>
  <c r="AD61" i="8"/>
  <c r="AC63" i="8"/>
  <c r="AF46" i="6"/>
  <c r="AF40" i="6"/>
  <c r="AF45" i="6"/>
  <c r="AF49" i="6"/>
  <c r="AF43" i="6"/>
  <c r="AG43" i="6" s="1"/>
  <c r="AF50" i="6"/>
  <c r="AF42" i="6"/>
  <c r="AG42" i="6" s="1"/>
  <c r="AF48" i="6"/>
  <c r="AG48" i="6" s="1"/>
  <c r="AF44" i="6"/>
  <c r="AG44" i="6" s="1"/>
  <c r="AF47" i="6"/>
  <c r="AF41" i="6"/>
  <c r="AF51" i="6" s="1"/>
  <c r="AI7" i="5"/>
  <c r="AA64" i="8"/>
  <c r="AD59" i="8"/>
  <c r="AE60" i="8"/>
  <c r="AC92" i="8"/>
  <c r="AH8" i="5"/>
  <c r="AH7" i="5" s="1"/>
  <c r="AD92" i="8"/>
  <c r="AE92" i="8" s="1"/>
  <c r="AG7" i="5"/>
  <c r="AB54" i="8"/>
  <c r="AB64" i="8" s="1"/>
  <c r="AH43" i="5"/>
  <c r="AH39" i="5"/>
  <c r="AI39" i="5" s="1"/>
  <c r="AH44" i="5"/>
  <c r="AI44" i="5" s="1"/>
  <c r="AA9" i="8"/>
  <c r="AA16" i="8"/>
  <c r="AB17" i="8"/>
  <c r="X65" i="6"/>
  <c r="X56" i="6"/>
  <c r="X67" i="6" s="1"/>
  <c r="X66" i="6"/>
  <c r="X62" i="6"/>
  <c r="X63" i="6"/>
  <c r="X57" i="6"/>
  <c r="X61" i="6"/>
  <c r="X59" i="6"/>
  <c r="X64" i="6"/>
  <c r="X60" i="6"/>
  <c r="X58" i="6"/>
  <c r="AI43" i="5"/>
  <c r="AJ114" i="5"/>
  <c r="AJ51" i="5"/>
  <c r="AJ6" i="5"/>
  <c r="AJ9" i="5" s="1"/>
  <c r="AF62" i="8"/>
  <c r="AF60" i="8"/>
  <c r="AF56" i="8"/>
  <c r="AF55" i="8"/>
  <c r="AJ8" i="5"/>
  <c r="X12" i="9"/>
  <c r="AI103" i="5"/>
  <c r="Z20" i="6"/>
  <c r="Z36" i="6"/>
  <c r="Z35" i="6" s="1"/>
  <c r="Z14" i="6"/>
  <c r="Z16" i="6" s="1"/>
  <c r="Z6" i="6"/>
  <c r="Z7" i="6" s="1"/>
  <c r="AG40" i="6"/>
  <c r="AG45" i="6"/>
  <c r="AG50" i="6"/>
  <c r="AG46" i="6"/>
  <c r="AG47" i="6"/>
  <c r="AG49" i="6"/>
  <c r="AG32" i="5"/>
  <c r="AH32" i="5" s="1"/>
  <c r="AI32" i="5" s="1"/>
  <c r="W48" i="9"/>
  <c r="W75" i="6"/>
  <c r="W76" i="6" s="1"/>
  <c r="W77" i="6" s="1"/>
  <c r="W78" i="6" s="1"/>
  <c r="W79" i="6" s="1"/>
  <c r="W80" i="6" s="1"/>
  <c r="W81" i="6" s="1"/>
  <c r="W82" i="6" s="1"/>
  <c r="W83" i="6" s="1"/>
  <c r="W84" i="6" s="1"/>
  <c r="X73" i="6" s="1"/>
  <c r="X74" i="6" s="1"/>
  <c r="Y33" i="8"/>
  <c r="Y8" i="8"/>
  <c r="AH108" i="5"/>
  <c r="AH103" i="5"/>
  <c r="AH104" i="5"/>
  <c r="AH110" i="5"/>
  <c r="AH112" i="5"/>
  <c r="AH102" i="5"/>
  <c r="AH109" i="5"/>
  <c r="AH107" i="5"/>
  <c r="AH105" i="5"/>
  <c r="AC59" i="8"/>
  <c r="Z7" i="8"/>
  <c r="AF80" i="5"/>
  <c r="AF82" i="5"/>
  <c r="AF81" i="5"/>
  <c r="AF78" i="5"/>
  <c r="AF76" i="5"/>
  <c r="AF77" i="5"/>
  <c r="AF75" i="5"/>
  <c r="AF72" i="5"/>
  <c r="AF73" i="5"/>
  <c r="AF71" i="5"/>
  <c r="AF74" i="5"/>
  <c r="AF79" i="5"/>
  <c r="X31" i="8"/>
  <c r="X29" i="8"/>
  <c r="X26" i="8"/>
  <c r="X23" i="8"/>
  <c r="X25" i="8"/>
  <c r="X28" i="8"/>
  <c r="X24" i="8"/>
  <c r="X21" i="8"/>
  <c r="X32" i="8" s="1"/>
  <c r="X22" i="8"/>
  <c r="X30" i="8"/>
  <c r="X27" i="8"/>
  <c r="V17" i="5"/>
  <c r="AI31" i="5"/>
  <c r="AJ31" i="5" s="1"/>
  <c r="AK31" i="5" s="1"/>
  <c r="AE40" i="6"/>
  <c r="AE51" i="6" s="1"/>
  <c r="AH12" i="6"/>
  <c r="AH52" i="6"/>
  <c r="AI8" i="5"/>
  <c r="AI5" i="6"/>
  <c r="AG41" i="5"/>
  <c r="AG45" i="5"/>
  <c r="AG49" i="5"/>
  <c r="AG40" i="5"/>
  <c r="AH40" i="5" s="1"/>
  <c r="AG48" i="5"/>
  <c r="AH48" i="5" s="1"/>
  <c r="AI48" i="5" s="1"/>
  <c r="AG46" i="5"/>
  <c r="AH46" i="5" s="1"/>
  <c r="AG47" i="5"/>
  <c r="AH47" i="5" s="1"/>
  <c r="AG42" i="5"/>
  <c r="AG43" i="5"/>
  <c r="AG44" i="5"/>
  <c r="AG39" i="5"/>
  <c r="AG50" i="5" s="1"/>
  <c r="Z6" i="8"/>
  <c r="Z11" i="8"/>
  <c r="Z81" i="8"/>
  <c r="Z14" i="8"/>
  <c r="Z17" i="7"/>
  <c r="Z15" i="8"/>
  <c r="Y79" i="8"/>
  <c r="Y77" i="8"/>
  <c r="Y75" i="8"/>
  <c r="Y73" i="8"/>
  <c r="Y71" i="8"/>
  <c r="Y69" i="8"/>
  <c r="Y76" i="8"/>
  <c r="Y78" i="8"/>
  <c r="Y74" i="8"/>
  <c r="Y70" i="8"/>
  <c r="Y80" i="8" s="1"/>
  <c r="Y72" i="8"/>
  <c r="AH31" i="5"/>
  <c r="AF34" i="5"/>
  <c r="W15" i="5"/>
  <c r="W17" i="5" s="1"/>
  <c r="W16" i="5"/>
  <c r="AC106" i="5"/>
  <c r="AC113" i="5" s="1"/>
  <c r="AD55" i="8"/>
  <c r="AD53" i="8"/>
  <c r="X46" i="8"/>
  <c r="X44" i="8"/>
  <c r="X43" i="8"/>
  <c r="X47" i="8"/>
  <c r="X39" i="8"/>
  <c r="X38" i="8"/>
  <c r="X45" i="8"/>
  <c r="X42" i="8"/>
  <c r="X41" i="8"/>
  <c r="AD57" i="8"/>
  <c r="AE57" i="8" s="1"/>
  <c r="AG111" i="5"/>
  <c r="AH111" i="5" s="1"/>
  <c r="AG103" i="5"/>
  <c r="AG104" i="5"/>
  <c r="AI104" i="5" s="1"/>
  <c r="AG107" i="5"/>
  <c r="AI107" i="5" s="1"/>
  <c r="AG110" i="5"/>
  <c r="AI110" i="5" s="1"/>
  <c r="AG112" i="5"/>
  <c r="AI112" i="5" s="1"/>
  <c r="AG102" i="5"/>
  <c r="AG108" i="5"/>
  <c r="AI108" i="5" s="1"/>
  <c r="AG109" i="5"/>
  <c r="AI109" i="5" s="1"/>
  <c r="AG105" i="5"/>
  <c r="AI105" i="5" s="1"/>
  <c r="AH65" i="9"/>
  <c r="AJ9" i="9"/>
  <c r="AG24" i="5"/>
  <c r="W80" i="9"/>
  <c r="AH83" i="5" l="1"/>
  <c r="AI41" i="5"/>
  <c r="AK32" i="5"/>
  <c r="AJ32" i="5"/>
  <c r="AF59" i="8"/>
  <c r="AI45" i="5"/>
  <c r="X48" i="8"/>
  <c r="AI47" i="5"/>
  <c r="AJ47" i="5" s="1"/>
  <c r="AK47" i="5" s="1"/>
  <c r="AG41" i="6"/>
  <c r="AG51" i="6" s="1"/>
  <c r="Y65" i="6"/>
  <c r="Y63" i="6"/>
  <c r="Y62" i="6"/>
  <c r="Y57" i="6"/>
  <c r="Y56" i="6"/>
  <c r="Y59" i="6"/>
  <c r="Y64" i="6"/>
  <c r="Y60" i="6"/>
  <c r="Y58" i="6"/>
  <c r="Y67" i="6" s="1"/>
  <c r="Y66" i="6"/>
  <c r="Y61" i="6"/>
  <c r="AH45" i="5"/>
  <c r="AK43" i="5"/>
  <c r="AK39" i="5"/>
  <c r="AK41" i="5"/>
  <c r="AK103" i="5"/>
  <c r="AK65" i="9"/>
  <c r="AI40" i="5"/>
  <c r="AI130" i="5"/>
  <c r="AI129" i="5" s="1"/>
  <c r="AI67" i="5"/>
  <c r="AI66" i="5" s="1"/>
  <c r="Y31" i="8"/>
  <c r="Y29" i="8"/>
  <c r="Y27" i="8"/>
  <c r="Y25" i="8"/>
  <c r="Y23" i="8"/>
  <c r="Y21" i="8"/>
  <c r="Y32" i="8" s="1"/>
  <c r="Y24" i="8"/>
  <c r="Y26" i="8"/>
  <c r="Y28" i="8"/>
  <c r="Y30" i="8"/>
  <c r="Y22" i="8"/>
  <c r="AB29" i="6"/>
  <c r="AB33" i="6"/>
  <c r="AB24" i="6"/>
  <c r="AB4" i="6"/>
  <c r="AB28" i="6"/>
  <c r="AB30" i="6"/>
  <c r="AB32" i="6"/>
  <c r="AB31" i="6"/>
  <c r="AC19" i="6"/>
  <c r="AB34" i="6"/>
  <c r="AB27" i="6"/>
  <c r="AB25" i="6"/>
  <c r="AB26" i="6"/>
  <c r="AI102" i="5"/>
  <c r="AJ7" i="5"/>
  <c r="Y90" i="9"/>
  <c r="Y76" i="9"/>
  <c r="Y60" i="9"/>
  <c r="Y43" i="9"/>
  <c r="Y28" i="9"/>
  <c r="Y93" i="9"/>
  <c r="Y79" i="9"/>
  <c r="Y62" i="9"/>
  <c r="Y45" i="9"/>
  <c r="Y31" i="9"/>
  <c r="Y96" i="9"/>
  <c r="Y71" i="9"/>
  <c r="Y53" i="9"/>
  <c r="Y47" i="9"/>
  <c r="Y23" i="9"/>
  <c r="Y87" i="9"/>
  <c r="Y86" i="9"/>
  <c r="Y63" i="9"/>
  <c r="Y61" i="9"/>
  <c r="Y59" i="9"/>
  <c r="Y46" i="9"/>
  <c r="Y44" i="9"/>
  <c r="Y25" i="9"/>
  <c r="Y97" i="9"/>
  <c r="Y11" i="9" s="1"/>
  <c r="Z3" i="9" s="1"/>
  <c r="Y69" i="9"/>
  <c r="Y77" i="9"/>
  <c r="Y91" i="9"/>
  <c r="Y73" i="9"/>
  <c r="Y95" i="9"/>
  <c r="Y78" i="9"/>
  <c r="Y21" i="9"/>
  <c r="Y32" i="9" s="1"/>
  <c r="Y22" i="9"/>
  <c r="Y24" i="9"/>
  <c r="Y74" i="9"/>
  <c r="Y54" i="9"/>
  <c r="Y58" i="9"/>
  <c r="Y39" i="9"/>
  <c r="Y55" i="9"/>
  <c r="Y30" i="9"/>
  <c r="Y29" i="9"/>
  <c r="Y41" i="9"/>
  <c r="Y27" i="9"/>
  <c r="Y94" i="9"/>
  <c r="Y42" i="9"/>
  <c r="Y88" i="9"/>
  <c r="Y26" i="9"/>
  <c r="Y75" i="9"/>
  <c r="Y92" i="9"/>
  <c r="Y37" i="9"/>
  <c r="Y57" i="9"/>
  <c r="Y56" i="9"/>
  <c r="Y70" i="9"/>
  <c r="Y38" i="9"/>
  <c r="Y40" i="9"/>
  <c r="Y89" i="9"/>
  <c r="Y72" i="9"/>
  <c r="AG34" i="5"/>
  <c r="AH24" i="5"/>
  <c r="AH34" i="5" s="1"/>
  <c r="AJ65" i="9"/>
  <c r="Z68" i="6"/>
  <c r="Z9" i="6"/>
  <c r="Z15" i="6"/>
  <c r="W48" i="8"/>
  <c r="Z33" i="8"/>
  <c r="Z8" i="8"/>
  <c r="AI111" i="5"/>
  <c r="AK111" i="5" s="1"/>
  <c r="AJ43" i="5"/>
  <c r="AJ44" i="5"/>
  <c r="AK44" i="5" s="1"/>
  <c r="AJ48" i="5"/>
  <c r="AK48" i="5" s="1"/>
  <c r="AJ39" i="5"/>
  <c r="AJ41" i="5"/>
  <c r="AA11" i="8"/>
  <c r="AA81" i="8"/>
  <c r="AA6" i="8"/>
  <c r="AA14" i="8"/>
  <c r="AA17" i="7"/>
  <c r="AA15" i="8"/>
  <c r="AE54" i="8"/>
  <c r="AF54" i="8" s="1"/>
  <c r="AI83" i="5"/>
  <c r="AD64" i="8"/>
  <c r="AE53" i="8"/>
  <c r="Y81" i="9"/>
  <c r="Y14" i="9"/>
  <c r="Y14" i="5"/>
  <c r="Y10" i="9"/>
  <c r="Y13" i="9"/>
  <c r="Z77" i="8"/>
  <c r="Z69" i="8"/>
  <c r="Z80" i="8" s="1"/>
  <c r="Z73" i="8"/>
  <c r="Z76" i="8"/>
  <c r="Z72" i="8"/>
  <c r="Z71" i="8"/>
  <c r="Z78" i="8"/>
  <c r="Z74" i="8"/>
  <c r="Z75" i="8"/>
  <c r="Z70" i="8"/>
  <c r="Z79" i="8"/>
  <c r="AH42" i="5"/>
  <c r="AH49" i="6"/>
  <c r="AH40" i="6"/>
  <c r="AH50" i="6"/>
  <c r="AH43" i="6"/>
  <c r="AH45" i="6"/>
  <c r="AH46" i="6"/>
  <c r="AH47" i="6"/>
  <c r="AH48" i="6"/>
  <c r="AH44" i="6"/>
  <c r="AH42" i="6"/>
  <c r="AH41" i="6"/>
  <c r="AH51" i="6" s="1"/>
  <c r="AH49" i="5"/>
  <c r="AI49" i="5" s="1"/>
  <c r="AK7" i="5"/>
  <c r="AF57" i="8"/>
  <c r="X75" i="6"/>
  <c r="X76" i="6" s="1"/>
  <c r="X77" i="6" s="1"/>
  <c r="X78" i="6" s="1"/>
  <c r="X79" i="6" s="1"/>
  <c r="X80" i="6" s="1"/>
  <c r="X81" i="6" s="1"/>
  <c r="X82" i="6" s="1"/>
  <c r="X83" i="6" s="1"/>
  <c r="X84" i="6" s="1"/>
  <c r="Y73" i="6" s="1"/>
  <c r="Y74" i="6" s="1"/>
  <c r="AG83" i="5"/>
  <c r="AA16" i="9"/>
  <c r="Z17" i="9"/>
  <c r="Z4" i="9"/>
  <c r="Z33" i="9" s="1"/>
  <c r="Z7" i="9"/>
  <c r="AH130" i="5"/>
  <c r="AH129" i="5" s="1"/>
  <c r="AH67" i="5"/>
  <c r="AH66" i="5" s="1"/>
  <c r="AF92" i="8"/>
  <c r="AA36" i="6"/>
  <c r="AA35" i="6" s="1"/>
  <c r="AA14" i="6"/>
  <c r="AA16" i="6" s="1"/>
  <c r="AA20" i="6"/>
  <c r="AA6" i="6"/>
  <c r="AA7" i="6" s="1"/>
  <c r="AI46" i="5"/>
  <c r="AK12" i="6"/>
  <c r="AK52" i="6"/>
  <c r="AJ12" i="6"/>
  <c r="AJ52" i="6"/>
  <c r="AI12" i="6"/>
  <c r="AI52" i="6"/>
  <c r="AH41" i="5"/>
  <c r="Z49" i="8"/>
  <c r="AA7" i="8"/>
  <c r="Y46" i="8"/>
  <c r="Y37" i="8"/>
  <c r="Y48" i="8" s="1"/>
  <c r="Y43" i="8"/>
  <c r="Y41" i="8"/>
  <c r="Y39" i="8"/>
  <c r="Y38" i="8"/>
  <c r="Y45" i="8"/>
  <c r="Y40" i="8"/>
  <c r="Y44" i="8"/>
  <c r="Y42" i="8"/>
  <c r="Y47" i="8"/>
  <c r="X15" i="5"/>
  <c r="X17" i="5" s="1"/>
  <c r="X16" i="5"/>
  <c r="AG65" i="8"/>
  <c r="AH10" i="8"/>
  <c r="AH65" i="8" s="1"/>
  <c r="X48" i="9"/>
  <c r="AJ130" i="5"/>
  <c r="AJ129" i="5" s="1"/>
  <c r="AJ67" i="5"/>
  <c r="AJ66" i="5" s="1"/>
  <c r="AK8" i="5"/>
  <c r="AJ111" i="5"/>
  <c r="AJ103" i="5"/>
  <c r="AJ109" i="5"/>
  <c r="AK109" i="5" s="1"/>
  <c r="AJ107" i="5"/>
  <c r="AK107" i="5" s="1"/>
  <c r="AJ110" i="5"/>
  <c r="AK110" i="5" s="1"/>
  <c r="AJ112" i="5"/>
  <c r="AK112" i="5" s="1"/>
  <c r="AJ108" i="5"/>
  <c r="AK108" i="5" s="1"/>
  <c r="AJ105" i="5"/>
  <c r="AK105" i="5" s="1"/>
  <c r="AJ104" i="5"/>
  <c r="AK104" i="5" s="1"/>
  <c r="AE59" i="8"/>
  <c r="AB9" i="8"/>
  <c r="AB16" i="8"/>
  <c r="AC17" i="8"/>
  <c r="AD106" i="5"/>
  <c r="AH92" i="8" l="1"/>
  <c r="AJ46" i="5"/>
  <c r="AK46" i="5" s="1"/>
  <c r="Y64" i="9"/>
  <c r="AJ45" i="5"/>
  <c r="AK45" i="5" s="1"/>
  <c r="AK130" i="5"/>
  <c r="AK129" i="5" s="1"/>
  <c r="AK67" i="5"/>
  <c r="AK66" i="5" s="1"/>
  <c r="AB7" i="8"/>
  <c r="AK46" i="6"/>
  <c r="AK48" i="6"/>
  <c r="Y15" i="5"/>
  <c r="Y16" i="5"/>
  <c r="AE64" i="8"/>
  <c r="AF53" i="8"/>
  <c r="AF64" i="8" s="1"/>
  <c r="AK49" i="5"/>
  <c r="AC24" i="6"/>
  <c r="AC4" i="6"/>
  <c r="AC28" i="6"/>
  <c r="AC32" i="6"/>
  <c r="AD19" i="6"/>
  <c r="AC31" i="6"/>
  <c r="AC33" i="6"/>
  <c r="AC30" i="6"/>
  <c r="AC34" i="6"/>
  <c r="AC25" i="6"/>
  <c r="AC27" i="6"/>
  <c r="AC26" i="6"/>
  <c r="AC29" i="6"/>
  <c r="AG92" i="8"/>
  <c r="Y48" i="9"/>
  <c r="AB16" i="9"/>
  <c r="AA7" i="9"/>
  <c r="AA4" i="9"/>
  <c r="AA33" i="9" s="1"/>
  <c r="AA17" i="9"/>
  <c r="AC16" i="8"/>
  <c r="AC9" i="8"/>
  <c r="AD17" i="8"/>
  <c r="Z37" i="8"/>
  <c r="Z48" i="8" s="1"/>
  <c r="Z39" i="8"/>
  <c r="Z45" i="8"/>
  <c r="Z43" i="8"/>
  <c r="Z41" i="8"/>
  <c r="Z42" i="8"/>
  <c r="Z47" i="8"/>
  <c r="Z40" i="8"/>
  <c r="Z44" i="8"/>
  <c r="Z46" i="8"/>
  <c r="Z38" i="8"/>
  <c r="AI24" i="5"/>
  <c r="AI34" i="5" s="1"/>
  <c r="AA12" i="9"/>
  <c r="AA9" i="6"/>
  <c r="AA15" i="6"/>
  <c r="AA68" i="6"/>
  <c r="AJ49" i="5"/>
  <c r="Z81" i="9"/>
  <c r="Z14" i="9"/>
  <c r="Z14" i="5"/>
  <c r="Z13" i="9"/>
  <c r="Z10" i="9"/>
  <c r="Z93" i="9"/>
  <c r="Z79" i="9"/>
  <c r="Z62" i="9"/>
  <c r="Z45" i="9"/>
  <c r="Z31" i="9"/>
  <c r="Z96" i="9"/>
  <c r="Z71" i="9"/>
  <c r="Z53" i="9"/>
  <c r="Z47" i="9"/>
  <c r="Z23" i="9"/>
  <c r="Z88" i="9"/>
  <c r="Z74" i="9"/>
  <c r="Z55" i="9"/>
  <c r="Z38" i="9"/>
  <c r="Z26" i="9"/>
  <c r="Z94" i="9"/>
  <c r="Z69" i="9"/>
  <c r="Z59" i="9"/>
  <c r="Z42" i="9"/>
  <c r="Z87" i="9"/>
  <c r="Z86" i="9"/>
  <c r="Z63" i="9"/>
  <c r="Z61" i="9"/>
  <c r="Z46" i="9"/>
  <c r="Z44" i="9"/>
  <c r="Z25" i="9"/>
  <c r="Z97" i="9"/>
  <c r="Z11" i="9" s="1"/>
  <c r="AA3" i="9" s="1"/>
  <c r="AA6" i="9" s="1"/>
  <c r="Z77" i="9"/>
  <c r="Z60" i="9"/>
  <c r="Z95" i="9"/>
  <c r="Z78" i="9"/>
  <c r="Z21" i="9"/>
  <c r="Z90" i="9"/>
  <c r="Z22" i="9"/>
  <c r="Z54" i="9"/>
  <c r="Z43" i="9"/>
  <c r="Z73" i="9"/>
  <c r="Z91" i="9"/>
  <c r="Z58" i="9"/>
  <c r="Z75" i="9"/>
  <c r="Z29" i="9"/>
  <c r="Z41" i="9"/>
  <c r="Z27" i="9"/>
  <c r="Z28" i="9"/>
  <c r="Z24" i="9"/>
  <c r="Z32" i="9" s="1"/>
  <c r="Z89" i="9"/>
  <c r="Z37" i="9"/>
  <c r="Z92" i="9"/>
  <c r="Z30" i="9"/>
  <c r="Z56" i="9"/>
  <c r="Z76" i="9"/>
  <c r="Z72" i="9"/>
  <c r="Z57" i="9"/>
  <c r="Z40" i="9"/>
  <c r="Z70" i="9"/>
  <c r="Z39" i="9"/>
  <c r="AH61" i="8"/>
  <c r="AH56" i="8"/>
  <c r="AH55" i="8"/>
  <c r="AH60" i="8"/>
  <c r="AH54" i="8"/>
  <c r="AG63" i="8"/>
  <c r="AH63" i="8" s="1"/>
  <c r="AG58" i="8"/>
  <c r="AH58" i="8" s="1"/>
  <c r="AG62" i="8"/>
  <c r="AH62" i="8" s="1"/>
  <c r="AG53" i="8"/>
  <c r="AG64" i="8" s="1"/>
  <c r="AG59" i="8"/>
  <c r="AH59" i="8" s="1"/>
  <c r="AG57" i="8"/>
  <c r="AH57" i="8" s="1"/>
  <c r="AG56" i="8"/>
  <c r="AG54" i="8"/>
  <c r="AG61" i="8"/>
  <c r="AG60" i="8"/>
  <c r="AG55" i="8"/>
  <c r="AG81" i="5"/>
  <c r="AG80" i="5"/>
  <c r="AG79" i="5"/>
  <c r="AG71" i="5"/>
  <c r="AG77" i="5"/>
  <c r="AG76" i="5"/>
  <c r="AG82" i="5"/>
  <c r="AG72" i="5"/>
  <c r="AG75" i="5"/>
  <c r="AG78" i="5"/>
  <c r="AG73" i="5"/>
  <c r="AG74" i="5"/>
  <c r="AH76" i="5"/>
  <c r="AH79" i="5"/>
  <c r="AH71" i="5"/>
  <c r="AH82" i="5"/>
  <c r="AH80" i="5"/>
  <c r="AH78" i="5"/>
  <c r="AH77" i="5"/>
  <c r="AH75" i="5"/>
  <c r="AH72" i="5"/>
  <c r="AH73" i="5"/>
  <c r="AH81" i="5"/>
  <c r="AH74" i="5"/>
  <c r="AJ24" i="5"/>
  <c r="AJ34" i="5" s="1"/>
  <c r="AH50" i="5"/>
  <c r="AB20" i="6"/>
  <c r="AB36" i="6"/>
  <c r="AB35" i="6" s="1"/>
  <c r="AB14" i="6"/>
  <c r="AB16" i="6" s="1"/>
  <c r="AB6" i="6"/>
  <c r="AB7" i="6" s="1"/>
  <c r="AK102" i="5"/>
  <c r="Z31" i="8"/>
  <c r="Z29" i="8"/>
  <c r="Z27" i="8"/>
  <c r="Z25" i="8"/>
  <c r="Z23" i="8"/>
  <c r="Z21" i="8"/>
  <c r="Z32" i="8" s="1"/>
  <c r="Z26" i="8"/>
  <c r="Z28" i="8"/>
  <c r="Z24" i="8"/>
  <c r="Z30" i="8"/>
  <c r="Z22" i="8"/>
  <c r="AI49" i="6"/>
  <c r="AJ49" i="6" s="1"/>
  <c r="AK49" i="6" s="1"/>
  <c r="AI50" i="6"/>
  <c r="AI43" i="6"/>
  <c r="AK43" i="6" s="1"/>
  <c r="AI46" i="6"/>
  <c r="AI45" i="6"/>
  <c r="AJ45" i="6" s="1"/>
  <c r="AK45" i="6" s="1"/>
  <c r="AI40" i="6"/>
  <c r="AK40" i="6" s="1"/>
  <c r="AI47" i="6"/>
  <c r="AJ47" i="6" s="1"/>
  <c r="AK47" i="6" s="1"/>
  <c r="AI48" i="6"/>
  <c r="AI41" i="6"/>
  <c r="AI44" i="6"/>
  <c r="AI42" i="6"/>
  <c r="AJ42" i="6" s="1"/>
  <c r="AA33" i="8"/>
  <c r="AA8" i="8"/>
  <c r="Z6" i="9"/>
  <c r="AK83" i="5"/>
  <c r="AA49" i="8"/>
  <c r="AI42" i="5"/>
  <c r="AJ42" i="5" s="1"/>
  <c r="AD113" i="5"/>
  <c r="AE106" i="5"/>
  <c r="Y75" i="6"/>
  <c r="Y76" i="6" s="1"/>
  <c r="Y77" i="6" s="1"/>
  <c r="Y78" i="6" s="1"/>
  <c r="Y79" i="6" s="1"/>
  <c r="Y80" i="6" s="1"/>
  <c r="Y81" i="6" s="1"/>
  <c r="Y82" i="6" s="1"/>
  <c r="Y83" i="6" s="1"/>
  <c r="Y84" i="6" s="1"/>
  <c r="Z73" i="6" s="1"/>
  <c r="Z74" i="6" s="1"/>
  <c r="Z75" i="6" s="1"/>
  <c r="Z76" i="6" s="1"/>
  <c r="AA77" i="8"/>
  <c r="AA74" i="8"/>
  <c r="AA71" i="8"/>
  <c r="AA73" i="8"/>
  <c r="AA78" i="8"/>
  <c r="AA75" i="8"/>
  <c r="AA76" i="8"/>
  <c r="AA69" i="8"/>
  <c r="AA80" i="8" s="1"/>
  <c r="AA70" i="8"/>
  <c r="AA79" i="8"/>
  <c r="AA72" i="8"/>
  <c r="Z56" i="6"/>
  <c r="Z58" i="6"/>
  <c r="Z63" i="6"/>
  <c r="Z62" i="6"/>
  <c r="Z57" i="6"/>
  <c r="Z67" i="6" s="1"/>
  <c r="Z61" i="6"/>
  <c r="Z59" i="6"/>
  <c r="Z64" i="6"/>
  <c r="Z65" i="6"/>
  <c r="Z60" i="6"/>
  <c r="Z66" i="6"/>
  <c r="AJ102" i="5"/>
  <c r="AJ40" i="5"/>
  <c r="AJ50" i="5" s="1"/>
  <c r="Y80" i="9"/>
  <c r="AK40" i="5"/>
  <c r="AI79" i="5"/>
  <c r="AI71" i="5"/>
  <c r="AI82" i="5"/>
  <c r="AI80" i="5"/>
  <c r="AI78" i="5"/>
  <c r="AI81" i="5"/>
  <c r="AI77" i="5"/>
  <c r="AI75" i="5"/>
  <c r="AI72" i="5"/>
  <c r="AI76" i="5"/>
  <c r="AI74" i="5"/>
  <c r="AI73" i="5"/>
  <c r="AB81" i="8"/>
  <c r="AB11" i="8"/>
  <c r="AB14" i="8"/>
  <c r="AB6" i="8"/>
  <c r="AB15" i="8"/>
  <c r="AB17" i="7"/>
  <c r="AK24" i="5"/>
  <c r="AK34" i="5" s="1"/>
  <c r="AJ46" i="6"/>
  <c r="AJ40" i="6"/>
  <c r="AJ50" i="6"/>
  <c r="AK50" i="6" s="1"/>
  <c r="AJ44" i="6"/>
  <c r="AK44" i="6" s="1"/>
  <c r="AJ48" i="6"/>
  <c r="AJ43" i="6"/>
  <c r="Z12" i="9"/>
  <c r="AJ83" i="5"/>
  <c r="Z64" i="9" l="1"/>
  <c r="Z48" i="9"/>
  <c r="Z77" i="6"/>
  <c r="Z78" i="6" s="1"/>
  <c r="Z79" i="6" s="1"/>
  <c r="Z80" i="6" s="1"/>
  <c r="Z81" i="6" s="1"/>
  <c r="Z82" i="6" s="1"/>
  <c r="Z83" i="6" s="1"/>
  <c r="Z84" i="6" s="1"/>
  <c r="AC36" i="6"/>
  <c r="AC35" i="6" s="1"/>
  <c r="AC20" i="6"/>
  <c r="AC14" i="6"/>
  <c r="AC16" i="6" s="1"/>
  <c r="AC6" i="6"/>
  <c r="AC7" i="6" s="1"/>
  <c r="AB79" i="8"/>
  <c r="AB77" i="8"/>
  <c r="AB75" i="8"/>
  <c r="AB73" i="8"/>
  <c r="AB71" i="8"/>
  <c r="AB69" i="8"/>
  <c r="AB78" i="8"/>
  <c r="AB80" i="8" s="1"/>
  <c r="AB74" i="8"/>
  <c r="AB76" i="8"/>
  <c r="AB70" i="8"/>
  <c r="AB72" i="8"/>
  <c r="Z80" i="9"/>
  <c r="AJ41" i="6"/>
  <c r="AJ51" i="6" s="1"/>
  <c r="AA56" i="6"/>
  <c r="AA67" i="6" s="1"/>
  <c r="AA58" i="6"/>
  <c r="AA62" i="6"/>
  <c r="AA57" i="6"/>
  <c r="AA61" i="6"/>
  <c r="AA59" i="6"/>
  <c r="AA60" i="6"/>
  <c r="AA66" i="6"/>
  <c r="AA63" i="6"/>
  <c r="AA65" i="6"/>
  <c r="AA64" i="6"/>
  <c r="AA81" i="9"/>
  <c r="AA80" i="9" s="1"/>
  <c r="AA14" i="9"/>
  <c r="AA14" i="5"/>
  <c r="AA10" i="9"/>
  <c r="AA13" i="9"/>
  <c r="Y17" i="5"/>
  <c r="AH53" i="8"/>
  <c r="AH64" i="8" s="1"/>
  <c r="AB15" i="6"/>
  <c r="AB68" i="6"/>
  <c r="AB9" i="6"/>
  <c r="AI51" i="6"/>
  <c r="AE113" i="5"/>
  <c r="AF106" i="5"/>
  <c r="AG106" i="5" s="1"/>
  <c r="AG113" i="5" s="1"/>
  <c r="AJ76" i="5"/>
  <c r="AJ80" i="5"/>
  <c r="AJ82" i="5"/>
  <c r="AJ78" i="5"/>
  <c r="AJ81" i="5"/>
  <c r="AJ77" i="5"/>
  <c r="AJ75" i="5"/>
  <c r="AJ72" i="5"/>
  <c r="AJ73" i="5"/>
  <c r="AJ71" i="5"/>
  <c r="AJ74" i="5"/>
  <c r="AJ79" i="5"/>
  <c r="AA93" i="9"/>
  <c r="AA79" i="9"/>
  <c r="AA62" i="9"/>
  <c r="AA45" i="9"/>
  <c r="AA31" i="9"/>
  <c r="AA96" i="9"/>
  <c r="AA71" i="9"/>
  <c r="AA53" i="9"/>
  <c r="AA47" i="9"/>
  <c r="AA23" i="9"/>
  <c r="AA32" i="9" s="1"/>
  <c r="AA88" i="9"/>
  <c r="AA74" i="9"/>
  <c r="AA55" i="9"/>
  <c r="AA38" i="9"/>
  <c r="AA26" i="9"/>
  <c r="AA87" i="9"/>
  <c r="AA86" i="9"/>
  <c r="AA46" i="9"/>
  <c r="AA44" i="9"/>
  <c r="AA25" i="9"/>
  <c r="AA97" i="9"/>
  <c r="AA11" i="9" s="1"/>
  <c r="AB3" i="9" s="1"/>
  <c r="AA59" i="9"/>
  <c r="AA73" i="9"/>
  <c r="AA72" i="9"/>
  <c r="AA28" i="9"/>
  <c r="AA22" i="9"/>
  <c r="AA77" i="9"/>
  <c r="AA60" i="9"/>
  <c r="AA78" i="9"/>
  <c r="AA70" i="9"/>
  <c r="AA61" i="9"/>
  <c r="AA24" i="9"/>
  <c r="AA76" i="9"/>
  <c r="AA90" i="9"/>
  <c r="AA63" i="9"/>
  <c r="AA54" i="9"/>
  <c r="AA91" i="9"/>
  <c r="AA58" i="9"/>
  <c r="AA75" i="9"/>
  <c r="AA92" i="9"/>
  <c r="AA94" i="9"/>
  <c r="AA21" i="9"/>
  <c r="AA41" i="9"/>
  <c r="AA27" i="9"/>
  <c r="AA42" i="9"/>
  <c r="AA69" i="9"/>
  <c r="AA56" i="9"/>
  <c r="AA30" i="9"/>
  <c r="AA37" i="9"/>
  <c r="AA43" i="9"/>
  <c r="AA39" i="9"/>
  <c r="AA29" i="9"/>
  <c r="AA57" i="9"/>
  <c r="AA40" i="9"/>
  <c r="AA89" i="9"/>
  <c r="AA95" i="9"/>
  <c r="AC16" i="9"/>
  <c r="AB4" i="9"/>
  <c r="AB33" i="9" s="1"/>
  <c r="AB7" i="9"/>
  <c r="AB12" i="9" s="1"/>
  <c r="AB17" i="9"/>
  <c r="AI50" i="5"/>
  <c r="AA29" i="8"/>
  <c r="AA23" i="8"/>
  <c r="AA31" i="8"/>
  <c r="AA22" i="8"/>
  <c r="AA25" i="8"/>
  <c r="AA28" i="8"/>
  <c r="AA24" i="8"/>
  <c r="AA26" i="8"/>
  <c r="AA27" i="8"/>
  <c r="AA30" i="8"/>
  <c r="AA21" i="8"/>
  <c r="AA32" i="8"/>
  <c r="AA37" i="8"/>
  <c r="AA48" i="8" s="1"/>
  <c r="AA39" i="8"/>
  <c r="AA45" i="8"/>
  <c r="AA40" i="8"/>
  <c r="AA41" i="8"/>
  <c r="AA42" i="8"/>
  <c r="AA47" i="8"/>
  <c r="AA44" i="8"/>
  <c r="AA46" i="8"/>
  <c r="AA38" i="8"/>
  <c r="AA43" i="8"/>
  <c r="AK42" i="6"/>
  <c r="AD34" i="6"/>
  <c r="AD33" i="6"/>
  <c r="AD4" i="6"/>
  <c r="AD28" i="6"/>
  <c r="AD32" i="6"/>
  <c r="AE19" i="6"/>
  <c r="AD25" i="6"/>
  <c r="AD27" i="6"/>
  <c r="AD31" i="6"/>
  <c r="AD29" i="6"/>
  <c r="AD30" i="6"/>
  <c r="AD26" i="6"/>
  <c r="AD24" i="6"/>
  <c r="AC81" i="8"/>
  <c r="AC14" i="8"/>
  <c r="AC11" i="8"/>
  <c r="AC6" i="8"/>
  <c r="AC17" i="7"/>
  <c r="AC15" i="8"/>
  <c r="AB49" i="8"/>
  <c r="AC7" i="8"/>
  <c r="AC49" i="8" s="1"/>
  <c r="AB33" i="8"/>
  <c r="AB8" i="8"/>
  <c r="Z15" i="5"/>
  <c r="Z16" i="5"/>
  <c r="AE17" i="8"/>
  <c r="AD16" i="8"/>
  <c r="AD9" i="8"/>
  <c r="AK79" i="5"/>
  <c r="AK81" i="5"/>
  <c r="AK80" i="5"/>
  <c r="AK77" i="5"/>
  <c r="AK76" i="5"/>
  <c r="AK82" i="5"/>
  <c r="AK75" i="5"/>
  <c r="AK72" i="5"/>
  <c r="AK78" i="5"/>
  <c r="AK73" i="5"/>
  <c r="AK71" i="5"/>
  <c r="AK74" i="5"/>
  <c r="AK42" i="5"/>
  <c r="AK50" i="5" s="1"/>
  <c r="AD36" i="6" l="1"/>
  <c r="AD35" i="6" s="1"/>
  <c r="AD20" i="6"/>
  <c r="AD14" i="6"/>
  <c r="AD16" i="6" s="1"/>
  <c r="AD6" i="6"/>
  <c r="AD7" i="6" s="1"/>
  <c r="AB58" i="6"/>
  <c r="AB60" i="6"/>
  <c r="AB62" i="6"/>
  <c r="AB57" i="6"/>
  <c r="AB61" i="6"/>
  <c r="AB56" i="6"/>
  <c r="AB59" i="6"/>
  <c r="AB63" i="6"/>
  <c r="AB67" i="6" s="1"/>
  <c r="AB65" i="6"/>
  <c r="AB66" i="6"/>
  <c r="AB64" i="6"/>
  <c r="AC44" i="8"/>
  <c r="AC42" i="8"/>
  <c r="AC40" i="8"/>
  <c r="AC43" i="8"/>
  <c r="AD7" i="8"/>
  <c r="AA15" i="5"/>
  <c r="AA16" i="5"/>
  <c r="AC15" i="6"/>
  <c r="AC68" i="6"/>
  <c r="AC9" i="6"/>
  <c r="AF17" i="8"/>
  <c r="AE16" i="8"/>
  <c r="AE9" i="8"/>
  <c r="AE7" i="8"/>
  <c r="AI106" i="5"/>
  <c r="AI113" i="5" s="1"/>
  <c r="AA73" i="6"/>
  <c r="AA74" i="6" s="1"/>
  <c r="AA75" i="6" s="1"/>
  <c r="AA76" i="6" s="1"/>
  <c r="AA77" i="6" s="1"/>
  <c r="AA78" i="6" s="1"/>
  <c r="AA79" i="6" s="1"/>
  <c r="AA80" i="6" s="1"/>
  <c r="AA81" i="6" s="1"/>
  <c r="AA82" i="6" s="1"/>
  <c r="AA83" i="6" s="1"/>
  <c r="AA84" i="6" s="1"/>
  <c r="AB73" i="6" s="1"/>
  <c r="AB74" i="6" s="1"/>
  <c r="AB75" i="6" s="1"/>
  <c r="AB76" i="6" s="1"/>
  <c r="AB77" i="6" s="1"/>
  <c r="AB78" i="6" s="1"/>
  <c r="AB79" i="6" s="1"/>
  <c r="AB80" i="6" s="1"/>
  <c r="AB81" i="6" s="1"/>
  <c r="AB82" i="6" s="1"/>
  <c r="AB83" i="6" s="1"/>
  <c r="AB29" i="8"/>
  <c r="AB23" i="8"/>
  <c r="AB28" i="8"/>
  <c r="AB24" i="8"/>
  <c r="AB26" i="8"/>
  <c r="AB27" i="8"/>
  <c r="AB31" i="8"/>
  <c r="AB30" i="8"/>
  <c r="AB21" i="8"/>
  <c r="AB32" i="8" s="1"/>
  <c r="AB22" i="8"/>
  <c r="AB25" i="8"/>
  <c r="AB6" i="9"/>
  <c r="AD81" i="8"/>
  <c r="AD14" i="8"/>
  <c r="AD11" i="8"/>
  <c r="AD6" i="8"/>
  <c r="AD15" i="8"/>
  <c r="AD17" i="7"/>
  <c r="AF113" i="5"/>
  <c r="AB39" i="8"/>
  <c r="AC39" i="8" s="1"/>
  <c r="AB41" i="8"/>
  <c r="AC41" i="8" s="1"/>
  <c r="AB37" i="8"/>
  <c r="AC37" i="8" s="1"/>
  <c r="AB42" i="8"/>
  <c r="AB43" i="8"/>
  <c r="AB44" i="8"/>
  <c r="AB40" i="8"/>
  <c r="AB45" i="8"/>
  <c r="AC45" i="8" s="1"/>
  <c r="AB46" i="8"/>
  <c r="AC46" i="8" s="1"/>
  <c r="AB38" i="8"/>
  <c r="AC38" i="8" s="1"/>
  <c r="AB47" i="8"/>
  <c r="AC47" i="8" s="1"/>
  <c r="AH106" i="5"/>
  <c r="AH113" i="5" s="1"/>
  <c r="AB14" i="9"/>
  <c r="AB81" i="9"/>
  <c r="AB14" i="5"/>
  <c r="AB10" i="9"/>
  <c r="AB13" i="9"/>
  <c r="AB96" i="9"/>
  <c r="AB71" i="9"/>
  <c r="AB53" i="9"/>
  <c r="AB64" i="9" s="1"/>
  <c r="AB47" i="9"/>
  <c r="AB88" i="9"/>
  <c r="AB74" i="9"/>
  <c r="AB55" i="9"/>
  <c r="AB38" i="9"/>
  <c r="AB26" i="9"/>
  <c r="AB91" i="9"/>
  <c r="AB77" i="9"/>
  <c r="AB57" i="9"/>
  <c r="AB40" i="9"/>
  <c r="AB29" i="9"/>
  <c r="AB97" i="9"/>
  <c r="AB11" i="9" s="1"/>
  <c r="AC3" i="9" s="1"/>
  <c r="AC6" i="9" s="1"/>
  <c r="AB86" i="9"/>
  <c r="AB72" i="9"/>
  <c r="AB61" i="9"/>
  <c r="AB44" i="9"/>
  <c r="AB46" i="9"/>
  <c r="AB25" i="9"/>
  <c r="AB59" i="9"/>
  <c r="AB73" i="9"/>
  <c r="AB62" i="9"/>
  <c r="AB31" i="9"/>
  <c r="AB28" i="9"/>
  <c r="AB22" i="9"/>
  <c r="AB42" i="9"/>
  <c r="AB78" i="9"/>
  <c r="AB70" i="9"/>
  <c r="AB24" i="9"/>
  <c r="AB30" i="9"/>
  <c r="AB63" i="9"/>
  <c r="AB79" i="9"/>
  <c r="AB54" i="9"/>
  <c r="AB58" i="9"/>
  <c r="AB75" i="9"/>
  <c r="AB93" i="9"/>
  <c r="AB92" i="9"/>
  <c r="AB23" i="9"/>
  <c r="AB76" i="9"/>
  <c r="AB69" i="9"/>
  <c r="AB94" i="9"/>
  <c r="AB90" i="9"/>
  <c r="AB45" i="9"/>
  <c r="AB87" i="9"/>
  <c r="AB37" i="9"/>
  <c r="AB21" i="9"/>
  <c r="AB32" i="9" s="1"/>
  <c r="AB41" i="9"/>
  <c r="AB43" i="9"/>
  <c r="AB27" i="9"/>
  <c r="AB39" i="9"/>
  <c r="AB56" i="9"/>
  <c r="AB60" i="9"/>
  <c r="AB89" i="9"/>
  <c r="AB95" i="9"/>
  <c r="AD16" i="9"/>
  <c r="AC4" i="9"/>
  <c r="AC33" i="9" s="1"/>
  <c r="AC17" i="9"/>
  <c r="AC7" i="9"/>
  <c r="AC79" i="8"/>
  <c r="AC77" i="8"/>
  <c r="AC74" i="8"/>
  <c r="AC73" i="8"/>
  <c r="AC78" i="8"/>
  <c r="AC75" i="8"/>
  <c r="AC72" i="8"/>
  <c r="AC69" i="8"/>
  <c r="AC80" i="8" s="1"/>
  <c r="AC71" i="8"/>
  <c r="AC70" i="8"/>
  <c r="AC76" i="8"/>
  <c r="AA48" i="9"/>
  <c r="Z17" i="5"/>
  <c r="AK41" i="6"/>
  <c r="AK51" i="6" s="1"/>
  <c r="AC33" i="8"/>
  <c r="AC8" i="8"/>
  <c r="AA64" i="9"/>
  <c r="AE34" i="6"/>
  <c r="AE24" i="6"/>
  <c r="AE28" i="6"/>
  <c r="AE32" i="6"/>
  <c r="AF19" i="6"/>
  <c r="AE33" i="6"/>
  <c r="AE4" i="6"/>
  <c r="AE25" i="6"/>
  <c r="AE31" i="6"/>
  <c r="AE27" i="6"/>
  <c r="AE29" i="6"/>
  <c r="AE30" i="6"/>
  <c r="AE26" i="6"/>
  <c r="AC48" i="8" l="1"/>
  <c r="AB84" i="6"/>
  <c r="AB80" i="9"/>
  <c r="AC96" i="9"/>
  <c r="AC71" i="9"/>
  <c r="AC53" i="9"/>
  <c r="AC47" i="9"/>
  <c r="AC23" i="9"/>
  <c r="AC88" i="9"/>
  <c r="AC74" i="9"/>
  <c r="AC55" i="9"/>
  <c r="AC38" i="9"/>
  <c r="AC26" i="9"/>
  <c r="AC91" i="9"/>
  <c r="AC77" i="9"/>
  <c r="AC57" i="9"/>
  <c r="AC40" i="9"/>
  <c r="AC29" i="9"/>
  <c r="AC59" i="9"/>
  <c r="AC44" i="9"/>
  <c r="AC97" i="9"/>
  <c r="AC11" i="9" s="1"/>
  <c r="AD3" i="9" s="1"/>
  <c r="AD6" i="9" s="1"/>
  <c r="AC73" i="9"/>
  <c r="AC62" i="9"/>
  <c r="AC31" i="9"/>
  <c r="AC28" i="9"/>
  <c r="AC22" i="9"/>
  <c r="AC72" i="9"/>
  <c r="AC42" i="9"/>
  <c r="AC90" i="9"/>
  <c r="AC60" i="9"/>
  <c r="AC45" i="9"/>
  <c r="AC24" i="9"/>
  <c r="AC78" i="9"/>
  <c r="AC70" i="9"/>
  <c r="AC61" i="9"/>
  <c r="AC46" i="9"/>
  <c r="AC94" i="9"/>
  <c r="AC75" i="9"/>
  <c r="AC79" i="9"/>
  <c r="AC54" i="9"/>
  <c r="AC93" i="9"/>
  <c r="AC92" i="9"/>
  <c r="AC76" i="9"/>
  <c r="AC69" i="9"/>
  <c r="AC58" i="9"/>
  <c r="AC21" i="9"/>
  <c r="AC32" i="9" s="1"/>
  <c r="AC87" i="9"/>
  <c r="AC37" i="9"/>
  <c r="AC30" i="9"/>
  <c r="AC41" i="9"/>
  <c r="AC43" i="9"/>
  <c r="AC27" i="9"/>
  <c r="AC39" i="9"/>
  <c r="AC86" i="9"/>
  <c r="AC25" i="9"/>
  <c r="AC56" i="9"/>
  <c r="AC63" i="9"/>
  <c r="AC89" i="9"/>
  <c r="AC95" i="9"/>
  <c r="AD7" i="9"/>
  <c r="AD12" i="9" s="1"/>
  <c r="AE16" i="9"/>
  <c r="AD17" i="9"/>
  <c r="AD4" i="9"/>
  <c r="AD33" i="9" s="1"/>
  <c r="AB48" i="8"/>
  <c r="AC81" i="9"/>
  <c r="AC14" i="9"/>
  <c r="AC14" i="5"/>
  <c r="AC10" i="9"/>
  <c r="AC13" i="9"/>
  <c r="AC26" i="8"/>
  <c r="AC28" i="8"/>
  <c r="AC24" i="8"/>
  <c r="AC27" i="8"/>
  <c r="AC31" i="8"/>
  <c r="AC29" i="8"/>
  <c r="AC23" i="8"/>
  <c r="AC30" i="8"/>
  <c r="AC21" i="8"/>
  <c r="AC32" i="8" s="1"/>
  <c r="AC22" i="8"/>
  <c r="AC25" i="8"/>
  <c r="AB15" i="5"/>
  <c r="AB16" i="5"/>
  <c r="AD79" i="8"/>
  <c r="AD77" i="8"/>
  <c r="AD75" i="8"/>
  <c r="AD73" i="8"/>
  <c r="AD71" i="8"/>
  <c r="AD69" i="8"/>
  <c r="AD80" i="8" s="1"/>
  <c r="AD74" i="8"/>
  <c r="AD78" i="8"/>
  <c r="AD72" i="8"/>
  <c r="AD70" i="8"/>
  <c r="AD76" i="8"/>
  <c r="AC58" i="6"/>
  <c r="AC61" i="6"/>
  <c r="AC56" i="6"/>
  <c r="AC62" i="6"/>
  <c r="AC59" i="6"/>
  <c r="AC60" i="6"/>
  <c r="AC57" i="6"/>
  <c r="AC67" i="6" s="1"/>
  <c r="AC66" i="6"/>
  <c r="AC65" i="6"/>
  <c r="AC64" i="6"/>
  <c r="AC63" i="6"/>
  <c r="AJ106" i="5"/>
  <c r="AA17" i="5"/>
  <c r="AD68" i="6"/>
  <c r="AD15" i="6"/>
  <c r="AD9" i="6"/>
  <c r="AF16" i="8"/>
  <c r="AF9" i="8"/>
  <c r="AG17" i="8"/>
  <c r="AE49" i="8"/>
  <c r="AF7" i="8"/>
  <c r="AF49" i="8" s="1"/>
  <c r="AD33" i="8"/>
  <c r="AD8" i="8"/>
  <c r="AE20" i="6"/>
  <c r="AE36" i="6"/>
  <c r="AE35" i="6" s="1"/>
  <c r="AE14" i="6"/>
  <c r="AE16" i="6" s="1"/>
  <c r="AE6" i="6"/>
  <c r="AE7" i="6" s="1"/>
  <c r="AD49" i="8"/>
  <c r="AG7" i="8"/>
  <c r="AG49" i="8" s="1"/>
  <c r="AB48" i="9"/>
  <c r="AE14" i="8"/>
  <c r="AE81" i="8"/>
  <c r="AE11" i="8"/>
  <c r="AE6" i="8"/>
  <c r="AE15" i="8"/>
  <c r="AE17" i="7"/>
  <c r="AF4" i="6"/>
  <c r="AF32" i="6"/>
  <c r="AG19" i="6"/>
  <c r="AF27" i="6"/>
  <c r="AF33" i="6"/>
  <c r="AF34" i="6"/>
  <c r="AF25" i="6"/>
  <c r="AF31" i="6"/>
  <c r="AF28" i="6"/>
  <c r="AF29" i="6"/>
  <c r="AF30" i="6"/>
  <c r="AF26" i="6"/>
  <c r="AF24" i="6"/>
  <c r="AC12" i="9"/>
  <c r="AC48" i="9" l="1"/>
  <c r="AE71" i="8"/>
  <c r="AE77" i="8"/>
  <c r="AE74" i="8"/>
  <c r="AE73" i="8"/>
  <c r="AE78" i="8"/>
  <c r="AE69" i="8"/>
  <c r="AE80" i="8" s="1"/>
  <c r="AE70" i="8"/>
  <c r="AE75" i="8"/>
  <c r="AE79" i="8"/>
  <c r="AE76" i="8"/>
  <c r="AE72" i="8"/>
  <c r="AD88" i="9"/>
  <c r="AD74" i="9"/>
  <c r="AD55" i="9"/>
  <c r="AD38" i="9"/>
  <c r="AD26" i="9"/>
  <c r="AD91" i="9"/>
  <c r="AD77" i="9"/>
  <c r="AD57" i="9"/>
  <c r="AD40" i="9"/>
  <c r="AD29" i="9"/>
  <c r="AD94" i="9"/>
  <c r="AD69" i="9"/>
  <c r="AD59" i="9"/>
  <c r="AD42" i="9"/>
  <c r="AD21" i="9"/>
  <c r="AD32" i="9" s="1"/>
  <c r="AD89" i="9"/>
  <c r="AD75" i="9"/>
  <c r="AD63" i="9"/>
  <c r="AD46" i="9"/>
  <c r="AD97" i="9"/>
  <c r="AD11" i="9" s="1"/>
  <c r="AE3" i="9" s="1"/>
  <c r="AD73" i="9"/>
  <c r="AD62" i="9"/>
  <c r="AD47" i="9"/>
  <c r="AD31" i="9"/>
  <c r="AD28" i="9"/>
  <c r="AD22" i="9"/>
  <c r="AD72" i="9"/>
  <c r="AD90" i="9"/>
  <c r="AD60" i="9"/>
  <c r="AD45" i="9"/>
  <c r="AD24" i="9"/>
  <c r="AD61" i="9"/>
  <c r="AD96" i="9"/>
  <c r="AD87" i="9"/>
  <c r="AD76" i="9"/>
  <c r="AD93" i="9"/>
  <c r="AD71" i="9"/>
  <c r="AD70" i="9"/>
  <c r="AD92" i="9"/>
  <c r="AD54" i="9"/>
  <c r="AD23" i="9"/>
  <c r="AD58" i="9"/>
  <c r="AD79" i="9"/>
  <c r="AD44" i="9"/>
  <c r="AD37" i="9"/>
  <c r="AD30" i="9"/>
  <c r="AD56" i="9"/>
  <c r="AD27" i="9"/>
  <c r="AD41" i="9"/>
  <c r="AD43" i="9"/>
  <c r="AD39" i="9"/>
  <c r="AD86" i="9"/>
  <c r="AD25" i="9"/>
  <c r="AD53" i="9"/>
  <c r="AD78" i="9"/>
  <c r="AD95" i="9"/>
  <c r="AE68" i="6"/>
  <c r="AE15" i="6"/>
  <c r="AE9" i="6"/>
  <c r="AD31" i="8"/>
  <c r="AD28" i="8"/>
  <c r="AD25" i="8"/>
  <c r="AD27" i="8"/>
  <c r="AD26" i="8"/>
  <c r="AD29" i="8"/>
  <c r="AD23" i="8"/>
  <c r="AD30" i="8"/>
  <c r="AD21" i="8"/>
  <c r="AD32" i="8" s="1"/>
  <c r="AD22" i="8"/>
  <c r="AD24" i="8"/>
  <c r="AG28" i="6"/>
  <c r="AG32" i="6"/>
  <c r="AH19" i="6"/>
  <c r="AG27" i="6"/>
  <c r="AG34" i="6"/>
  <c r="AG4" i="6"/>
  <c r="AG25" i="6"/>
  <c r="AG31" i="6"/>
  <c r="AG26" i="6"/>
  <c r="AG29" i="6"/>
  <c r="AG24" i="6"/>
  <c r="AG33" i="6"/>
  <c r="AG30" i="6"/>
  <c r="AF36" i="6"/>
  <c r="AF35" i="6" s="1"/>
  <c r="AF14" i="6"/>
  <c r="AF16" i="6" s="1"/>
  <c r="AF20" i="6"/>
  <c r="AF6" i="6"/>
  <c r="AF7" i="6" s="1"/>
  <c r="AE43" i="8"/>
  <c r="AE40" i="8"/>
  <c r="AF40" i="8" s="1"/>
  <c r="AE42" i="8"/>
  <c r="AF42" i="8" s="1"/>
  <c r="AG42" i="8" s="1"/>
  <c r="AE37" i="8"/>
  <c r="AF37" i="8" s="1"/>
  <c r="AE44" i="8"/>
  <c r="AE39" i="8"/>
  <c r="AE38" i="8"/>
  <c r="AE46" i="8"/>
  <c r="AE45" i="8"/>
  <c r="AE47" i="8"/>
  <c r="AH17" i="8"/>
  <c r="AG9" i="8"/>
  <c r="AG16" i="8"/>
  <c r="AJ113" i="5"/>
  <c r="AK106" i="5"/>
  <c r="AK113" i="5" s="1"/>
  <c r="AB17" i="5"/>
  <c r="AD60" i="6"/>
  <c r="AD62" i="6"/>
  <c r="AD58" i="6"/>
  <c r="AD65" i="6"/>
  <c r="AD61" i="6"/>
  <c r="AD56" i="6"/>
  <c r="AD57" i="6"/>
  <c r="AD67" i="6" s="1"/>
  <c r="AD66" i="6"/>
  <c r="AD64" i="6"/>
  <c r="AD59" i="6"/>
  <c r="AD63" i="6"/>
  <c r="AC15" i="5"/>
  <c r="AC16" i="5"/>
  <c r="AC73" i="6"/>
  <c r="AC74" i="6" s="1"/>
  <c r="AC75" i="6" s="1"/>
  <c r="AC76" i="6" s="1"/>
  <c r="AC77" i="6" s="1"/>
  <c r="AC78" i="6" s="1"/>
  <c r="AC79" i="6" s="1"/>
  <c r="AC80" i="6" s="1"/>
  <c r="AC81" i="6" s="1"/>
  <c r="AC82" i="6" s="1"/>
  <c r="AC83" i="6" s="1"/>
  <c r="AC84" i="6" s="1"/>
  <c r="AD73" i="6" s="1"/>
  <c r="AD74" i="6" s="1"/>
  <c r="AD75" i="6" s="1"/>
  <c r="AD76" i="6" s="1"/>
  <c r="AD77" i="6" s="1"/>
  <c r="AD78" i="6" s="1"/>
  <c r="AD79" i="6" s="1"/>
  <c r="AD80" i="6" s="1"/>
  <c r="AD81" i="6" s="1"/>
  <c r="AD82" i="6" s="1"/>
  <c r="AD83" i="6" s="1"/>
  <c r="AF16" i="9"/>
  <c r="AE7" i="9"/>
  <c r="AE4" i="9"/>
  <c r="AE33" i="9" s="1"/>
  <c r="AE17" i="9"/>
  <c r="AD41" i="8"/>
  <c r="AD43" i="8"/>
  <c r="AG43" i="8" s="1"/>
  <c r="AD40" i="8"/>
  <c r="AD42" i="8"/>
  <c r="AD37" i="8"/>
  <c r="AD44" i="8"/>
  <c r="AF44" i="8" s="1"/>
  <c r="AD39" i="8"/>
  <c r="AF39" i="8" s="1"/>
  <c r="AD38" i="8"/>
  <c r="AD46" i="8"/>
  <c r="AD47" i="8"/>
  <c r="AD45" i="8"/>
  <c r="AG45" i="8" s="1"/>
  <c r="AC64" i="9"/>
  <c r="AE33" i="8"/>
  <c r="AE8" i="8"/>
  <c r="AH7" i="8"/>
  <c r="AH49" i="8" s="1"/>
  <c r="AD81" i="9"/>
  <c r="AD14" i="9"/>
  <c r="AD14" i="5"/>
  <c r="AD10" i="9"/>
  <c r="AD13" i="9"/>
  <c r="AF43" i="8"/>
  <c r="AF45" i="8"/>
  <c r="AF81" i="8"/>
  <c r="AF14" i="8"/>
  <c r="AF6" i="8"/>
  <c r="AF11" i="8"/>
  <c r="AF15" i="8"/>
  <c r="AF17" i="7"/>
  <c r="AC80" i="9"/>
  <c r="AE88" i="9" l="1"/>
  <c r="AE74" i="9"/>
  <c r="AE55" i="9"/>
  <c r="AE38" i="9"/>
  <c r="AE26" i="9"/>
  <c r="AE91" i="9"/>
  <c r="AE77" i="9"/>
  <c r="AE57" i="9"/>
  <c r="AE40" i="9"/>
  <c r="AE29" i="9"/>
  <c r="AE94" i="9"/>
  <c r="AE69" i="9"/>
  <c r="AE59" i="9"/>
  <c r="AE42" i="9"/>
  <c r="AE21" i="9"/>
  <c r="AE32" i="9" s="1"/>
  <c r="AE97" i="9"/>
  <c r="AE11" i="9" s="1"/>
  <c r="AF3" i="9" s="1"/>
  <c r="AE72" i="9"/>
  <c r="AE90" i="9"/>
  <c r="AE60" i="9"/>
  <c r="AE45" i="9"/>
  <c r="AE24" i="9"/>
  <c r="AE43" i="9"/>
  <c r="AE27" i="9"/>
  <c r="AE46" i="9"/>
  <c r="AE96" i="9"/>
  <c r="AE87" i="9"/>
  <c r="AE76" i="9"/>
  <c r="AE30" i="9"/>
  <c r="AE25" i="9"/>
  <c r="AE47" i="9"/>
  <c r="AE22" i="9"/>
  <c r="AE70" i="9"/>
  <c r="AE92" i="9"/>
  <c r="AE75" i="9"/>
  <c r="AE73" i="9"/>
  <c r="AE54" i="9"/>
  <c r="AE93" i="9"/>
  <c r="AE23" i="9"/>
  <c r="AE61" i="9"/>
  <c r="AE62" i="9"/>
  <c r="AE58" i="9"/>
  <c r="AE79" i="9"/>
  <c r="AE44" i="9"/>
  <c r="AE37" i="9"/>
  <c r="AE28" i="9"/>
  <c r="AE89" i="9"/>
  <c r="AE56" i="9"/>
  <c r="AE53" i="9"/>
  <c r="AE86" i="9"/>
  <c r="AE39" i="9"/>
  <c r="AE71" i="9"/>
  <c r="AE78" i="9"/>
  <c r="AE63" i="9"/>
  <c r="AE95" i="9"/>
  <c r="AE31" i="9"/>
  <c r="AE41" i="9"/>
  <c r="AG14" i="8"/>
  <c r="AG6" i="8"/>
  <c r="AG81" i="8"/>
  <c r="AG11" i="8"/>
  <c r="AG15" i="8"/>
  <c r="AG17" i="7"/>
  <c r="AE81" i="9"/>
  <c r="AE14" i="9"/>
  <c r="AE14" i="5"/>
  <c r="AE10" i="9"/>
  <c r="AE13" i="9"/>
  <c r="AE60" i="6"/>
  <c r="AE65" i="6"/>
  <c r="AE61" i="6"/>
  <c r="AE56" i="6"/>
  <c r="AE66" i="6"/>
  <c r="AE62" i="6"/>
  <c r="AE57" i="6"/>
  <c r="AE67" i="6" s="1"/>
  <c r="AE58" i="6"/>
  <c r="AE64" i="6"/>
  <c r="AE63" i="6"/>
  <c r="AE59" i="6"/>
  <c r="AD80" i="9"/>
  <c r="AF46" i="8"/>
  <c r="AG40" i="8"/>
  <c r="AH40" i="8" s="1"/>
  <c r="AH16" i="8"/>
  <c r="AH9" i="8"/>
  <c r="AD84" i="6"/>
  <c r="AH45" i="8"/>
  <c r="AH39" i="8"/>
  <c r="AH43" i="8"/>
  <c r="AH42" i="8"/>
  <c r="AF38" i="8"/>
  <c r="AG38" i="8" s="1"/>
  <c r="AD48" i="9"/>
  <c r="AD15" i="5"/>
  <c r="AD16" i="5"/>
  <c r="AF7" i="9"/>
  <c r="AF4" i="9"/>
  <c r="AF33" i="9" s="1"/>
  <c r="AG16" i="9"/>
  <c r="AF17" i="9"/>
  <c r="AG36" i="6"/>
  <c r="AG35" i="6" s="1"/>
  <c r="AG14" i="6"/>
  <c r="AG16" i="6" s="1"/>
  <c r="AG20" i="6"/>
  <c r="AG6" i="6"/>
  <c r="AG7" i="6" s="1"/>
  <c r="AD48" i="8"/>
  <c r="AG39" i="8"/>
  <c r="AC17" i="5"/>
  <c r="AH27" i="6"/>
  <c r="AH31" i="6"/>
  <c r="AH32" i="6"/>
  <c r="AH33" i="6"/>
  <c r="AH34" i="6"/>
  <c r="AH4" i="6"/>
  <c r="AH24" i="6"/>
  <c r="AH25" i="6"/>
  <c r="AI19" i="6"/>
  <c r="AH28" i="6"/>
  <c r="AH29" i="6"/>
  <c r="AH26" i="6"/>
  <c r="AH30" i="6"/>
  <c r="AE28" i="8"/>
  <c r="AE25" i="8"/>
  <c r="AE22" i="8"/>
  <c r="AE27" i="8"/>
  <c r="AE26" i="8"/>
  <c r="AE31" i="8"/>
  <c r="AE29" i="8"/>
  <c r="AE30" i="8"/>
  <c r="AE21" i="8"/>
  <c r="AE32" i="8" s="1"/>
  <c r="AE23" i="8"/>
  <c r="AE24" i="8"/>
  <c r="AE48" i="8"/>
  <c r="AG37" i="8"/>
  <c r="AH37" i="8" s="1"/>
  <c r="AF68" i="6"/>
  <c r="AF15" i="6"/>
  <c r="AF9" i="6"/>
  <c r="AG44" i="8"/>
  <c r="AH44" i="8" s="1"/>
  <c r="AD64" i="9"/>
  <c r="AF47" i="8"/>
  <c r="AG47" i="8" s="1"/>
  <c r="AE41" i="8"/>
  <c r="AF41" i="8" s="1"/>
  <c r="AE6" i="9"/>
  <c r="AE12" i="9"/>
  <c r="AF33" i="8"/>
  <c r="AF8" i="8"/>
  <c r="AF71" i="8"/>
  <c r="AF77" i="8"/>
  <c r="AF72" i="8"/>
  <c r="AF73" i="8"/>
  <c r="AF70" i="8"/>
  <c r="AF78" i="8"/>
  <c r="AF79" i="8"/>
  <c r="AF69" i="8"/>
  <c r="AF74" i="8"/>
  <c r="AF80" i="8" s="1"/>
  <c r="AF75" i="8"/>
  <c r="AF76" i="8"/>
  <c r="AG41" i="8" l="1"/>
  <c r="AH41" i="8" s="1"/>
  <c r="AF6" i="9"/>
  <c r="AI32" i="6"/>
  <c r="AJ19" i="6"/>
  <c r="AI27" i="6"/>
  <c r="AI31" i="6"/>
  <c r="AI33" i="6"/>
  <c r="AI24" i="6"/>
  <c r="AI25" i="6"/>
  <c r="AI28" i="6"/>
  <c r="AI34" i="6"/>
  <c r="AI29" i="6"/>
  <c r="AI4" i="6"/>
  <c r="AI30" i="6"/>
  <c r="AI26" i="6"/>
  <c r="AH36" i="6"/>
  <c r="AH35" i="6" s="1"/>
  <c r="AH6" i="6"/>
  <c r="AH7" i="6" s="1"/>
  <c r="AH14" i="6"/>
  <c r="AH16" i="6" s="1"/>
  <c r="AH20" i="6"/>
  <c r="AE48" i="9"/>
  <c r="AH47" i="8"/>
  <c r="AE15" i="5"/>
  <c r="AE16" i="5"/>
  <c r="AF81" i="9"/>
  <c r="AF14" i="9"/>
  <c r="AF14" i="5"/>
  <c r="AF10" i="9"/>
  <c r="AF13" i="9"/>
  <c r="AD17" i="5"/>
  <c r="AE64" i="9"/>
  <c r="AG15" i="6"/>
  <c r="AG9" i="6"/>
  <c r="AG68" i="6"/>
  <c r="AF28" i="8"/>
  <c r="AF25" i="8"/>
  <c r="AF22" i="8"/>
  <c r="AF32" i="8" s="1"/>
  <c r="AF31" i="8"/>
  <c r="AF27" i="8"/>
  <c r="AF26" i="8"/>
  <c r="AF29" i="8"/>
  <c r="AF30" i="8"/>
  <c r="AF21" i="8"/>
  <c r="AF23" i="8"/>
  <c r="AF24" i="8"/>
  <c r="AG46" i="8"/>
  <c r="AH46" i="8" s="1"/>
  <c r="AG48" i="8"/>
  <c r="AE73" i="6"/>
  <c r="AE74" i="6" s="1"/>
  <c r="AE75" i="6" s="1"/>
  <c r="AE76" i="6" s="1"/>
  <c r="AE77" i="6" s="1"/>
  <c r="AE78" i="6" s="1"/>
  <c r="AE79" i="6" s="1"/>
  <c r="AE80" i="6" s="1"/>
  <c r="AE81" i="6" s="1"/>
  <c r="AE82" i="6" s="1"/>
  <c r="AE83" i="6" s="1"/>
  <c r="AE84" i="6" s="1"/>
  <c r="AF73" i="6" s="1"/>
  <c r="AF74" i="6" s="1"/>
  <c r="AE80" i="9"/>
  <c r="AF48" i="8"/>
  <c r="AG77" i="8"/>
  <c r="AG72" i="8"/>
  <c r="AG69" i="8"/>
  <c r="AG78" i="8"/>
  <c r="AG79" i="8"/>
  <c r="AG71" i="8"/>
  <c r="AG70" i="8"/>
  <c r="AG74" i="8"/>
  <c r="AG75" i="8"/>
  <c r="AG73" i="8"/>
  <c r="AG80" i="8" s="1"/>
  <c r="AG76" i="8"/>
  <c r="AF12" i="9"/>
  <c r="AH38" i="8"/>
  <c r="AH48" i="8" s="1"/>
  <c r="AH14" i="8"/>
  <c r="AH6" i="8"/>
  <c r="AH81" i="8"/>
  <c r="AH11" i="8"/>
  <c r="AH15" i="8"/>
  <c r="AH17" i="7"/>
  <c r="AF91" i="9"/>
  <c r="AF77" i="9"/>
  <c r="AF57" i="9"/>
  <c r="AF40" i="9"/>
  <c r="AF29" i="9"/>
  <c r="AF94" i="9"/>
  <c r="AF69" i="9"/>
  <c r="AF59" i="9"/>
  <c r="AF42" i="9"/>
  <c r="AF21" i="9"/>
  <c r="AF32" i="9" s="1"/>
  <c r="AF97" i="9"/>
  <c r="AF11" i="9" s="1"/>
  <c r="AG3" i="9" s="1"/>
  <c r="AG6" i="9" s="1"/>
  <c r="AF86" i="9"/>
  <c r="AF72" i="9"/>
  <c r="AF61" i="9"/>
  <c r="AF44" i="9"/>
  <c r="AF24" i="9"/>
  <c r="AF92" i="9"/>
  <c r="AF78" i="9"/>
  <c r="AF54" i="9"/>
  <c r="AF37" i="9"/>
  <c r="AF90" i="9"/>
  <c r="AF60" i="9"/>
  <c r="AF45" i="9"/>
  <c r="AF43" i="9"/>
  <c r="AF27" i="9"/>
  <c r="AF93" i="9"/>
  <c r="AF89" i="9"/>
  <c r="AF58" i="9"/>
  <c r="AF96" i="9"/>
  <c r="AF87" i="9"/>
  <c r="AF76" i="9"/>
  <c r="AF30" i="9"/>
  <c r="AF25" i="9"/>
  <c r="AF31" i="9"/>
  <c r="AF62" i="9"/>
  <c r="AF70" i="9"/>
  <c r="AF46" i="9"/>
  <c r="AF23" i="9"/>
  <c r="AF74" i="9"/>
  <c r="AF22" i="9"/>
  <c r="AF79" i="9"/>
  <c r="AF28" i="9"/>
  <c r="AF88" i="9"/>
  <c r="AF56" i="9"/>
  <c r="AF53" i="9"/>
  <c r="AF73" i="9"/>
  <c r="AF95" i="9"/>
  <c r="AF75" i="9"/>
  <c r="AF63" i="9"/>
  <c r="AF41" i="9"/>
  <c r="AF55" i="9"/>
  <c r="AF39" i="9"/>
  <c r="AF71" i="9"/>
  <c r="AF26" i="9"/>
  <c r="AF38" i="9"/>
  <c r="AF47" i="9"/>
  <c r="AG33" i="8"/>
  <c r="AG8" i="8"/>
  <c r="AF62" i="6"/>
  <c r="AF64" i="6"/>
  <c r="AF61" i="6"/>
  <c r="AF56" i="6"/>
  <c r="AF66" i="6"/>
  <c r="AF57" i="6"/>
  <c r="AF67" i="6" s="1"/>
  <c r="AF60" i="6"/>
  <c r="AF65" i="6"/>
  <c r="AF63" i="6"/>
  <c r="AF58" i="6"/>
  <c r="AF59" i="6"/>
  <c r="AG7" i="9"/>
  <c r="AG4" i="9"/>
  <c r="AG33" i="9" s="1"/>
  <c r="AH16" i="9"/>
  <c r="AG17" i="9"/>
  <c r="AI36" i="6" l="1"/>
  <c r="AI35" i="6" s="1"/>
  <c r="AI14" i="6"/>
  <c r="AI16" i="6" s="1"/>
  <c r="AI6" i="6"/>
  <c r="AI7" i="6" s="1"/>
  <c r="AI20" i="6"/>
  <c r="AG91" i="9"/>
  <c r="AG77" i="9"/>
  <c r="AG57" i="9"/>
  <c r="AG40" i="9"/>
  <c r="AG29" i="9"/>
  <c r="AG94" i="9"/>
  <c r="AG69" i="9"/>
  <c r="AG59" i="9"/>
  <c r="AG42" i="9"/>
  <c r="AG21" i="9"/>
  <c r="AG32" i="9" s="1"/>
  <c r="AG97" i="9"/>
  <c r="AG11" i="9" s="1"/>
  <c r="AH3" i="9" s="1"/>
  <c r="AH6" i="9" s="1"/>
  <c r="AG86" i="9"/>
  <c r="AG72" i="9"/>
  <c r="AG61" i="9"/>
  <c r="AG44" i="9"/>
  <c r="AG24" i="9"/>
  <c r="AG90" i="9"/>
  <c r="AG43" i="9"/>
  <c r="AG27" i="9"/>
  <c r="AG93" i="9"/>
  <c r="AG89" i="9"/>
  <c r="AG58" i="9"/>
  <c r="AG76" i="9"/>
  <c r="AG30" i="9"/>
  <c r="AG25" i="9"/>
  <c r="AG31" i="9"/>
  <c r="AG75" i="9"/>
  <c r="AG95" i="9"/>
  <c r="AG63" i="9"/>
  <c r="AG41" i="9"/>
  <c r="AG70" i="9"/>
  <c r="AG60" i="9"/>
  <c r="AG55" i="9"/>
  <c r="AG74" i="9"/>
  <c r="AG22" i="9"/>
  <c r="AG87" i="9"/>
  <c r="AG78" i="9"/>
  <c r="AG23" i="9"/>
  <c r="AG46" i="9"/>
  <c r="AG28" i="9"/>
  <c r="AG88" i="9"/>
  <c r="AG56" i="9"/>
  <c r="AG53" i="9"/>
  <c r="AG37" i="9"/>
  <c r="AG73" i="9"/>
  <c r="AG92" i="9"/>
  <c r="AG39" i="9"/>
  <c r="AG79" i="9"/>
  <c r="AG45" i="9"/>
  <c r="AG62" i="9"/>
  <c r="AG26" i="9"/>
  <c r="AG38" i="9"/>
  <c r="AG71" i="9"/>
  <c r="AG47" i="9"/>
  <c r="AG54" i="9"/>
  <c r="AG96" i="9"/>
  <c r="AH33" i="8"/>
  <c r="AH8" i="8"/>
  <c r="AF80" i="9"/>
  <c r="AG81" i="9"/>
  <c r="AG80" i="9" s="1"/>
  <c r="AG14" i="9"/>
  <c r="AG14" i="5"/>
  <c r="AG10" i="9"/>
  <c r="AG13" i="9"/>
  <c r="AH68" i="6"/>
  <c r="AH15" i="6"/>
  <c r="AH9" i="6"/>
  <c r="AH17" i="9"/>
  <c r="AH7" i="9"/>
  <c r="AH12" i="9" s="1"/>
  <c r="AH4" i="9"/>
  <c r="AH33" i="9" s="1"/>
  <c r="AI16" i="9"/>
  <c r="AE17" i="5"/>
  <c r="AF64" i="9"/>
  <c r="AF75" i="6"/>
  <c r="AF76" i="6" s="1"/>
  <c r="AF77" i="6" s="1"/>
  <c r="AF78" i="6" s="1"/>
  <c r="AF79" i="6" s="1"/>
  <c r="AF80" i="6" s="1"/>
  <c r="AF81" i="6" s="1"/>
  <c r="AF82" i="6" s="1"/>
  <c r="AF83" i="6" s="1"/>
  <c r="AF84" i="6" s="1"/>
  <c r="AG73" i="6" s="1"/>
  <c r="AF48" i="9"/>
  <c r="AF15" i="5"/>
  <c r="AF16" i="5"/>
  <c r="AH76" i="8"/>
  <c r="AH77" i="8"/>
  <c r="AH72" i="8"/>
  <c r="AH71" i="8"/>
  <c r="AH80" i="8" s="1"/>
  <c r="AH78" i="8"/>
  <c r="AH79" i="8"/>
  <c r="AH69" i="8"/>
  <c r="AH70" i="8"/>
  <c r="AH74" i="8"/>
  <c r="AH73" i="8"/>
  <c r="AH75" i="8"/>
  <c r="AG62" i="6"/>
  <c r="AG56" i="6"/>
  <c r="AG61" i="6"/>
  <c r="AG66" i="6"/>
  <c r="AG60" i="6"/>
  <c r="AG63" i="6"/>
  <c r="AG57" i="6"/>
  <c r="AG67" i="6" s="1"/>
  <c r="AG65" i="6"/>
  <c r="AG58" i="6"/>
  <c r="AG64" i="6"/>
  <c r="AG59" i="6"/>
  <c r="AG12" i="9"/>
  <c r="AJ27" i="6"/>
  <c r="AJ31" i="6"/>
  <c r="AJ33" i="6"/>
  <c r="AJ34" i="6"/>
  <c r="AJ4" i="6"/>
  <c r="AJ24" i="6"/>
  <c r="AJ25" i="6"/>
  <c r="AJ26" i="6"/>
  <c r="AK19" i="6"/>
  <c r="AJ28" i="6"/>
  <c r="AJ29" i="6"/>
  <c r="AJ30" i="6"/>
  <c r="AJ32" i="6"/>
  <c r="AG31" i="8"/>
  <c r="AG28" i="8"/>
  <c r="AG25" i="8"/>
  <c r="AG22" i="8"/>
  <c r="AG26" i="8"/>
  <c r="AG27" i="8"/>
  <c r="AG29" i="8"/>
  <c r="AG30" i="8"/>
  <c r="AG21" i="8"/>
  <c r="AG32" i="8" s="1"/>
  <c r="AG24" i="8"/>
  <c r="AG23" i="8"/>
  <c r="AH23" i="8" l="1"/>
  <c r="AH28" i="8"/>
  <c r="AH25" i="8"/>
  <c r="AH22" i="8"/>
  <c r="AH31" i="8"/>
  <c r="AH24" i="8"/>
  <c r="AH27" i="8"/>
  <c r="AH29" i="8"/>
  <c r="AH30" i="8"/>
  <c r="AH26" i="8"/>
  <c r="AH21" i="8"/>
  <c r="AH32" i="8" s="1"/>
  <c r="AG74" i="6"/>
  <c r="AG75" i="6" s="1"/>
  <c r="AG76" i="6" s="1"/>
  <c r="AG77" i="6" s="1"/>
  <c r="AG78" i="6" s="1"/>
  <c r="AG79" i="6" s="1"/>
  <c r="AG80" i="6" s="1"/>
  <c r="AG81" i="6" s="1"/>
  <c r="AG82" i="6" s="1"/>
  <c r="AG83" i="6" s="1"/>
  <c r="AG84" i="6" s="1"/>
  <c r="AH73" i="6" s="1"/>
  <c r="AH74" i="6" s="1"/>
  <c r="AH94" i="9"/>
  <c r="AH69" i="9"/>
  <c r="AH59" i="9"/>
  <c r="AH42" i="9"/>
  <c r="AH97" i="9"/>
  <c r="AH11" i="9" s="1"/>
  <c r="AI3" i="9" s="1"/>
  <c r="AI6" i="9" s="1"/>
  <c r="AH86" i="9"/>
  <c r="AH72" i="9"/>
  <c r="AH61" i="9"/>
  <c r="AH44" i="9"/>
  <c r="AH24" i="9"/>
  <c r="AH89" i="9"/>
  <c r="AH75" i="9"/>
  <c r="AH63" i="9"/>
  <c r="AH46" i="9"/>
  <c r="AH27" i="9"/>
  <c r="AH95" i="9"/>
  <c r="AH70" i="9"/>
  <c r="AH56" i="9"/>
  <c r="AH39" i="9"/>
  <c r="AH43" i="9"/>
  <c r="AH93" i="9"/>
  <c r="AH58" i="9"/>
  <c r="AH76" i="9"/>
  <c r="AH30" i="9"/>
  <c r="AH41" i="9"/>
  <c r="AH31" i="9"/>
  <c r="AH47" i="9"/>
  <c r="AH60" i="9"/>
  <c r="AH55" i="9"/>
  <c r="AH37" i="9"/>
  <c r="AH48" i="9" s="1"/>
  <c r="AH91" i="9"/>
  <c r="AH87" i="9"/>
  <c r="AH25" i="9"/>
  <c r="AH21" i="9"/>
  <c r="AH90" i="9"/>
  <c r="AH28" i="9"/>
  <c r="AH88" i="9"/>
  <c r="AH53" i="9"/>
  <c r="AH73" i="9"/>
  <c r="AH38" i="9"/>
  <c r="AH77" i="9"/>
  <c r="AH92" i="9"/>
  <c r="AH54" i="9"/>
  <c r="AH79" i="9"/>
  <c r="AH45" i="9"/>
  <c r="AH22" i="9"/>
  <c r="AH62" i="9"/>
  <c r="AH29" i="9"/>
  <c r="AH78" i="9"/>
  <c r="AH74" i="9"/>
  <c r="AH40" i="9"/>
  <c r="AH26" i="9"/>
  <c r="AH32" i="9" s="1"/>
  <c r="AH71" i="9"/>
  <c r="AH23" i="9"/>
  <c r="AH96" i="9"/>
  <c r="AH57" i="9"/>
  <c r="AF17" i="5"/>
  <c r="AH64" i="6"/>
  <c r="AH66" i="6"/>
  <c r="AH61" i="6"/>
  <c r="AH60" i="6"/>
  <c r="AH62" i="6"/>
  <c r="AH63" i="6"/>
  <c r="AH56" i="6"/>
  <c r="AH67" i="6" s="1"/>
  <c r="AH57" i="6"/>
  <c r="AH65" i="6"/>
  <c r="AH58" i="6"/>
  <c r="AH59" i="6"/>
  <c r="AJ36" i="6"/>
  <c r="AJ35" i="6" s="1"/>
  <c r="AJ14" i="6"/>
  <c r="AJ16" i="6" s="1"/>
  <c r="AJ20" i="6"/>
  <c r="AJ6" i="6"/>
  <c r="AJ7" i="6" s="1"/>
  <c r="AG64" i="9"/>
  <c r="AH14" i="9"/>
  <c r="AH81" i="9"/>
  <c r="AH14" i="5"/>
  <c r="AH10" i="9"/>
  <c r="AH13" i="9"/>
  <c r="AI68" i="6"/>
  <c r="AI15" i="6"/>
  <c r="AI9" i="6"/>
  <c r="AI17" i="9"/>
  <c r="AI7" i="9"/>
  <c r="AI12" i="9" s="1"/>
  <c r="AI4" i="9"/>
  <c r="AI33" i="9" s="1"/>
  <c r="AJ16" i="9"/>
  <c r="AK31" i="6"/>
  <c r="AK26" i="6"/>
  <c r="AK34" i="6"/>
  <c r="AK4" i="6"/>
  <c r="AK25" i="6"/>
  <c r="AK28" i="6"/>
  <c r="AK29" i="6"/>
  <c r="AK27" i="6"/>
  <c r="AK24" i="6"/>
  <c r="AK30" i="6"/>
  <c r="AK32" i="6"/>
  <c r="AK33" i="6"/>
  <c r="AG48" i="9"/>
  <c r="AG15" i="5"/>
  <c r="AG16" i="5"/>
  <c r="AH64" i="9" l="1"/>
  <c r="AI64" i="6"/>
  <c r="AI57" i="6"/>
  <c r="AI66" i="6"/>
  <c r="AI60" i="6"/>
  <c r="AI62" i="6"/>
  <c r="AI63" i="6"/>
  <c r="AI56" i="6"/>
  <c r="AI67" i="6" s="1"/>
  <c r="AI65" i="6"/>
  <c r="AI58" i="6"/>
  <c r="AI59" i="6"/>
  <c r="AI61" i="6"/>
  <c r="AI94" i="9"/>
  <c r="AI69" i="9"/>
  <c r="AI59" i="9"/>
  <c r="AI42" i="9"/>
  <c r="AI21" i="9"/>
  <c r="AI32" i="9" s="1"/>
  <c r="AI97" i="9"/>
  <c r="AI11" i="9" s="1"/>
  <c r="AJ3" i="9" s="1"/>
  <c r="AJ6" i="9" s="1"/>
  <c r="AI86" i="9"/>
  <c r="AI72" i="9"/>
  <c r="AI61" i="9"/>
  <c r="AI44" i="9"/>
  <c r="AI24" i="9"/>
  <c r="AI89" i="9"/>
  <c r="AI75" i="9"/>
  <c r="AI63" i="9"/>
  <c r="AI46" i="9"/>
  <c r="AI27" i="9"/>
  <c r="AI93" i="9"/>
  <c r="AI58" i="9"/>
  <c r="AI76" i="9"/>
  <c r="AI30" i="9"/>
  <c r="AI41" i="9"/>
  <c r="AI57" i="9"/>
  <c r="AI47" i="9"/>
  <c r="AI62" i="9"/>
  <c r="AI92" i="9"/>
  <c r="AI40" i="9"/>
  <c r="AI37" i="9"/>
  <c r="AI23" i="9"/>
  <c r="AI60" i="9"/>
  <c r="AI55" i="9"/>
  <c r="AI56" i="9"/>
  <c r="AI87" i="9"/>
  <c r="AI25" i="9"/>
  <c r="AI90" i="9"/>
  <c r="AI45" i="9"/>
  <c r="AI26" i="9"/>
  <c r="AI28" i="9"/>
  <c r="AI88" i="9"/>
  <c r="AI53" i="9"/>
  <c r="AI73" i="9"/>
  <c r="AI91" i="9"/>
  <c r="AI74" i="9"/>
  <c r="AI77" i="9"/>
  <c r="AI54" i="9"/>
  <c r="AI43" i="9"/>
  <c r="AI79" i="9"/>
  <c r="AI22" i="9"/>
  <c r="AI70" i="9"/>
  <c r="AI29" i="9"/>
  <c r="AI78" i="9"/>
  <c r="AI38" i="9"/>
  <c r="AI96" i="9"/>
  <c r="AI71" i="9"/>
  <c r="AI31" i="9"/>
  <c r="AI95" i="9"/>
  <c r="AI39" i="9"/>
  <c r="AJ17" i="9"/>
  <c r="AJ7" i="9"/>
  <c r="AJ4" i="9"/>
  <c r="AJ33" i="9" s="1"/>
  <c r="AK16" i="9"/>
  <c r="AK14" i="6"/>
  <c r="AK16" i="6" s="1"/>
  <c r="AK20" i="6"/>
  <c r="AK6" i="6"/>
  <c r="AK7" i="6" s="1"/>
  <c r="AK36" i="6"/>
  <c r="AK35" i="6" s="1"/>
  <c r="AI14" i="9"/>
  <c r="AI81" i="9"/>
  <c r="AI14" i="5"/>
  <c r="AI10" i="9"/>
  <c r="AI13" i="9"/>
  <c r="AG17" i="5"/>
  <c r="AH80" i="9"/>
  <c r="AJ12" i="9"/>
  <c r="AJ68" i="6"/>
  <c r="AJ15" i="6"/>
  <c r="AJ9" i="6"/>
  <c r="AH75" i="6"/>
  <c r="AH76" i="6" s="1"/>
  <c r="AH77" i="6" s="1"/>
  <c r="AH78" i="6" s="1"/>
  <c r="AH79" i="6" s="1"/>
  <c r="AH80" i="6" s="1"/>
  <c r="AH81" i="6" s="1"/>
  <c r="AH82" i="6" s="1"/>
  <c r="AH83" i="6" s="1"/>
  <c r="AH84" i="6" s="1"/>
  <c r="AH15" i="5"/>
  <c r="AH16" i="5"/>
  <c r="AJ14" i="9" l="1"/>
  <c r="AJ14" i="5"/>
  <c r="AJ81" i="9"/>
  <c r="AJ10" i="9"/>
  <c r="AJ13" i="9"/>
  <c r="AI48" i="9"/>
  <c r="AK9" i="6"/>
  <c r="AK15" i="6"/>
  <c r="AK68" i="6"/>
  <c r="AJ66" i="6"/>
  <c r="AJ57" i="6"/>
  <c r="AJ60" i="6"/>
  <c r="AJ65" i="6"/>
  <c r="AJ62" i="6"/>
  <c r="AJ63" i="6"/>
  <c r="AJ56" i="6"/>
  <c r="AJ58" i="6"/>
  <c r="AJ67" i="6" s="1"/>
  <c r="AJ64" i="6"/>
  <c r="AJ61" i="6"/>
  <c r="AJ59" i="6"/>
  <c r="AI15" i="5"/>
  <c r="AI16" i="5"/>
  <c r="AI80" i="9"/>
  <c r="AJ97" i="9"/>
  <c r="AJ11" i="9" s="1"/>
  <c r="AK3" i="9" s="1"/>
  <c r="AJ86" i="9"/>
  <c r="AJ72" i="9"/>
  <c r="AJ61" i="9"/>
  <c r="AJ44" i="9"/>
  <c r="AJ89" i="9"/>
  <c r="AJ75" i="9"/>
  <c r="AJ63" i="9"/>
  <c r="AJ46" i="9"/>
  <c r="AJ27" i="9"/>
  <c r="AJ92" i="9"/>
  <c r="AJ78" i="9"/>
  <c r="AJ54" i="9"/>
  <c r="AJ37" i="9"/>
  <c r="AJ30" i="9"/>
  <c r="AJ87" i="9"/>
  <c r="AJ73" i="9"/>
  <c r="AJ58" i="9"/>
  <c r="AJ41" i="9"/>
  <c r="AJ93" i="9"/>
  <c r="AJ76" i="9"/>
  <c r="AJ24" i="9"/>
  <c r="AJ42" i="9"/>
  <c r="AJ57" i="9"/>
  <c r="AJ96" i="9"/>
  <c r="AJ79" i="9"/>
  <c r="AJ21" i="9"/>
  <c r="AJ32" i="9" s="1"/>
  <c r="AJ47" i="9"/>
  <c r="AJ62" i="9"/>
  <c r="AJ29" i="9"/>
  <c r="AJ60" i="9"/>
  <c r="AJ55" i="9"/>
  <c r="AJ56" i="9"/>
  <c r="AJ45" i="9"/>
  <c r="AJ40" i="9"/>
  <c r="AJ25" i="9"/>
  <c r="AJ26" i="9"/>
  <c r="AJ94" i="9"/>
  <c r="AJ90" i="9"/>
  <c r="AJ74" i="9"/>
  <c r="AJ88" i="9"/>
  <c r="AJ53" i="9"/>
  <c r="AJ91" i="9"/>
  <c r="AJ69" i="9"/>
  <c r="AJ77" i="9"/>
  <c r="AJ43" i="9"/>
  <c r="AJ22" i="9"/>
  <c r="AJ70" i="9"/>
  <c r="AJ59" i="9"/>
  <c r="AJ38" i="9"/>
  <c r="AJ71" i="9"/>
  <c r="AJ31" i="9"/>
  <c r="AJ23" i="9"/>
  <c r="AJ95" i="9"/>
  <c r="AJ28" i="9"/>
  <c r="AJ39" i="9"/>
  <c r="AH17" i="5"/>
  <c r="AI64" i="9"/>
  <c r="AK17" i="9"/>
  <c r="AK7" i="9"/>
  <c r="AK4" i="9"/>
  <c r="AK33" i="9" s="1"/>
  <c r="AI73" i="6"/>
  <c r="AI74" i="6" s="1"/>
  <c r="AI75" i="6" s="1"/>
  <c r="AI76" i="6" s="1"/>
  <c r="AI77" i="6" s="1"/>
  <c r="AI78" i="6" s="1"/>
  <c r="AI79" i="6" s="1"/>
  <c r="AI80" i="6" s="1"/>
  <c r="AI81" i="6" s="1"/>
  <c r="AI82" i="6" s="1"/>
  <c r="AI83" i="6" s="1"/>
  <c r="AI84" i="6" s="1"/>
  <c r="AJ48" i="9" l="1"/>
  <c r="AK6" i="9"/>
  <c r="AK66" i="6"/>
  <c r="AK57" i="6"/>
  <c r="AK64" i="6"/>
  <c r="AK60" i="6"/>
  <c r="AK65" i="6"/>
  <c r="AK59" i="6"/>
  <c r="AK62" i="6"/>
  <c r="AK63" i="6"/>
  <c r="AK56" i="6"/>
  <c r="AK58" i="6"/>
  <c r="AK67" i="6" s="1"/>
  <c r="AK61" i="6"/>
  <c r="AJ80" i="9"/>
  <c r="AK14" i="9"/>
  <c r="AK81" i="9"/>
  <c r="AK14" i="5"/>
  <c r="AK10" i="9"/>
  <c r="AK13" i="9"/>
  <c r="AJ64" i="9"/>
  <c r="AI17" i="5"/>
  <c r="AJ15" i="5"/>
  <c r="AJ16" i="5"/>
  <c r="AK97" i="9"/>
  <c r="AK11" i="9" s="1"/>
  <c r="AK86" i="9"/>
  <c r="AK72" i="9"/>
  <c r="AK61" i="9"/>
  <c r="AK44" i="9"/>
  <c r="AK24" i="9"/>
  <c r="AK89" i="9"/>
  <c r="AK75" i="9"/>
  <c r="AK63" i="9"/>
  <c r="AK46" i="9"/>
  <c r="AK27" i="9"/>
  <c r="AK92" i="9"/>
  <c r="AK78" i="9"/>
  <c r="AK54" i="9"/>
  <c r="AK37" i="9"/>
  <c r="AK30" i="9"/>
  <c r="AK42" i="9"/>
  <c r="AK57" i="9"/>
  <c r="AK41" i="9"/>
  <c r="AK96" i="9"/>
  <c r="AK79" i="9"/>
  <c r="AK21" i="9"/>
  <c r="AK71" i="9"/>
  <c r="AK40" i="9"/>
  <c r="AK62" i="9"/>
  <c r="AK95" i="9"/>
  <c r="AK74" i="9"/>
  <c r="AK56" i="9"/>
  <c r="AK45" i="9"/>
  <c r="AK93" i="9"/>
  <c r="AK87" i="9"/>
  <c r="AK25" i="9"/>
  <c r="AK76" i="9"/>
  <c r="AK26" i="9"/>
  <c r="AK94" i="9"/>
  <c r="AK69" i="9"/>
  <c r="AK60" i="9"/>
  <c r="AK47" i="9"/>
  <c r="AK58" i="9"/>
  <c r="AK43" i="9"/>
  <c r="AK73" i="9"/>
  <c r="AK91" i="9"/>
  <c r="AK77" i="9"/>
  <c r="AK39" i="9"/>
  <c r="AK55" i="9"/>
  <c r="AK22" i="9"/>
  <c r="AK90" i="9"/>
  <c r="AK70" i="9"/>
  <c r="AK59" i="9"/>
  <c r="AK88" i="9"/>
  <c r="AK53" i="9"/>
  <c r="AK38" i="9"/>
  <c r="AK31" i="9"/>
  <c r="AK29" i="9"/>
  <c r="AK23" i="9"/>
  <c r="AK32" i="9" s="1"/>
  <c r="AK28" i="9"/>
  <c r="AK12" i="9"/>
  <c r="AJ73" i="6"/>
  <c r="AJ74" i="6" s="1"/>
  <c r="AJ75" i="6" s="1"/>
  <c r="AJ76" i="6" s="1"/>
  <c r="AJ77" i="6" s="1"/>
  <c r="AJ78" i="6" s="1"/>
  <c r="AJ79" i="6" s="1"/>
  <c r="AJ80" i="6" s="1"/>
  <c r="AJ81" i="6" s="1"/>
  <c r="AJ82" i="6" s="1"/>
  <c r="AJ83" i="6" s="1"/>
  <c r="AJ84" i="6" s="1"/>
  <c r="AK73" i="6" s="1"/>
  <c r="AK74" i="6" s="1"/>
  <c r="AK75" i="6" s="1"/>
  <c r="AK76" i="6" s="1"/>
  <c r="AK77" i="6" s="1"/>
  <c r="AK78" i="6" s="1"/>
  <c r="AK79" i="6" s="1"/>
  <c r="AK80" i="6" s="1"/>
  <c r="AK81" i="6" s="1"/>
  <c r="AK82" i="6" s="1"/>
  <c r="AK83" i="6" s="1"/>
  <c r="AK80" i="9" l="1"/>
  <c r="AK15" i="5"/>
  <c r="AK17" i="5" s="1"/>
  <c r="AK16" i="5"/>
  <c r="AK64" i="9"/>
  <c r="AK48" i="9"/>
  <c r="AK84" i="6"/>
  <c r="AJ17" i="5"/>
</calcChain>
</file>

<file path=xl/sharedStrings.xml><?xml version="1.0" encoding="utf-8"?>
<sst xmlns="http://schemas.openxmlformats.org/spreadsheetml/2006/main" count="595" uniqueCount="163">
  <si>
    <t>Data Series and Source</t>
  </si>
  <si>
    <t>Link</t>
  </si>
  <si>
    <t>Web Page</t>
  </si>
  <si>
    <t>StatCan - Monthly Renewable fuel plant statistics</t>
  </si>
  <si>
    <t>Add/Remove data - Renewable fuel plant statistics, supply and disposition, monthly (statcan.gc.ca)</t>
  </si>
  <si>
    <t>Table: 25-10-0082-01</t>
  </si>
  <si>
    <t>StatCan - Energy products which include Renewables</t>
  </si>
  <si>
    <t>Add/Remove data - Petroleum products by supply and disposition, monthly (statcan.gc.ca)</t>
  </si>
  <si>
    <t>Table: 25-10-0081-01</t>
  </si>
  <si>
    <t>USDA FAS Report 8/14/23</t>
  </si>
  <si>
    <t>chrome-extension://efaidnbmnnnibpcajpcglclefindmkaj/https://apps.fas.usda.gov/newgainapi/api/Report/DownloadReportByFileName?fileName=Biofuels%20Annual_Ottawa_Canada_CA2023-0030.pdf</t>
  </si>
  <si>
    <t>Stock change, disposition: The difference between stocks at the beginning of the month and stocks at the end of the month. A negative number indicates a decrease in stocks and a positive number indicates an increase in stocks.</t>
  </si>
  <si>
    <t>Products supplied, disposition: Approximately represents consumption of petroleum products because it measures the disappearance of these products from primary sources, i.e., refineries, natural gas processing plants, blending plants, pipelines, and terminals. In general, product supplied of each product in any given period is computed as follows: field production, plus renewable fuels plant net production, plus refinery and blender net production, plus imports, plus net receipts, plus adjustments, minus stock change, minus refinery and blender net inputs, minus exports.</t>
  </si>
  <si>
    <t>Ending stocks: Inventories of fuel stored for future use. Stocks are reported as of the last day of the month.</t>
  </si>
  <si>
    <t>1 megalitre = 1000 m3</t>
  </si>
  <si>
    <t>1 m3 = 264.172 gallons</t>
  </si>
  <si>
    <t>1 gallon = 3.31 kg</t>
  </si>
  <si>
    <t>biodiesel fuel conversion</t>
  </si>
  <si>
    <t>1000 kg = 1 tonne</t>
  </si>
  <si>
    <t xml:space="preserve">1 tonne = 285,982 gallons </t>
  </si>
  <si>
    <t>Diesel fuel conversion</t>
  </si>
  <si>
    <t>1 gal= 3.7854 liters</t>
  </si>
  <si>
    <t>BD</t>
  </si>
  <si>
    <t>RD</t>
  </si>
  <si>
    <t>Combined</t>
  </si>
  <si>
    <t>Convert litres to gallons</t>
  </si>
  <si>
    <t>Braya announced Commerical Ops end-Feb</t>
  </si>
  <si>
    <t>S/D Braya</t>
  </si>
  <si>
    <t>leaves only Tidewater open</t>
  </si>
  <si>
    <t>will Braya S/U again?</t>
  </si>
  <si>
    <t>S/U Imperial</t>
  </si>
  <si>
    <t>Need to find out when Varennes (34 RD) starts up based on methanol and biomenthanol not open yet</t>
  </si>
  <si>
    <t>Annual Total</t>
  </si>
  <si>
    <t>USDA Canada Biofuels Annual</t>
  </si>
  <si>
    <t>Jet Fuel</t>
  </si>
  <si>
    <t>25-10-0030-01</t>
  </si>
  <si>
    <t>Distillate fuel oil - Middle Distillate</t>
  </si>
  <si>
    <t>Renewable Diesel - exports not available on these codes - could be the fact that there are no exports</t>
  </si>
  <si>
    <t>megalitre = 1000 cubic meter</t>
  </si>
  <si>
    <t>Biodiesel Production</t>
  </si>
  <si>
    <t>Biodiesel Imports</t>
  </si>
  <si>
    <t>Biodiesel Consumption</t>
  </si>
  <si>
    <t>Biodiesel Exports</t>
  </si>
  <si>
    <t>Renewable Diesel Production</t>
  </si>
  <si>
    <t>Renewable Diesel  Imports</t>
  </si>
  <si>
    <t>Renewable Diesel  Consumption</t>
  </si>
  <si>
    <t>Renewable Diesel  Exports</t>
  </si>
  <si>
    <t>Production</t>
  </si>
  <si>
    <t>Exports</t>
  </si>
  <si>
    <t>Imports</t>
  </si>
  <si>
    <t>Stock variation</t>
  </si>
  <si>
    <t>Total Airline Usage</t>
  </si>
  <si>
    <t>Diesel fuel oil, secondary energy</t>
  </si>
  <si>
    <t xml:space="preserve">Imports, supply </t>
  </si>
  <si>
    <t>Exports, disposition</t>
  </si>
  <si>
    <t>Energy Use, final demand</t>
  </si>
  <si>
    <t>Imports (GTT) Codes 2710199923, 2710199993</t>
  </si>
  <si>
    <t>mm liters</t>
  </si>
  <si>
    <t>Megalitres</t>
  </si>
  <si>
    <t>cubic meters</t>
  </si>
  <si>
    <t>Renewable fuels except fuel ethanol</t>
  </si>
  <si>
    <t>Fuel Oil-Distillate-Diesel</t>
  </si>
  <si>
    <t>Renewable Diesel</t>
  </si>
  <si>
    <t>Biodiesel</t>
  </si>
  <si>
    <t>RD Production</t>
  </si>
  <si>
    <t>Stock Change</t>
  </si>
  <si>
    <t>Total Supply</t>
  </si>
  <si>
    <t>Ending stocks</t>
  </si>
  <si>
    <t>Products Supply</t>
  </si>
  <si>
    <t>Ending Stocks</t>
  </si>
  <si>
    <t>Imports (GTT) Code 3826</t>
  </si>
  <si>
    <t>Exports (GTT) Code 3826</t>
  </si>
  <si>
    <t>kg</t>
  </si>
  <si>
    <t>Canada Biodiesel Supply Demand</t>
  </si>
  <si>
    <t>million gallons</t>
  </si>
  <si>
    <t>Beginning Stocks</t>
  </si>
  <si>
    <t xml:space="preserve">Production </t>
  </si>
  <si>
    <t xml:space="preserve">Imports </t>
  </si>
  <si>
    <t xml:space="preserve">    Total Supply</t>
  </si>
  <si>
    <t xml:space="preserve">Consumption </t>
  </si>
  <si>
    <t xml:space="preserve">    Total Use</t>
  </si>
  <si>
    <t xml:space="preserve">Final Stocks  </t>
  </si>
  <si>
    <t>Capacity</t>
  </si>
  <si>
    <t>Diesel Consumption mm gal</t>
  </si>
  <si>
    <t>Biodiesel Consumption Blend Rate</t>
  </si>
  <si>
    <t>Renewable Diesel Consumption Blend Rate</t>
  </si>
  <si>
    <t>Total Blend Rate</t>
  </si>
  <si>
    <t/>
  </si>
  <si>
    <t>BIODIESEL PRODUCTION (million gallons)</t>
  </si>
  <si>
    <t>January</t>
  </si>
  <si>
    <t>February</t>
  </si>
  <si>
    <t>March</t>
  </si>
  <si>
    <t>April</t>
  </si>
  <si>
    <t>May</t>
  </si>
  <si>
    <t>June</t>
  </si>
  <si>
    <t>July</t>
  </si>
  <si>
    <t>August</t>
  </si>
  <si>
    <t>September</t>
  </si>
  <si>
    <t>October</t>
  </si>
  <si>
    <t>November</t>
  </si>
  <si>
    <t>December</t>
  </si>
  <si>
    <t xml:space="preserve">    Total</t>
  </si>
  <si>
    <t>BIODIESEL IMPORTS (million gallons)</t>
  </si>
  <si>
    <t>BIODIESEL EXPORTS (million gallons)</t>
  </si>
  <si>
    <t>BIODIESEL CONSUMPTION (millions of gallons)</t>
  </si>
  <si>
    <t>BIODIESEL ENDING STOCKS (million gallons)</t>
  </si>
  <si>
    <t>GTT BIODIESEL IMPORTS (million gallons)</t>
  </si>
  <si>
    <t>GTT BIODIESEL EXPORTS (million gallons)</t>
  </si>
  <si>
    <t>Canada Renewable Diesel Supply Demand</t>
  </si>
  <si>
    <t>Consumption</t>
  </si>
  <si>
    <t>Final Stocks  (December 31)</t>
  </si>
  <si>
    <t>BBD Import totals</t>
  </si>
  <si>
    <t>BBD Production</t>
  </si>
  <si>
    <t>BBD Consumption</t>
  </si>
  <si>
    <t>RD Capacity</t>
  </si>
  <si>
    <t>Operating Rate</t>
  </si>
  <si>
    <t>RENEWABLE DIESEL PRODUCTION (millions of gallons)</t>
  </si>
  <si>
    <t>RENEWABLE DIESEL IMPORTS (million gallons)</t>
  </si>
  <si>
    <t>RENEWABLE DIESEL CONSUMPTION (millions of gallons)</t>
  </si>
  <si>
    <t>RENEWABLE DIESEL STOCKS (million gallons)</t>
  </si>
  <si>
    <t>RENEWABLE DIESEL CAPACITY (million gallons per year)</t>
  </si>
  <si>
    <t xml:space="preserve">  Average</t>
  </si>
  <si>
    <t>Canada Sustainable Aviation Fuel Balance</t>
  </si>
  <si>
    <t xml:space="preserve">  Total Supply</t>
  </si>
  <si>
    <t>Domestic Use</t>
  </si>
  <si>
    <t>consume all produced</t>
  </si>
  <si>
    <t xml:space="preserve">  Total Demand</t>
  </si>
  <si>
    <t xml:space="preserve">  Ending Stocks</t>
  </si>
  <si>
    <t>Days of Coverage</t>
  </si>
  <si>
    <t>Average Price ($/gal)</t>
  </si>
  <si>
    <t xml:space="preserve">Capacity </t>
  </si>
  <si>
    <t>Blending Rate</t>
  </si>
  <si>
    <t>CI targets</t>
  </si>
  <si>
    <t>SAF Domestic Production</t>
  </si>
  <si>
    <t xml:space="preserve">  Total</t>
  </si>
  <si>
    <t>SAF Imports - GTT</t>
  </si>
  <si>
    <t>SAF Exports - GTT</t>
  </si>
  <si>
    <t>Ending Use</t>
  </si>
  <si>
    <t>Canada Jet Fuel Balances</t>
  </si>
  <si>
    <t>Consumption Growth</t>
  </si>
  <si>
    <t>Implied SAF Blending Rate</t>
  </si>
  <si>
    <t>Passengers</t>
  </si>
  <si>
    <t>Passenger-kilometers</t>
  </si>
  <si>
    <t xml:space="preserve">Ratio </t>
  </si>
  <si>
    <t>Jet Fuel Domestic Production</t>
  </si>
  <si>
    <t>Jet Fuel Imports (StatCan)</t>
  </si>
  <si>
    <t>Jet Fuel Exports (StatCan)</t>
  </si>
  <si>
    <t>thousand gallons</t>
  </si>
  <si>
    <t>Jet Fuel Domestic Use</t>
  </si>
  <si>
    <t>Jet Fuel End-of-Month Inventory</t>
  </si>
  <si>
    <t xml:space="preserve">CANADA  DISTILATE FUEL OIL SUPPLY AND DEMAND </t>
  </si>
  <si>
    <t>Products supplied, disposition</t>
  </si>
  <si>
    <t>Diesel Adjustment</t>
  </si>
  <si>
    <t>Implied Blending Rate RD</t>
  </si>
  <si>
    <t>Implied Blending Rate BD</t>
  </si>
  <si>
    <t>Demand Growth</t>
  </si>
  <si>
    <t>Total Tonne-km (millions)</t>
  </si>
  <si>
    <t>Year on year percent change</t>
  </si>
  <si>
    <t xml:space="preserve">DISTILATE FUEL OIL PRODUCTION </t>
  </si>
  <si>
    <t xml:space="preserve">IMPORTS </t>
  </si>
  <si>
    <t>EXPORTS</t>
  </si>
  <si>
    <t>DISTILATE FUEL OIL CONSUMPTION</t>
  </si>
  <si>
    <t>DISTILATE FUEL OIL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</si>
</sst>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000_);_(* \(#,##0.0000\);_(* &quot;-&quot;??_);_(@_)"/>
    <numFmt numFmtId="166" formatCode="[$-409]mmm\-yy;@"/>
    <numFmt numFmtId="167" formatCode="#,##0.000_);[Red]\(#,##0.000\)"/>
    <numFmt numFmtId="168" formatCode="0.0%"/>
    <numFmt numFmtId="169" formatCode="0_);[Red]\(0\)"/>
  </numFmts>
  <fonts count="24"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0"/>
      <color theme="1"/>
      <name val="Aptos Display"/>
      <family val="2"/>
    </font>
    <font>
      <b/>
      <sz val="12"/>
      <color theme="1"/>
      <name val="Aptos Display"/>
      <family val="2"/>
    </font>
    <font>
      <b/>
      <sz val="10"/>
      <color theme="1"/>
      <name val="Aptos Display"/>
      <family val="2"/>
    </font>
    <font>
      <b/>
      <sz val="10"/>
      <color rgb="FF000000"/>
      <name val="Aptos Display"/>
      <family val="2"/>
    </font>
    <font>
      <sz val="10"/>
      <color rgb="FF000000"/>
      <name val="Aptos Display"/>
      <family val="2"/>
    </font>
    <font>
      <sz val="11"/>
      <color theme="3"/>
      <name val="Aptos Display"/>
      <family val="2"/>
    </font>
    <font>
      <b/>
      <sz val="8"/>
      <color theme="0"/>
      <name val="Avenir Next LT Pro Demi"/>
      <family val="2"/>
    </font>
    <font>
      <sz val="8"/>
      <color theme="1"/>
      <name val="Avenir Next LT Pro Demi"/>
      <family val="2"/>
    </font>
    <font>
      <b/>
      <sz val="8"/>
      <color theme="1"/>
      <name val="Avenir Next LT Pro Demi"/>
      <family val="2"/>
    </font>
    <font>
      <sz val="10"/>
      <name val="MS Sans Serif"/>
      <family val="2"/>
    </font>
    <font>
      <b/>
      <sz val="8"/>
      <name val="Avenir Next LT Pro Demi"/>
      <family val="2"/>
    </font>
    <font>
      <sz val="8"/>
      <name val="Avenir Next LT Pro Demi"/>
      <family val="2"/>
    </font>
    <font>
      <b/>
      <sz val="8"/>
      <color rgb="FFC00000"/>
      <name val="Avenir Next LT Pro Demi"/>
      <family val="2"/>
    </font>
    <font>
      <sz val="10"/>
      <color theme="1"/>
      <name val="Arial Narrow"/>
      <family val="2"/>
    </font>
    <font>
      <sz val="8"/>
      <color theme="0"/>
      <name val="Avenir Next LT Pro Demi"/>
      <family val="2"/>
    </font>
    <font>
      <sz val="8"/>
      <color rgb="FF6F0791"/>
      <name val="Avenir Next LT Pro Demi"/>
      <family val="2"/>
    </font>
    <font>
      <sz val="8"/>
      <color theme="0" tint="-0.499984740745262"/>
      <name val="Avenir Next LT Pro Demi"/>
      <family val="2"/>
    </font>
    <font>
      <b/>
      <i/>
      <sz val="8"/>
      <color rgb="FFFF0000"/>
      <name val="Avenir Next LT Pro Demi"/>
      <family val="2"/>
    </font>
    <font>
      <b/>
      <u/>
      <sz val="8"/>
      <color theme="10"/>
      <name val="Avenir Next LT Pro Demi"/>
      <family val="2"/>
    </font>
  </fonts>
  <fills count="4">
    <fill>
      <patternFill patternType="none"/>
    </fill>
    <fill>
      <patternFill patternType="gray125"/>
    </fill>
    <fill>
      <patternFill patternType="solid">
        <fgColor rgb="FF8C8C8C"/>
        <bgColor indexed="64"/>
      </patternFill>
    </fill>
    <fill>
      <patternFill patternType="solid">
        <fgColor theme="0"/>
        <bgColor indexed="64"/>
      </patternFill>
    </fill>
  </fills>
  <borders count="13">
    <border>
      <left/>
      <right/>
      <top/>
      <bottom/>
      <diagonal/>
    </border>
    <border>
      <left style="thin">
        <color auto="1"/>
      </left>
      <right/>
      <top/>
      <bottom/>
      <diagonal/>
    </border>
    <border>
      <left/>
      <right style="thin">
        <color auto="1"/>
      </right>
      <top/>
      <bottom/>
      <diagonal/>
    </border>
    <border>
      <left/>
      <right/>
      <top style="thin">
        <color rgb="FF6F0791"/>
      </top>
      <bottom/>
      <diagonal/>
    </border>
    <border>
      <left/>
      <right/>
      <top/>
      <bottom style="thick">
        <color auto="1"/>
      </bottom>
      <diagonal/>
    </border>
    <border>
      <left/>
      <right/>
      <top/>
      <bottom style="thin">
        <color auto="1"/>
      </bottom>
      <diagonal/>
    </border>
    <border>
      <left/>
      <right/>
      <top style="thin">
        <color auto="1"/>
      </top>
      <bottom/>
      <diagonal/>
    </border>
    <border>
      <left/>
      <right/>
      <top/>
      <bottom style="thin">
        <color rgb="FF7030A0"/>
      </bottom>
      <diagonal/>
    </border>
    <border>
      <left/>
      <right/>
      <top style="medium">
        <color theme="3"/>
      </top>
      <bottom style="medium">
        <color theme="3"/>
      </bottom>
      <diagonal/>
    </border>
    <border>
      <left/>
      <right/>
      <top style="thick">
        <color auto="1"/>
      </top>
      <bottom/>
      <diagonal/>
    </border>
    <border>
      <left/>
      <right/>
      <top style="medium">
        <color rgb="FF8C8C8C"/>
      </top>
      <bottom style="medium">
        <color rgb="FF8C8C8C"/>
      </bottom>
      <diagonal/>
    </border>
    <border>
      <left/>
      <right/>
      <top style="thick">
        <color rgb="FF8C8C8C"/>
      </top>
      <bottom/>
      <diagonal/>
    </border>
    <border>
      <left/>
      <right/>
      <top style="medium">
        <color rgb="FF8C8C8C"/>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40" fontId="14" fillId="0" borderId="0" applyFont="0" applyFill="0" applyBorder="0" applyAlignment="0" applyProtection="0"/>
    <xf numFmtId="0" fontId="1" fillId="0" borderId="0"/>
    <xf numFmtId="9" fontId="18" fillId="0" borderId="0" applyFont="0" applyFill="0" applyBorder="0" applyAlignment="0" applyProtection="0"/>
  </cellStyleXfs>
  <cellXfs count="163">
    <xf numFmtId="0" fontId="0" fillId="0" borderId="0" xfId="0"/>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4" fillId="0" borderId="0" xfId="0" applyFont="1"/>
    <xf numFmtId="0" fontId="2" fillId="0" borderId="0" xfId="3"/>
    <xf numFmtId="0" fontId="5" fillId="0" borderId="0" xfId="0" applyFont="1"/>
    <xf numFmtId="0" fontId="6" fillId="0" borderId="0" xfId="0" applyFont="1" applyAlignment="1">
      <alignment horizontal="center" vertical="center"/>
    </xf>
    <xf numFmtId="17" fontId="5" fillId="0" borderId="0" xfId="0" applyNumberFormat="1" applyFont="1"/>
    <xf numFmtId="38" fontId="5" fillId="0" borderId="0" xfId="0" applyNumberFormat="1" applyFont="1"/>
    <xf numFmtId="38" fontId="7" fillId="0" borderId="0" xfId="0" applyNumberFormat="1" applyFont="1"/>
    <xf numFmtId="0" fontId="8" fillId="0" borderId="0" xfId="0" applyFont="1" applyAlignment="1">
      <alignment wrapText="1"/>
    </xf>
    <xf numFmtId="0" fontId="3" fillId="0" borderId="1" xfId="0" applyFont="1" applyBorder="1"/>
    <xf numFmtId="0" fontId="3" fillId="0" borderId="0" xfId="0" applyFont="1" applyAlignment="1">
      <alignment wrapText="1"/>
    </xf>
    <xf numFmtId="0" fontId="3" fillId="0" borderId="2" xfId="0" applyFont="1" applyBorder="1"/>
    <xf numFmtId="0" fontId="3" fillId="0" borderId="2" xfId="0" applyFont="1" applyBorder="1" applyAlignment="1">
      <alignment wrapText="1"/>
    </xf>
    <xf numFmtId="0" fontId="4" fillId="0" borderId="0" xfId="0" applyFont="1" applyAlignment="1">
      <alignment wrapText="1"/>
    </xf>
    <xf numFmtId="0" fontId="8" fillId="0" borderId="1" xfId="0" applyFont="1" applyBorder="1" applyAlignment="1">
      <alignment wrapText="1"/>
    </xf>
    <xf numFmtId="0" fontId="8" fillId="0" borderId="2" xfId="0" applyFont="1" applyBorder="1" applyAlignment="1">
      <alignment wrapText="1"/>
    </xf>
    <xf numFmtId="0" fontId="9" fillId="0" borderId="0" xfId="0" applyFont="1"/>
    <xf numFmtId="0" fontId="0" fillId="0" borderId="1" xfId="0" applyBorder="1"/>
    <xf numFmtId="0" fontId="0" fillId="0" borderId="2" xfId="0" applyBorder="1"/>
    <xf numFmtId="0" fontId="9" fillId="0" borderId="2" xfId="0" applyFont="1" applyBorder="1"/>
    <xf numFmtId="0" fontId="4" fillId="0" borderId="2" xfId="0" applyFont="1" applyBorder="1" applyAlignment="1">
      <alignment horizontal="center" vertical="center" wrapText="1"/>
    </xf>
    <xf numFmtId="0" fontId="4" fillId="0" borderId="0" xfId="0" applyFont="1" applyAlignment="1">
      <alignment horizontal="left"/>
    </xf>
    <xf numFmtId="164" fontId="4" fillId="0" borderId="1" xfId="1" applyNumberFormat="1" applyFont="1" applyBorder="1"/>
    <xf numFmtId="164" fontId="4" fillId="0" borderId="0" xfId="1" applyNumberFormat="1" applyFont="1" applyBorder="1"/>
    <xf numFmtId="164" fontId="4" fillId="0" borderId="2" xfId="1" applyNumberFormat="1" applyFont="1" applyBorder="1"/>
    <xf numFmtId="164" fontId="4" fillId="0" borderId="0" xfId="1" applyNumberFormat="1" applyFont="1"/>
    <xf numFmtId="164" fontId="10" fillId="0" borderId="1" xfId="1" applyNumberFormat="1" applyFont="1" applyBorder="1"/>
    <xf numFmtId="164" fontId="10" fillId="0" borderId="0" xfId="1" applyNumberFormat="1" applyFont="1" applyBorder="1"/>
    <xf numFmtId="0" fontId="10" fillId="0" borderId="2" xfId="0" applyFont="1" applyBorder="1"/>
    <xf numFmtId="0" fontId="10" fillId="0" borderId="1" xfId="0" applyFont="1" applyBorder="1"/>
    <xf numFmtId="0" fontId="10" fillId="0" borderId="0" xfId="0" applyFont="1"/>
    <xf numFmtId="0" fontId="4" fillId="0" borderId="2" xfId="0" applyFont="1" applyBorder="1"/>
    <xf numFmtId="0" fontId="4" fillId="0" borderId="1" xfId="0" applyFont="1" applyBorder="1"/>
    <xf numFmtId="165" fontId="4" fillId="0" borderId="1" xfId="1" applyNumberFormat="1" applyFont="1" applyBorder="1"/>
    <xf numFmtId="43" fontId="4" fillId="0" borderId="1" xfId="0" applyNumberFormat="1" applyFont="1" applyBorder="1"/>
    <xf numFmtId="166" fontId="8" fillId="0" borderId="0" xfId="0" applyNumberFormat="1"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3" fillId="0" borderId="1" xfId="0" applyFont="1" applyBorder="1" applyAlignment="1">
      <alignment wrapText="1"/>
    </xf>
    <xf numFmtId="0" fontId="4" fillId="0" borderId="1" xfId="0" applyFont="1" applyBorder="1" applyAlignment="1">
      <alignment horizontal="center" vertical="center" wrapText="1"/>
    </xf>
    <xf numFmtId="166" fontId="4" fillId="0" borderId="0" xfId="0" applyNumberFormat="1" applyFont="1" applyAlignment="1">
      <alignment horizontal="left"/>
    </xf>
    <xf numFmtId="167" fontId="5" fillId="0" borderId="0" xfId="0" applyNumberFormat="1" applyFont="1"/>
    <xf numFmtId="166" fontId="4" fillId="0" borderId="0" xfId="0" applyNumberFormat="1" applyFont="1"/>
    <xf numFmtId="0" fontId="11" fillId="2" borderId="3" xfId="0" applyFont="1" applyFill="1" applyBorder="1"/>
    <xf numFmtId="0" fontId="12" fillId="2" borderId="4" xfId="0" applyFont="1" applyFill="1" applyBorder="1"/>
    <xf numFmtId="0" fontId="13" fillId="2" borderId="4" xfId="0" applyFont="1" applyFill="1" applyBorder="1"/>
    <xf numFmtId="0" fontId="12" fillId="0" borderId="4" xfId="0" applyFont="1" applyBorder="1"/>
    <xf numFmtId="0" fontId="12" fillId="3" borderId="0" xfId="0" applyFont="1" applyFill="1"/>
    <xf numFmtId="0" fontId="15" fillId="3" borderId="0" xfId="4" quotePrefix="1" applyNumberFormat="1" applyFont="1" applyFill="1" applyBorder="1" applyAlignment="1">
      <alignment horizontal="center"/>
    </xf>
    <xf numFmtId="0" fontId="12" fillId="0" borderId="0" xfId="0" applyFont="1"/>
    <xf numFmtId="38" fontId="12" fillId="3" borderId="0" xfId="0" applyNumberFormat="1" applyFont="1" applyFill="1" applyAlignment="1">
      <alignment horizontal="center"/>
    </xf>
    <xf numFmtId="38" fontId="13" fillId="3" borderId="0" xfId="0" applyNumberFormat="1" applyFont="1" applyFill="1" applyAlignment="1">
      <alignment horizontal="center"/>
    </xf>
    <xf numFmtId="38" fontId="16" fillId="3" borderId="0" xfId="0" applyNumberFormat="1" applyFont="1" applyFill="1" applyAlignment="1">
      <alignment horizontal="center"/>
    </xf>
    <xf numFmtId="38" fontId="15" fillId="3" borderId="0" xfId="0" applyNumberFormat="1" applyFont="1" applyFill="1" applyAlignment="1">
      <alignment horizontal="center"/>
    </xf>
    <xf numFmtId="0" fontId="16" fillId="3" borderId="5" xfId="0" applyFont="1" applyFill="1" applyBorder="1"/>
    <xf numFmtId="38" fontId="16" fillId="0" borderId="5" xfId="0" applyNumberFormat="1" applyFont="1" applyBorder="1" applyAlignment="1">
      <alignment horizontal="center"/>
    </xf>
    <xf numFmtId="38" fontId="15" fillId="3" borderId="5" xfId="0" applyNumberFormat="1" applyFont="1" applyFill="1" applyBorder="1" applyAlignment="1">
      <alignment horizontal="center"/>
    </xf>
    <xf numFmtId="0" fontId="16" fillId="0" borderId="0" xfId="0" applyFont="1"/>
    <xf numFmtId="0" fontId="12" fillId="3" borderId="6" xfId="0" applyFont="1" applyFill="1" applyBorder="1"/>
    <xf numFmtId="38" fontId="12" fillId="3" borderId="6" xfId="0" applyNumberFormat="1" applyFont="1" applyFill="1" applyBorder="1" applyAlignment="1">
      <alignment horizontal="center"/>
    </xf>
    <xf numFmtId="38" fontId="13" fillId="3" borderId="6" xfId="0" applyNumberFormat="1" applyFont="1" applyFill="1" applyBorder="1" applyAlignment="1">
      <alignment horizontal="center"/>
    </xf>
    <xf numFmtId="38" fontId="12" fillId="3" borderId="0" xfId="0" applyNumberFormat="1" applyFont="1" applyFill="1"/>
    <xf numFmtId="38" fontId="12" fillId="3" borderId="7" xfId="0" applyNumberFormat="1" applyFont="1" applyFill="1" applyBorder="1"/>
    <xf numFmtId="38" fontId="12" fillId="3" borderId="7" xfId="0" applyNumberFormat="1" applyFont="1" applyFill="1" applyBorder="1" applyAlignment="1">
      <alignment horizontal="center"/>
    </xf>
    <xf numFmtId="38" fontId="13" fillId="3" borderId="7" xfId="0" applyNumberFormat="1" applyFont="1" applyFill="1" applyBorder="1" applyAlignment="1">
      <alignment horizontal="center"/>
    </xf>
    <xf numFmtId="2" fontId="16" fillId="3" borderId="0" xfId="0" applyNumberFormat="1" applyFont="1" applyFill="1"/>
    <xf numFmtId="2" fontId="15" fillId="3" borderId="0" xfId="2" applyNumberFormat="1" applyFont="1" applyFill="1" applyBorder="1" applyAlignment="1">
      <alignment horizontal="center"/>
    </xf>
    <xf numFmtId="0" fontId="12" fillId="3" borderId="5" xfId="0" applyFont="1" applyFill="1" applyBorder="1"/>
    <xf numFmtId="40" fontId="12" fillId="3" borderId="0" xfId="0" applyNumberFormat="1" applyFont="1" applyFill="1" applyAlignment="1">
      <alignment horizontal="center"/>
    </xf>
    <xf numFmtId="40" fontId="13" fillId="3" borderId="0" xfId="0" applyNumberFormat="1" applyFont="1" applyFill="1" applyAlignment="1">
      <alignment horizontal="center"/>
    </xf>
    <xf numFmtId="38" fontId="12" fillId="3" borderId="0" xfId="2" applyNumberFormat="1" applyFont="1" applyFill="1" applyAlignment="1">
      <alignment horizontal="center"/>
    </xf>
    <xf numFmtId="168" fontId="12" fillId="3" borderId="0" xfId="2" applyNumberFormat="1" applyFont="1" applyFill="1" applyAlignment="1">
      <alignment horizontal="center"/>
    </xf>
    <xf numFmtId="9" fontId="12" fillId="3" borderId="0" xfId="2" applyFont="1" applyFill="1" applyAlignment="1">
      <alignment horizontal="center"/>
    </xf>
    <xf numFmtId="38" fontId="12" fillId="3" borderId="0" xfId="0" quotePrefix="1" applyNumberFormat="1" applyFont="1" applyFill="1"/>
    <xf numFmtId="9" fontId="13" fillId="3" borderId="0" xfId="2" applyFont="1" applyFill="1" applyAlignment="1">
      <alignment horizontal="center"/>
    </xf>
    <xf numFmtId="1" fontId="12" fillId="3" borderId="0" xfId="2" applyNumberFormat="1" applyFont="1" applyFill="1" applyAlignment="1">
      <alignment horizontal="center"/>
    </xf>
    <xf numFmtId="0" fontId="12" fillId="0" borderId="0" xfId="0" applyFont="1" applyAlignment="1">
      <alignment horizontal="center"/>
    </xf>
    <xf numFmtId="0" fontId="13" fillId="0" borderId="0" xfId="0" applyFont="1"/>
    <xf numFmtId="0" fontId="13" fillId="0" borderId="8" xfId="0" applyFont="1" applyBorder="1"/>
    <xf numFmtId="38" fontId="16" fillId="0" borderId="0" xfId="0" applyNumberFormat="1" applyFont="1"/>
    <xf numFmtId="3" fontId="12" fillId="0" borderId="0" xfId="0" applyNumberFormat="1" applyFont="1" applyAlignment="1">
      <alignment horizontal="center"/>
    </xf>
    <xf numFmtId="38" fontId="13" fillId="0" borderId="0" xfId="5" applyNumberFormat="1" applyFont="1"/>
    <xf numFmtId="0" fontId="12" fillId="0" borderId="5" xfId="0" applyFont="1" applyBorder="1"/>
    <xf numFmtId="38" fontId="12" fillId="0" borderId="5" xfId="0" applyNumberFormat="1" applyFont="1" applyBorder="1"/>
    <xf numFmtId="38" fontId="13" fillId="0" borderId="5" xfId="0" applyNumberFormat="1" applyFont="1" applyBorder="1"/>
    <xf numFmtId="38" fontId="12" fillId="0" borderId="0" xfId="0" applyNumberFormat="1" applyFont="1"/>
    <xf numFmtId="4" fontId="13" fillId="0" borderId="0" xfId="0" applyNumberFormat="1" applyFont="1" applyAlignment="1">
      <alignment horizontal="center"/>
    </xf>
    <xf numFmtId="4" fontId="12" fillId="0" borderId="0" xfId="0" applyNumberFormat="1" applyFont="1" applyAlignment="1">
      <alignment horizontal="center"/>
    </xf>
    <xf numFmtId="0" fontId="13" fillId="0" borderId="8" xfId="0" applyFont="1" applyBorder="1" applyAlignment="1">
      <alignment horizontal="center"/>
    </xf>
    <xf numFmtId="38" fontId="13" fillId="0" borderId="0" xfId="5" applyNumberFormat="1" applyFont="1" applyAlignment="1">
      <alignment horizontal="right"/>
    </xf>
    <xf numFmtId="3" fontId="13" fillId="0" borderId="0" xfId="0" applyNumberFormat="1" applyFont="1" applyAlignment="1">
      <alignment horizontal="right"/>
    </xf>
    <xf numFmtId="38" fontId="12" fillId="0" borderId="5" xfId="0" applyNumberFormat="1" applyFont="1" applyBorder="1" applyAlignment="1">
      <alignment horizontal="center"/>
    </xf>
    <xf numFmtId="38" fontId="13" fillId="0" borderId="5" xfId="0" applyNumberFormat="1" applyFont="1" applyBorder="1" applyAlignment="1">
      <alignment horizontal="center"/>
    </xf>
    <xf numFmtId="38" fontId="13" fillId="0" borderId="0" xfId="0" applyNumberFormat="1" applyFont="1"/>
    <xf numFmtId="3" fontId="13" fillId="0" borderId="0" xfId="0" applyNumberFormat="1" applyFont="1" applyAlignment="1">
      <alignment horizontal="center"/>
    </xf>
    <xf numFmtId="0" fontId="12" fillId="0" borderId="6" xfId="0" applyFont="1" applyBorder="1"/>
    <xf numFmtId="38" fontId="13" fillId="0" borderId="6" xfId="0" applyNumberFormat="1" applyFont="1" applyBorder="1"/>
    <xf numFmtId="3" fontId="12" fillId="0" borderId="0" xfId="0" applyNumberFormat="1" applyFont="1"/>
    <xf numFmtId="3" fontId="13" fillId="0" borderId="0" xfId="0" applyNumberFormat="1" applyFont="1"/>
    <xf numFmtId="0" fontId="13" fillId="0" borderId="0" xfId="0" applyFont="1" applyAlignment="1">
      <alignment horizontal="center"/>
    </xf>
    <xf numFmtId="0" fontId="12" fillId="0" borderId="6" xfId="0" applyFont="1" applyBorder="1" applyAlignment="1">
      <alignment horizontal="center"/>
    </xf>
    <xf numFmtId="38" fontId="12" fillId="0" borderId="6" xfId="0" applyNumberFormat="1" applyFont="1" applyBorder="1" applyAlignment="1">
      <alignment horizontal="center"/>
    </xf>
    <xf numFmtId="38" fontId="13" fillId="0" borderId="6" xfId="0" applyNumberFormat="1" applyFont="1" applyBorder="1" applyAlignment="1">
      <alignment horizontal="center"/>
    </xf>
    <xf numFmtId="0" fontId="12" fillId="2" borderId="0" xfId="0" applyFont="1" applyFill="1" applyAlignment="1">
      <alignment horizontal="center"/>
    </xf>
    <xf numFmtId="0" fontId="13" fillId="2" borderId="0" xfId="0" applyFont="1" applyFill="1" applyAlignment="1">
      <alignment horizontal="center"/>
    </xf>
    <xf numFmtId="0" fontId="12" fillId="3" borderId="9" xfId="0" applyFont="1" applyFill="1" applyBorder="1" applyAlignment="1">
      <alignment horizontal="right"/>
    </xf>
    <xf numFmtId="0" fontId="15" fillId="3" borderId="9" xfId="4" quotePrefix="1" applyNumberFormat="1" applyFont="1" applyFill="1" applyBorder="1" applyAlignment="1">
      <alignment horizontal="center"/>
    </xf>
    <xf numFmtId="38" fontId="12" fillId="3" borderId="5" xfId="0" applyNumberFormat="1" applyFont="1" applyFill="1" applyBorder="1" applyAlignment="1">
      <alignment horizontal="center"/>
    </xf>
    <xf numFmtId="38" fontId="13" fillId="3" borderId="5" xfId="0" applyNumberFormat="1" applyFont="1" applyFill="1" applyBorder="1" applyAlignment="1">
      <alignment horizontal="center"/>
    </xf>
    <xf numFmtId="38" fontId="12" fillId="0" borderId="0" xfId="0" applyNumberFormat="1" applyFont="1" applyAlignment="1">
      <alignment horizontal="center"/>
    </xf>
    <xf numFmtId="38" fontId="13" fillId="0" borderId="0" xfId="0" applyNumberFormat="1" applyFont="1" applyAlignment="1">
      <alignment horizontal="center"/>
    </xf>
    <xf numFmtId="38" fontId="12" fillId="3" borderId="6" xfId="0" applyNumberFormat="1" applyFont="1" applyFill="1" applyBorder="1"/>
    <xf numFmtId="9" fontId="12" fillId="3" borderId="0" xfId="2" applyFont="1" applyFill="1" applyBorder="1" applyAlignment="1">
      <alignment horizontal="center"/>
    </xf>
    <xf numFmtId="9" fontId="13" fillId="3" borderId="0" xfId="2" applyFont="1" applyFill="1" applyBorder="1" applyAlignment="1">
      <alignment horizontal="center"/>
    </xf>
    <xf numFmtId="168" fontId="13" fillId="3" borderId="0" xfId="2" applyNumberFormat="1" applyFont="1" applyFill="1" applyAlignment="1">
      <alignment horizontal="center"/>
    </xf>
    <xf numFmtId="167" fontId="13" fillId="3" borderId="0" xfId="0" applyNumberFormat="1" applyFont="1" applyFill="1" applyAlignment="1">
      <alignment horizontal="center"/>
    </xf>
    <xf numFmtId="0" fontId="13" fillId="0" borderId="8" xfId="0" applyFont="1" applyBorder="1" applyAlignment="1">
      <alignment horizontal="right"/>
    </xf>
    <xf numFmtId="38" fontId="12" fillId="0" borderId="0" xfId="0" applyNumberFormat="1" applyFont="1" applyAlignment="1">
      <alignment horizontal="right"/>
    </xf>
    <xf numFmtId="38" fontId="12" fillId="0" borderId="5" xfId="0" applyNumberFormat="1" applyFont="1" applyBorder="1" applyAlignment="1">
      <alignment horizontal="right"/>
    </xf>
    <xf numFmtId="3" fontId="12" fillId="0" borderId="0" xfId="0" applyNumberFormat="1" applyFont="1" applyAlignment="1">
      <alignment horizontal="right"/>
    </xf>
    <xf numFmtId="38" fontId="13" fillId="0" borderId="0" xfId="0" applyNumberFormat="1" applyFont="1" applyAlignment="1">
      <alignment horizontal="right"/>
    </xf>
    <xf numFmtId="38" fontId="13" fillId="0" borderId="5" xfId="0" applyNumberFormat="1" applyFont="1" applyBorder="1" applyAlignment="1">
      <alignment horizontal="right"/>
    </xf>
    <xf numFmtId="0" fontId="13" fillId="0" borderId="6" xfId="0" applyFont="1" applyBorder="1" applyAlignment="1">
      <alignment horizontal="center"/>
    </xf>
    <xf numFmtId="1" fontId="13" fillId="0" borderId="0" xfId="0" applyNumberFormat="1" applyFont="1" applyAlignment="1">
      <alignment horizontal="center"/>
    </xf>
    <xf numFmtId="0" fontId="12" fillId="0" borderId="10" xfId="5" applyFont="1" applyBorder="1" applyAlignment="1">
      <alignment horizontal="right"/>
    </xf>
    <xf numFmtId="0" fontId="12" fillId="0" borderId="10" xfId="5" applyFont="1" applyBorder="1" applyAlignment="1">
      <alignment horizontal="center"/>
    </xf>
    <xf numFmtId="0" fontId="12" fillId="0" borderId="0" xfId="5" applyFont="1"/>
    <xf numFmtId="38" fontId="12" fillId="0" borderId="0" xfId="5" applyNumberFormat="1" applyFont="1" applyAlignment="1">
      <alignment horizontal="center" vertical="center"/>
    </xf>
    <xf numFmtId="38" fontId="13" fillId="0" borderId="0" xfId="5" applyNumberFormat="1" applyFont="1" applyAlignment="1">
      <alignment horizontal="center" vertical="center"/>
    </xf>
    <xf numFmtId="38" fontId="17" fillId="0" borderId="0" xfId="5" applyNumberFormat="1" applyFont="1" applyAlignment="1">
      <alignment horizontal="center" vertical="center"/>
    </xf>
    <xf numFmtId="0" fontId="12" fillId="0" borderId="0" xfId="5" applyFont="1" applyAlignment="1">
      <alignment horizontal="center" vertical="center"/>
    </xf>
    <xf numFmtId="40" fontId="12" fillId="0" borderId="0" xfId="5" applyNumberFormat="1" applyFont="1" applyAlignment="1">
      <alignment horizontal="center" vertical="center"/>
    </xf>
    <xf numFmtId="0" fontId="12" fillId="0" borderId="11" xfId="5" applyFont="1" applyBorder="1"/>
    <xf numFmtId="1" fontId="12" fillId="0" borderId="11" xfId="5" applyNumberFormat="1" applyFont="1" applyBorder="1"/>
    <xf numFmtId="168" fontId="12" fillId="0" borderId="0" xfId="6" applyNumberFormat="1" applyFont="1" applyFill="1"/>
    <xf numFmtId="9" fontId="12" fillId="0" borderId="0" xfId="6" applyFont="1" applyFill="1"/>
    <xf numFmtId="169" fontId="12" fillId="0" borderId="10" xfId="5" applyNumberFormat="1" applyFont="1" applyBorder="1"/>
    <xf numFmtId="38" fontId="12" fillId="0" borderId="0" xfId="5" applyNumberFormat="1" applyFont="1"/>
    <xf numFmtId="0" fontId="12" fillId="0" borderId="12" xfId="5" applyFont="1" applyBorder="1"/>
    <xf numFmtId="0" fontId="19" fillId="2" borderId="3" xfId="0" applyFont="1" applyFill="1" applyBorder="1"/>
    <xf numFmtId="9" fontId="12" fillId="0" borderId="0" xfId="2" applyFont="1" applyAlignment="1">
      <alignment horizontal="center" vertical="center"/>
    </xf>
    <xf numFmtId="168" fontId="12" fillId="0" borderId="0" xfId="2" applyNumberFormat="1" applyFont="1" applyAlignment="1">
      <alignment horizontal="center" vertical="center"/>
    </xf>
    <xf numFmtId="38" fontId="20" fillId="0" borderId="0" xfId="5" applyNumberFormat="1" applyFont="1"/>
    <xf numFmtId="1" fontId="12" fillId="0" borderId="0" xfId="5" applyNumberFormat="1" applyFont="1"/>
    <xf numFmtId="38" fontId="16" fillId="0" borderId="0" xfId="5" applyNumberFormat="1" applyFont="1"/>
    <xf numFmtId="0" fontId="19" fillId="2" borderId="0" xfId="0" applyFont="1" applyFill="1" applyAlignment="1">
      <alignment horizontal="left" vertical="center"/>
    </xf>
    <xf numFmtId="0" fontId="21" fillId="2" borderId="0" xfId="0" applyFont="1" applyFill="1" applyAlignment="1">
      <alignment horizontal="center"/>
    </xf>
    <xf numFmtId="0" fontId="15" fillId="3" borderId="9" xfId="4" quotePrefix="1" applyNumberFormat="1" applyFont="1" applyFill="1" applyBorder="1" applyAlignment="1">
      <alignment horizontal="right"/>
    </xf>
    <xf numFmtId="38" fontId="12" fillId="0" borderId="6" xfId="0" applyNumberFormat="1" applyFont="1" applyBorder="1"/>
    <xf numFmtId="10" fontId="12" fillId="0" borderId="0" xfId="2" applyNumberFormat="1" applyFont="1" applyAlignment="1">
      <alignment horizontal="center"/>
    </xf>
    <xf numFmtId="9" fontId="12" fillId="0" borderId="5" xfId="2" applyFont="1" applyFill="1" applyBorder="1" applyAlignment="1">
      <alignment horizontal="center"/>
    </xf>
    <xf numFmtId="168" fontId="12" fillId="0" borderId="5" xfId="2" applyNumberFormat="1" applyFont="1" applyFill="1" applyBorder="1" applyAlignment="1">
      <alignment horizontal="center"/>
    </xf>
    <xf numFmtId="168" fontId="12" fillId="0" borderId="0" xfId="2" applyNumberFormat="1" applyFont="1" applyFill="1" applyAlignment="1">
      <alignment horizontal="center"/>
    </xf>
    <xf numFmtId="168" fontId="13" fillId="0" borderId="0" xfId="2" applyNumberFormat="1" applyFont="1" applyFill="1" applyAlignment="1">
      <alignment horizontal="center"/>
    </xf>
    <xf numFmtId="0" fontId="22" fillId="0" borderId="0" xfId="0" applyFont="1" applyAlignment="1">
      <alignment horizontal="left"/>
    </xf>
    <xf numFmtId="168" fontId="13" fillId="0" borderId="0" xfId="2" applyNumberFormat="1" applyFont="1" applyAlignment="1">
      <alignment horizontal="center"/>
    </xf>
    <xf numFmtId="3" fontId="12" fillId="0" borderId="5" xfId="0" applyNumberFormat="1" applyFont="1" applyBorder="1" applyAlignment="1">
      <alignment horizontal="center"/>
    </xf>
    <xf numFmtId="38" fontId="13" fillId="0" borderId="5" xfId="5" applyNumberFormat="1" applyFont="1" applyBorder="1"/>
    <xf numFmtId="0" fontId="23" fillId="0" borderId="0" xfId="3" applyFont="1" applyAlignment="1">
      <alignment horizontal="center"/>
    </xf>
  </cellXfs>
  <cellStyles count="7">
    <cellStyle name="Comma" xfId="1" builtinId="3"/>
    <cellStyle name="Comma 9" xfId="4" xr:uid="{AA7D96CD-19EA-48FB-A0A1-2D154E5CCBA0}"/>
    <cellStyle name="Hyperlink" xfId="3" builtinId="8"/>
    <cellStyle name="Normal" xfId="0" builtinId="0"/>
    <cellStyle name="Normal 2" xfId="5" xr:uid="{529DA1B5-5829-40A8-8B3F-F99CC084E226}"/>
    <cellStyle name="Percent" xfId="2" builtinId="5"/>
    <cellStyle name="Percent 2" xfId="6" xr:uid="{FDAA2F23-71FD-4F7C-8CFE-CE20A9FEE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150.statcan.gc.ca/t1/tbl1/en/cv.action?pid=2510008101" TargetMode="External"/><Relationship Id="rId1" Type="http://schemas.openxmlformats.org/officeDocument/2006/relationships/hyperlink" Target="https://www150.statcan.gc.ca/t1/tbl1/en/cv!recreate.action?pid=2510008201&amp;selectedNodeIds=&amp;checkedLevels=0D1,1D1,2D1,2D2&amp;refPeriods=20200101,20221001&amp;dimensionLayouts=layout3,layout3,layout3,layout2&amp;vectorDisplay=fals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9F15D-E268-4DEE-AE3F-839084B319A4}">
  <dimension ref="A2:F20"/>
  <sheetViews>
    <sheetView tabSelected="1" workbookViewId="0">
      <selection activeCell="B4" sqref="B4"/>
    </sheetView>
  </sheetViews>
  <sheetFormatPr defaultColWidth="9.140625" defaultRowHeight="15" x14ac:dyDescent="0.25"/>
  <cols>
    <col min="1" max="1" width="47.5703125" style="5" bestFit="1" customWidth="1"/>
    <col min="2" max="2" width="38.5703125" style="5" bestFit="1" customWidth="1"/>
    <col min="3" max="16384" width="9.140625" style="5"/>
  </cols>
  <sheetData>
    <row r="2" spans="1:6" s="4" customFormat="1" ht="39" customHeight="1" x14ac:dyDescent="0.25">
      <c r="A2" s="1" t="s">
        <v>0</v>
      </c>
      <c r="B2" s="2" t="s">
        <v>1</v>
      </c>
      <c r="C2" s="3" t="s">
        <v>2</v>
      </c>
      <c r="D2" s="3"/>
      <c r="E2" s="3"/>
      <c r="F2" s="3"/>
    </row>
    <row r="3" spans="1:6" x14ac:dyDescent="0.25">
      <c r="A3" s="5" t="s">
        <v>3</v>
      </c>
      <c r="B3" s="6" t="s">
        <v>4</v>
      </c>
      <c r="C3" s="5" t="s">
        <v>5</v>
      </c>
    </row>
    <row r="4" spans="1:6" x14ac:dyDescent="0.25">
      <c r="A4" s="5" t="s">
        <v>6</v>
      </c>
      <c r="B4" s="6" t="s">
        <v>7</v>
      </c>
      <c r="C4" s="5" t="s">
        <v>8</v>
      </c>
    </row>
    <row r="5" spans="1:6" x14ac:dyDescent="0.25">
      <c r="A5" s="5" t="s">
        <v>9</v>
      </c>
      <c r="B5" s="5" t="s">
        <v>10</v>
      </c>
    </row>
    <row r="9" spans="1:6" x14ac:dyDescent="0.25">
      <c r="A9" s="5" t="s">
        <v>11</v>
      </c>
    </row>
    <row r="10" spans="1:6" x14ac:dyDescent="0.25">
      <c r="A10" s="5" t="s">
        <v>12</v>
      </c>
    </row>
    <row r="11" spans="1:6" x14ac:dyDescent="0.25">
      <c r="A11" s="5" t="s">
        <v>13</v>
      </c>
    </row>
    <row r="14" spans="1:6" x14ac:dyDescent="0.25">
      <c r="A14" s="5" t="s">
        <v>14</v>
      </c>
    </row>
    <row r="15" spans="1:6" x14ac:dyDescent="0.25">
      <c r="A15" s="5" t="s">
        <v>15</v>
      </c>
    </row>
    <row r="16" spans="1:6" x14ac:dyDescent="0.25">
      <c r="A16" s="5" t="s">
        <v>15</v>
      </c>
    </row>
    <row r="17" spans="1:2" x14ac:dyDescent="0.25">
      <c r="A17" s="5" t="s">
        <v>16</v>
      </c>
      <c r="B17" s="5" t="s">
        <v>17</v>
      </c>
    </row>
    <row r="18" spans="1:2" x14ac:dyDescent="0.25">
      <c r="A18" s="5" t="s">
        <v>18</v>
      </c>
    </row>
    <row r="19" spans="1:2" x14ac:dyDescent="0.25">
      <c r="A19" s="5" t="s">
        <v>19</v>
      </c>
      <c r="B19" s="5" t="s">
        <v>20</v>
      </c>
    </row>
    <row r="20" spans="1:2" x14ac:dyDescent="0.25">
      <c r="A20" s="5" t="s">
        <v>21</v>
      </c>
      <c r="B20" s="5" t="s">
        <v>20</v>
      </c>
    </row>
  </sheetData>
  <mergeCells count="1">
    <mergeCell ref="C2:F2"/>
  </mergeCells>
  <hyperlinks>
    <hyperlink ref="B3" r:id="rId1" display="https://www150.statcan.gc.ca/t1/tbl1/en/cv!recreate.action?pid=2510008201&amp;selectedNodeIds=&amp;checkedLevels=0D1,1D1,2D1,2D2&amp;refPeriods=20200101,20221001&amp;dimensionLayouts=layout3,layout3,layout3,layout2&amp;vectorDisplay=false" xr:uid="{08E7EC79-77EF-42C9-8AA2-83B95ED05648}"/>
    <hyperlink ref="B4" r:id="rId2" display="https://www150.statcan.gc.ca/t1/tbl1/en/cv.action?pid=2510008101" xr:uid="{9DDC5700-00F8-45EF-AF0E-A8F3696E8F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1128B-8C2E-4EBC-BFE2-AA3D6BC5A7BF}">
  <dimension ref="A1:G322"/>
  <sheetViews>
    <sheetView workbookViewId="0">
      <pane xSplit="1" ySplit="1" topLeftCell="B170" activePane="bottomRight" state="frozen"/>
      <selection activeCell="B4" sqref="B4"/>
      <selection pane="topRight" activeCell="B4" sqref="B4"/>
      <selection pane="bottomLeft" activeCell="B4" sqref="B4"/>
      <selection pane="bottomRight" activeCell="B4" sqref="B4"/>
    </sheetView>
  </sheetViews>
  <sheetFormatPr defaultColWidth="9.140625" defaultRowHeight="13.5" x14ac:dyDescent="0.25"/>
  <cols>
    <col min="1" max="1" width="9.140625" style="7"/>
    <col min="2" max="4" width="14.28515625" style="7" customWidth="1"/>
    <col min="5" max="6" width="9.140625" style="7"/>
    <col min="7" max="7" width="10" style="7" bestFit="1" customWidth="1"/>
    <col min="8" max="16384" width="9.140625" style="7"/>
  </cols>
  <sheetData>
    <row r="1" spans="1:6" ht="15.75" x14ac:dyDescent="0.25">
      <c r="B1" s="8" t="s">
        <v>22</v>
      </c>
      <c r="C1" s="8" t="s">
        <v>23</v>
      </c>
      <c r="D1" s="8" t="s">
        <v>24</v>
      </c>
      <c r="E1" s="7">
        <v>0.26417000000000002</v>
      </c>
      <c r="F1" s="7" t="s">
        <v>25</v>
      </c>
    </row>
    <row r="2" spans="1:6" x14ac:dyDescent="0.25">
      <c r="A2" s="9">
        <v>40544</v>
      </c>
      <c r="B2" s="10"/>
      <c r="C2" s="10">
        <v>0</v>
      </c>
      <c r="D2" s="10">
        <f>C2+B2</f>
        <v>0</v>
      </c>
    </row>
    <row r="3" spans="1:6" x14ac:dyDescent="0.25">
      <c r="A3" s="9">
        <v>40575</v>
      </c>
      <c r="B3" s="10"/>
      <c r="C3" s="10">
        <v>0</v>
      </c>
      <c r="D3" s="10">
        <f t="shared" ref="D3:D66" si="0">C3+B3</f>
        <v>0</v>
      </c>
    </row>
    <row r="4" spans="1:6" x14ac:dyDescent="0.25">
      <c r="A4" s="9">
        <v>40603</v>
      </c>
      <c r="B4" s="10"/>
      <c r="C4" s="10">
        <v>0</v>
      </c>
      <c r="D4" s="10">
        <f t="shared" si="0"/>
        <v>0</v>
      </c>
    </row>
    <row r="5" spans="1:6" x14ac:dyDescent="0.25">
      <c r="A5" s="9">
        <v>40634</v>
      </c>
      <c r="B5" s="10"/>
      <c r="C5" s="10">
        <v>0</v>
      </c>
      <c r="D5" s="10">
        <f t="shared" si="0"/>
        <v>0</v>
      </c>
    </row>
    <row r="6" spans="1:6" x14ac:dyDescent="0.25">
      <c r="A6" s="9">
        <v>40664</v>
      </c>
      <c r="B6" s="10"/>
      <c r="C6" s="10">
        <v>0</v>
      </c>
      <c r="D6" s="10">
        <f t="shared" si="0"/>
        <v>0</v>
      </c>
    </row>
    <row r="7" spans="1:6" x14ac:dyDescent="0.25">
      <c r="A7" s="9">
        <v>40695</v>
      </c>
      <c r="B7" s="10"/>
      <c r="C7" s="10">
        <v>0</v>
      </c>
      <c r="D7" s="10">
        <f t="shared" si="0"/>
        <v>0</v>
      </c>
    </row>
    <row r="8" spans="1:6" x14ac:dyDescent="0.25">
      <c r="A8" s="9">
        <v>40725</v>
      </c>
      <c r="B8" s="10"/>
      <c r="C8" s="10">
        <v>0</v>
      </c>
      <c r="D8" s="10">
        <f t="shared" si="0"/>
        <v>0</v>
      </c>
    </row>
    <row r="9" spans="1:6" x14ac:dyDescent="0.25">
      <c r="A9" s="9">
        <v>40756</v>
      </c>
      <c r="B9" s="10"/>
      <c r="C9" s="10">
        <v>0</v>
      </c>
      <c r="D9" s="10">
        <f t="shared" si="0"/>
        <v>0</v>
      </c>
    </row>
    <row r="10" spans="1:6" x14ac:dyDescent="0.25">
      <c r="A10" s="9">
        <v>40787</v>
      </c>
      <c r="B10" s="10"/>
      <c r="C10" s="10">
        <v>0</v>
      </c>
      <c r="D10" s="10">
        <f t="shared" si="0"/>
        <v>0</v>
      </c>
    </row>
    <row r="11" spans="1:6" x14ac:dyDescent="0.25">
      <c r="A11" s="9">
        <v>40817</v>
      </c>
      <c r="B11" s="10"/>
      <c r="C11" s="10">
        <v>0</v>
      </c>
      <c r="D11" s="10">
        <f t="shared" si="0"/>
        <v>0</v>
      </c>
    </row>
    <row r="12" spans="1:6" x14ac:dyDescent="0.25">
      <c r="A12" s="9">
        <v>40848</v>
      </c>
      <c r="B12" s="10"/>
      <c r="C12" s="10">
        <v>0</v>
      </c>
      <c r="D12" s="10">
        <f t="shared" si="0"/>
        <v>0</v>
      </c>
    </row>
    <row r="13" spans="1:6" x14ac:dyDescent="0.25">
      <c r="A13" s="9">
        <v>40878</v>
      </c>
      <c r="B13" s="10"/>
      <c r="C13" s="10">
        <v>0</v>
      </c>
      <c r="D13" s="10">
        <f t="shared" si="0"/>
        <v>0</v>
      </c>
    </row>
    <row r="14" spans="1:6" x14ac:dyDescent="0.25">
      <c r="A14" s="9">
        <v>40909</v>
      </c>
      <c r="B14" s="10"/>
      <c r="C14" s="10">
        <v>0</v>
      </c>
      <c r="D14" s="10">
        <f t="shared" si="0"/>
        <v>0</v>
      </c>
    </row>
    <row r="15" spans="1:6" x14ac:dyDescent="0.25">
      <c r="A15" s="9">
        <v>40940</v>
      </c>
      <c r="B15" s="10"/>
      <c r="C15" s="10">
        <v>0</v>
      </c>
      <c r="D15" s="10">
        <f t="shared" si="0"/>
        <v>0</v>
      </c>
    </row>
    <row r="16" spans="1:6" x14ac:dyDescent="0.25">
      <c r="A16" s="9">
        <v>40969</v>
      </c>
      <c r="B16" s="10"/>
      <c r="C16" s="10">
        <v>0</v>
      </c>
      <c r="D16" s="10">
        <f t="shared" si="0"/>
        <v>0</v>
      </c>
    </row>
    <row r="17" spans="1:4" x14ac:dyDescent="0.25">
      <c r="A17" s="9">
        <v>41000</v>
      </c>
      <c r="B17" s="10"/>
      <c r="C17" s="10">
        <v>0</v>
      </c>
      <c r="D17" s="10">
        <f t="shared" si="0"/>
        <v>0</v>
      </c>
    </row>
    <row r="18" spans="1:4" x14ac:dyDescent="0.25">
      <c r="A18" s="9">
        <v>41030</v>
      </c>
      <c r="B18" s="10"/>
      <c r="C18" s="10">
        <v>0</v>
      </c>
      <c r="D18" s="10">
        <f t="shared" si="0"/>
        <v>0</v>
      </c>
    </row>
    <row r="19" spans="1:4" x14ac:dyDescent="0.25">
      <c r="A19" s="9">
        <v>41061</v>
      </c>
      <c r="B19" s="10"/>
      <c r="C19" s="10">
        <v>0</v>
      </c>
      <c r="D19" s="10">
        <f t="shared" si="0"/>
        <v>0</v>
      </c>
    </row>
    <row r="20" spans="1:4" x14ac:dyDescent="0.25">
      <c r="A20" s="9">
        <v>41091</v>
      </c>
      <c r="B20" s="10"/>
      <c r="C20" s="10">
        <v>0</v>
      </c>
      <c r="D20" s="10">
        <f t="shared" si="0"/>
        <v>0</v>
      </c>
    </row>
    <row r="21" spans="1:4" x14ac:dyDescent="0.25">
      <c r="A21" s="9">
        <v>41122</v>
      </c>
      <c r="B21" s="10"/>
      <c r="C21" s="10">
        <v>0</v>
      </c>
      <c r="D21" s="10">
        <f t="shared" si="0"/>
        <v>0</v>
      </c>
    </row>
    <row r="22" spans="1:4" x14ac:dyDescent="0.25">
      <c r="A22" s="9">
        <v>41153</v>
      </c>
      <c r="B22" s="10"/>
      <c r="C22" s="10">
        <v>0</v>
      </c>
      <c r="D22" s="10">
        <f t="shared" si="0"/>
        <v>0</v>
      </c>
    </row>
    <row r="23" spans="1:4" x14ac:dyDescent="0.25">
      <c r="A23" s="9">
        <v>41183</v>
      </c>
      <c r="B23" s="10"/>
      <c r="C23" s="10">
        <v>0</v>
      </c>
      <c r="D23" s="10">
        <f t="shared" si="0"/>
        <v>0</v>
      </c>
    </row>
    <row r="24" spans="1:4" x14ac:dyDescent="0.25">
      <c r="A24" s="9">
        <v>41214</v>
      </c>
      <c r="B24" s="10"/>
      <c r="C24" s="10">
        <v>0</v>
      </c>
      <c r="D24" s="10">
        <f t="shared" si="0"/>
        <v>0</v>
      </c>
    </row>
    <row r="25" spans="1:4" x14ac:dyDescent="0.25">
      <c r="A25" s="9">
        <v>41244</v>
      </c>
      <c r="B25" s="10"/>
      <c r="C25" s="10">
        <v>0</v>
      </c>
      <c r="D25" s="10">
        <f t="shared" si="0"/>
        <v>0</v>
      </c>
    </row>
    <row r="26" spans="1:4" x14ac:dyDescent="0.25">
      <c r="A26" s="9">
        <v>41275</v>
      </c>
      <c r="B26" s="10"/>
      <c r="C26" s="10">
        <v>0</v>
      </c>
      <c r="D26" s="10">
        <f t="shared" si="0"/>
        <v>0</v>
      </c>
    </row>
    <row r="27" spans="1:4" x14ac:dyDescent="0.25">
      <c r="A27" s="9">
        <v>41306</v>
      </c>
      <c r="B27" s="10"/>
      <c r="C27" s="10">
        <v>0</v>
      </c>
      <c r="D27" s="10">
        <f t="shared" si="0"/>
        <v>0</v>
      </c>
    </row>
    <row r="28" spans="1:4" x14ac:dyDescent="0.25">
      <c r="A28" s="9">
        <v>41334</v>
      </c>
      <c r="B28" s="10"/>
      <c r="C28" s="10">
        <v>0</v>
      </c>
      <c r="D28" s="10">
        <f t="shared" si="0"/>
        <v>0</v>
      </c>
    </row>
    <row r="29" spans="1:4" x14ac:dyDescent="0.25">
      <c r="A29" s="9">
        <v>41365</v>
      </c>
      <c r="B29" s="10"/>
      <c r="C29" s="10">
        <v>0</v>
      </c>
      <c r="D29" s="10">
        <f t="shared" si="0"/>
        <v>0</v>
      </c>
    </row>
    <row r="30" spans="1:4" x14ac:dyDescent="0.25">
      <c r="A30" s="9">
        <v>41395</v>
      </c>
      <c r="B30" s="10"/>
      <c r="C30" s="10">
        <v>0</v>
      </c>
      <c r="D30" s="10">
        <f t="shared" si="0"/>
        <v>0</v>
      </c>
    </row>
    <row r="31" spans="1:4" x14ac:dyDescent="0.25">
      <c r="A31" s="9">
        <v>41426</v>
      </c>
      <c r="B31" s="10"/>
      <c r="C31" s="10">
        <v>0</v>
      </c>
      <c r="D31" s="10">
        <f t="shared" si="0"/>
        <v>0</v>
      </c>
    </row>
    <row r="32" spans="1:4" x14ac:dyDescent="0.25">
      <c r="A32" s="9">
        <v>41456</v>
      </c>
      <c r="B32" s="10"/>
      <c r="C32" s="10">
        <v>0</v>
      </c>
      <c r="D32" s="10">
        <f t="shared" si="0"/>
        <v>0</v>
      </c>
    </row>
    <row r="33" spans="1:4" x14ac:dyDescent="0.25">
      <c r="A33" s="9">
        <v>41487</v>
      </c>
      <c r="B33" s="10"/>
      <c r="C33" s="10">
        <v>0</v>
      </c>
      <c r="D33" s="10">
        <f t="shared" si="0"/>
        <v>0</v>
      </c>
    </row>
    <row r="34" spans="1:4" x14ac:dyDescent="0.25">
      <c r="A34" s="9">
        <v>41518</v>
      </c>
      <c r="B34" s="10"/>
      <c r="C34" s="10">
        <v>0</v>
      </c>
      <c r="D34" s="10">
        <f t="shared" si="0"/>
        <v>0</v>
      </c>
    </row>
    <row r="35" spans="1:4" x14ac:dyDescent="0.25">
      <c r="A35" s="9">
        <v>41548</v>
      </c>
      <c r="B35" s="10"/>
      <c r="C35" s="10">
        <v>0</v>
      </c>
      <c r="D35" s="10">
        <f t="shared" si="0"/>
        <v>0</v>
      </c>
    </row>
    <row r="36" spans="1:4" x14ac:dyDescent="0.25">
      <c r="A36" s="9">
        <v>41579</v>
      </c>
      <c r="B36" s="10"/>
      <c r="C36" s="10">
        <v>0</v>
      </c>
      <c r="D36" s="10">
        <f t="shared" si="0"/>
        <v>0</v>
      </c>
    </row>
    <row r="37" spans="1:4" x14ac:dyDescent="0.25">
      <c r="A37" s="9">
        <v>41609</v>
      </c>
      <c r="B37" s="10"/>
      <c r="C37" s="10">
        <v>0</v>
      </c>
      <c r="D37" s="10">
        <f t="shared" si="0"/>
        <v>0</v>
      </c>
    </row>
    <row r="38" spans="1:4" x14ac:dyDescent="0.25">
      <c r="A38" s="9">
        <v>41640</v>
      </c>
      <c r="B38" s="10"/>
      <c r="C38" s="10">
        <v>0</v>
      </c>
      <c r="D38" s="10">
        <f t="shared" si="0"/>
        <v>0</v>
      </c>
    </row>
    <row r="39" spans="1:4" x14ac:dyDescent="0.25">
      <c r="A39" s="9">
        <v>41671</v>
      </c>
      <c r="B39" s="10"/>
      <c r="C39" s="10">
        <v>0</v>
      </c>
      <c r="D39" s="10">
        <f t="shared" si="0"/>
        <v>0</v>
      </c>
    </row>
    <row r="40" spans="1:4" x14ac:dyDescent="0.25">
      <c r="A40" s="9">
        <v>41699</v>
      </c>
      <c r="B40" s="10"/>
      <c r="C40" s="10">
        <v>0</v>
      </c>
      <c r="D40" s="10">
        <f t="shared" si="0"/>
        <v>0</v>
      </c>
    </row>
    <row r="41" spans="1:4" x14ac:dyDescent="0.25">
      <c r="A41" s="9">
        <v>41730</v>
      </c>
      <c r="B41" s="10"/>
      <c r="C41" s="10">
        <v>0</v>
      </c>
      <c r="D41" s="10">
        <f t="shared" si="0"/>
        <v>0</v>
      </c>
    </row>
    <row r="42" spans="1:4" x14ac:dyDescent="0.25">
      <c r="A42" s="9">
        <v>41760</v>
      </c>
      <c r="B42" s="10"/>
      <c r="C42" s="10">
        <v>0</v>
      </c>
      <c r="D42" s="10">
        <f t="shared" si="0"/>
        <v>0</v>
      </c>
    </row>
    <row r="43" spans="1:4" x14ac:dyDescent="0.25">
      <c r="A43" s="9">
        <v>41791</v>
      </c>
      <c r="B43" s="10"/>
      <c r="C43" s="10">
        <v>0</v>
      </c>
      <c r="D43" s="10">
        <f t="shared" si="0"/>
        <v>0</v>
      </c>
    </row>
    <row r="44" spans="1:4" x14ac:dyDescent="0.25">
      <c r="A44" s="9">
        <v>41821</v>
      </c>
      <c r="B44" s="10"/>
      <c r="C44" s="10">
        <v>0</v>
      </c>
      <c r="D44" s="10">
        <f t="shared" si="0"/>
        <v>0</v>
      </c>
    </row>
    <row r="45" spans="1:4" x14ac:dyDescent="0.25">
      <c r="A45" s="9">
        <v>41852</v>
      </c>
      <c r="B45" s="10"/>
      <c r="C45" s="10">
        <v>0</v>
      </c>
      <c r="D45" s="10">
        <f t="shared" si="0"/>
        <v>0</v>
      </c>
    </row>
    <row r="46" spans="1:4" x14ac:dyDescent="0.25">
      <c r="A46" s="9">
        <v>41883</v>
      </c>
      <c r="B46" s="10"/>
      <c r="C46" s="10">
        <v>0</v>
      </c>
      <c r="D46" s="10">
        <f t="shared" si="0"/>
        <v>0</v>
      </c>
    </row>
    <row r="47" spans="1:4" x14ac:dyDescent="0.25">
      <c r="A47" s="9">
        <v>41913</v>
      </c>
      <c r="B47" s="10"/>
      <c r="C47" s="10">
        <v>0</v>
      </c>
      <c r="D47" s="10">
        <f t="shared" si="0"/>
        <v>0</v>
      </c>
    </row>
    <row r="48" spans="1:4" x14ac:dyDescent="0.25">
      <c r="A48" s="9">
        <v>41944</v>
      </c>
      <c r="B48" s="10"/>
      <c r="C48" s="10">
        <v>0</v>
      </c>
      <c r="D48" s="10">
        <f t="shared" si="0"/>
        <v>0</v>
      </c>
    </row>
    <row r="49" spans="1:4" x14ac:dyDescent="0.25">
      <c r="A49" s="9">
        <v>41974</v>
      </c>
      <c r="B49" s="10"/>
      <c r="C49" s="10">
        <v>0</v>
      </c>
      <c r="D49" s="10">
        <f t="shared" si="0"/>
        <v>0</v>
      </c>
    </row>
    <row r="50" spans="1:4" x14ac:dyDescent="0.25">
      <c r="A50" s="9">
        <v>42005</v>
      </c>
      <c r="B50" s="10">
        <f>400/12*$E$1</f>
        <v>8.8056666666666672</v>
      </c>
      <c r="C50" s="10">
        <v>0</v>
      </c>
      <c r="D50" s="10">
        <f t="shared" si="0"/>
        <v>8.8056666666666672</v>
      </c>
    </row>
    <row r="51" spans="1:4" x14ac:dyDescent="0.25">
      <c r="A51" s="9">
        <v>42036</v>
      </c>
      <c r="B51" s="10">
        <f t="shared" ref="B51:B61" si="1">400/12*$E$1</f>
        <v>8.8056666666666672</v>
      </c>
      <c r="C51" s="10">
        <v>0</v>
      </c>
      <c r="D51" s="10">
        <f t="shared" si="0"/>
        <v>8.8056666666666672</v>
      </c>
    </row>
    <row r="52" spans="1:4" x14ac:dyDescent="0.25">
      <c r="A52" s="9">
        <v>42064</v>
      </c>
      <c r="B52" s="10">
        <f t="shared" si="1"/>
        <v>8.8056666666666672</v>
      </c>
      <c r="C52" s="10">
        <v>0</v>
      </c>
      <c r="D52" s="10">
        <f t="shared" si="0"/>
        <v>8.8056666666666672</v>
      </c>
    </row>
    <row r="53" spans="1:4" x14ac:dyDescent="0.25">
      <c r="A53" s="9">
        <v>42095</v>
      </c>
      <c r="B53" s="10">
        <f t="shared" si="1"/>
        <v>8.8056666666666672</v>
      </c>
      <c r="C53" s="10">
        <v>0</v>
      </c>
      <c r="D53" s="10">
        <f t="shared" si="0"/>
        <v>8.8056666666666672</v>
      </c>
    </row>
    <row r="54" spans="1:4" x14ac:dyDescent="0.25">
      <c r="A54" s="9">
        <v>42125</v>
      </c>
      <c r="B54" s="10">
        <f t="shared" si="1"/>
        <v>8.8056666666666672</v>
      </c>
      <c r="C54" s="10">
        <v>0</v>
      </c>
      <c r="D54" s="10">
        <f t="shared" si="0"/>
        <v>8.8056666666666672</v>
      </c>
    </row>
    <row r="55" spans="1:4" x14ac:dyDescent="0.25">
      <c r="A55" s="9">
        <v>42156</v>
      </c>
      <c r="B55" s="10">
        <f t="shared" si="1"/>
        <v>8.8056666666666672</v>
      </c>
      <c r="C55" s="10">
        <v>0</v>
      </c>
      <c r="D55" s="10">
        <f t="shared" si="0"/>
        <v>8.8056666666666672</v>
      </c>
    </row>
    <row r="56" spans="1:4" x14ac:dyDescent="0.25">
      <c r="A56" s="9">
        <v>42186</v>
      </c>
      <c r="B56" s="10">
        <f t="shared" si="1"/>
        <v>8.8056666666666672</v>
      </c>
      <c r="C56" s="10">
        <v>0</v>
      </c>
      <c r="D56" s="10">
        <f t="shared" si="0"/>
        <v>8.8056666666666672</v>
      </c>
    </row>
    <row r="57" spans="1:4" x14ac:dyDescent="0.25">
      <c r="A57" s="9">
        <v>42217</v>
      </c>
      <c r="B57" s="10">
        <f t="shared" si="1"/>
        <v>8.8056666666666672</v>
      </c>
      <c r="C57" s="10">
        <v>0</v>
      </c>
      <c r="D57" s="10">
        <f t="shared" si="0"/>
        <v>8.8056666666666672</v>
      </c>
    </row>
    <row r="58" spans="1:4" x14ac:dyDescent="0.25">
      <c r="A58" s="9">
        <v>42248</v>
      </c>
      <c r="B58" s="10">
        <f t="shared" si="1"/>
        <v>8.8056666666666672</v>
      </c>
      <c r="C58" s="10">
        <v>0</v>
      </c>
      <c r="D58" s="10">
        <f t="shared" si="0"/>
        <v>8.8056666666666672</v>
      </c>
    </row>
    <row r="59" spans="1:4" x14ac:dyDescent="0.25">
      <c r="A59" s="9">
        <v>42278</v>
      </c>
      <c r="B59" s="10">
        <f t="shared" si="1"/>
        <v>8.8056666666666672</v>
      </c>
      <c r="C59" s="10">
        <v>0</v>
      </c>
      <c r="D59" s="10">
        <f t="shared" si="0"/>
        <v>8.8056666666666672</v>
      </c>
    </row>
    <row r="60" spans="1:4" x14ac:dyDescent="0.25">
      <c r="A60" s="9">
        <v>42309</v>
      </c>
      <c r="B60" s="10">
        <f t="shared" si="1"/>
        <v>8.8056666666666672</v>
      </c>
      <c r="C60" s="10">
        <v>0</v>
      </c>
      <c r="D60" s="10">
        <f t="shared" si="0"/>
        <v>8.8056666666666672</v>
      </c>
    </row>
    <row r="61" spans="1:4" x14ac:dyDescent="0.25">
      <c r="A61" s="9">
        <v>42339</v>
      </c>
      <c r="B61" s="10">
        <f t="shared" si="1"/>
        <v>8.8056666666666672</v>
      </c>
      <c r="C61" s="10">
        <v>0</v>
      </c>
      <c r="D61" s="10">
        <f t="shared" si="0"/>
        <v>8.8056666666666672</v>
      </c>
    </row>
    <row r="62" spans="1:4" x14ac:dyDescent="0.25">
      <c r="A62" s="9">
        <v>42370</v>
      </c>
      <c r="B62" s="10">
        <f>550/12*$E$1</f>
        <v>12.107791666666667</v>
      </c>
      <c r="C62" s="10">
        <v>0</v>
      </c>
      <c r="D62" s="10">
        <f t="shared" si="0"/>
        <v>12.107791666666667</v>
      </c>
    </row>
    <row r="63" spans="1:4" x14ac:dyDescent="0.25">
      <c r="A63" s="9">
        <v>42401</v>
      </c>
      <c r="B63" s="10">
        <f t="shared" ref="B63:B73" si="2">550/12*$E$1</f>
        <v>12.107791666666667</v>
      </c>
      <c r="C63" s="10">
        <v>0</v>
      </c>
      <c r="D63" s="10">
        <f t="shared" si="0"/>
        <v>12.107791666666667</v>
      </c>
    </row>
    <row r="64" spans="1:4" x14ac:dyDescent="0.25">
      <c r="A64" s="9">
        <v>42430</v>
      </c>
      <c r="B64" s="10">
        <f t="shared" si="2"/>
        <v>12.107791666666667</v>
      </c>
      <c r="C64" s="10">
        <v>0</v>
      </c>
      <c r="D64" s="10">
        <f t="shared" si="0"/>
        <v>12.107791666666667</v>
      </c>
    </row>
    <row r="65" spans="1:4" x14ac:dyDescent="0.25">
      <c r="A65" s="9">
        <v>42461</v>
      </c>
      <c r="B65" s="10">
        <f t="shared" si="2"/>
        <v>12.107791666666667</v>
      </c>
      <c r="C65" s="10">
        <v>0</v>
      </c>
      <c r="D65" s="10">
        <f t="shared" si="0"/>
        <v>12.107791666666667</v>
      </c>
    </row>
    <row r="66" spans="1:4" x14ac:dyDescent="0.25">
      <c r="A66" s="9">
        <v>42491</v>
      </c>
      <c r="B66" s="10">
        <f t="shared" si="2"/>
        <v>12.107791666666667</v>
      </c>
      <c r="C66" s="10">
        <v>0</v>
      </c>
      <c r="D66" s="10">
        <f t="shared" si="0"/>
        <v>12.107791666666667</v>
      </c>
    </row>
    <row r="67" spans="1:4" x14ac:dyDescent="0.25">
      <c r="A67" s="9">
        <v>42522</v>
      </c>
      <c r="B67" s="10">
        <f t="shared" si="2"/>
        <v>12.107791666666667</v>
      </c>
      <c r="C67" s="10">
        <v>0</v>
      </c>
      <c r="D67" s="10">
        <f t="shared" ref="D67:D130" si="3">C67+B67</f>
        <v>12.107791666666667</v>
      </c>
    </row>
    <row r="68" spans="1:4" x14ac:dyDescent="0.25">
      <c r="A68" s="9">
        <v>42552</v>
      </c>
      <c r="B68" s="10">
        <f t="shared" si="2"/>
        <v>12.107791666666667</v>
      </c>
      <c r="C68" s="10">
        <v>0</v>
      </c>
      <c r="D68" s="10">
        <f t="shared" si="3"/>
        <v>12.107791666666667</v>
      </c>
    </row>
    <row r="69" spans="1:4" x14ac:dyDescent="0.25">
      <c r="A69" s="9">
        <v>42583</v>
      </c>
      <c r="B69" s="10">
        <f t="shared" si="2"/>
        <v>12.107791666666667</v>
      </c>
      <c r="C69" s="10">
        <v>0</v>
      </c>
      <c r="D69" s="10">
        <f t="shared" si="3"/>
        <v>12.107791666666667</v>
      </c>
    </row>
    <row r="70" spans="1:4" x14ac:dyDescent="0.25">
      <c r="A70" s="9">
        <v>42614</v>
      </c>
      <c r="B70" s="10">
        <f t="shared" si="2"/>
        <v>12.107791666666667</v>
      </c>
      <c r="C70" s="10">
        <v>0</v>
      </c>
      <c r="D70" s="10">
        <f t="shared" si="3"/>
        <v>12.107791666666667</v>
      </c>
    </row>
    <row r="71" spans="1:4" x14ac:dyDescent="0.25">
      <c r="A71" s="9">
        <v>42644</v>
      </c>
      <c r="B71" s="10">
        <f t="shared" si="2"/>
        <v>12.107791666666667</v>
      </c>
      <c r="C71" s="10">
        <v>0</v>
      </c>
      <c r="D71" s="10">
        <f t="shared" si="3"/>
        <v>12.107791666666667</v>
      </c>
    </row>
    <row r="72" spans="1:4" x14ac:dyDescent="0.25">
      <c r="A72" s="9">
        <v>42675</v>
      </c>
      <c r="B72" s="10">
        <f t="shared" si="2"/>
        <v>12.107791666666667</v>
      </c>
      <c r="C72" s="10">
        <v>0</v>
      </c>
      <c r="D72" s="10">
        <f t="shared" si="3"/>
        <v>12.107791666666667</v>
      </c>
    </row>
    <row r="73" spans="1:4" x14ac:dyDescent="0.25">
      <c r="A73" s="9">
        <v>42705</v>
      </c>
      <c r="B73" s="10">
        <f t="shared" si="2"/>
        <v>12.107791666666667</v>
      </c>
      <c r="C73" s="10">
        <v>0</v>
      </c>
      <c r="D73" s="10">
        <f t="shared" si="3"/>
        <v>12.107791666666667</v>
      </c>
    </row>
    <row r="74" spans="1:4" x14ac:dyDescent="0.25">
      <c r="A74" s="9">
        <v>42736</v>
      </c>
      <c r="B74" s="10">
        <f>591/12*$E$1</f>
        <v>13.010372500000001</v>
      </c>
      <c r="C74" s="10">
        <v>0</v>
      </c>
      <c r="D74" s="10">
        <f t="shared" si="3"/>
        <v>13.010372500000001</v>
      </c>
    </row>
    <row r="75" spans="1:4" x14ac:dyDescent="0.25">
      <c r="A75" s="9">
        <v>42767</v>
      </c>
      <c r="B75" s="10">
        <f t="shared" ref="B75:B85" si="4">591/12*$E$1</f>
        <v>13.010372500000001</v>
      </c>
      <c r="C75" s="10">
        <v>0</v>
      </c>
      <c r="D75" s="10">
        <f t="shared" si="3"/>
        <v>13.010372500000001</v>
      </c>
    </row>
    <row r="76" spans="1:4" x14ac:dyDescent="0.25">
      <c r="A76" s="9">
        <v>42795</v>
      </c>
      <c r="B76" s="10">
        <f t="shared" si="4"/>
        <v>13.010372500000001</v>
      </c>
      <c r="C76" s="10">
        <v>0</v>
      </c>
      <c r="D76" s="10">
        <f t="shared" si="3"/>
        <v>13.010372500000001</v>
      </c>
    </row>
    <row r="77" spans="1:4" x14ac:dyDescent="0.25">
      <c r="A77" s="9">
        <v>42826</v>
      </c>
      <c r="B77" s="10">
        <f t="shared" si="4"/>
        <v>13.010372500000001</v>
      </c>
      <c r="C77" s="10">
        <v>0</v>
      </c>
      <c r="D77" s="10">
        <f t="shared" si="3"/>
        <v>13.010372500000001</v>
      </c>
    </row>
    <row r="78" spans="1:4" x14ac:dyDescent="0.25">
      <c r="A78" s="9">
        <v>42856</v>
      </c>
      <c r="B78" s="10">
        <f t="shared" si="4"/>
        <v>13.010372500000001</v>
      </c>
      <c r="C78" s="10">
        <v>0</v>
      </c>
      <c r="D78" s="10">
        <f t="shared" si="3"/>
        <v>13.010372500000001</v>
      </c>
    </row>
    <row r="79" spans="1:4" x14ac:dyDescent="0.25">
      <c r="A79" s="9">
        <v>42887</v>
      </c>
      <c r="B79" s="10">
        <f t="shared" si="4"/>
        <v>13.010372500000001</v>
      </c>
      <c r="C79" s="10">
        <v>0</v>
      </c>
      <c r="D79" s="10">
        <f t="shared" si="3"/>
        <v>13.010372500000001</v>
      </c>
    </row>
    <row r="80" spans="1:4" x14ac:dyDescent="0.25">
      <c r="A80" s="9">
        <v>42917</v>
      </c>
      <c r="B80" s="10">
        <f t="shared" si="4"/>
        <v>13.010372500000001</v>
      </c>
      <c r="C80" s="10">
        <v>0</v>
      </c>
      <c r="D80" s="10">
        <f t="shared" si="3"/>
        <v>13.010372500000001</v>
      </c>
    </row>
    <row r="81" spans="1:4" x14ac:dyDescent="0.25">
      <c r="A81" s="9">
        <v>42948</v>
      </c>
      <c r="B81" s="10">
        <f t="shared" si="4"/>
        <v>13.010372500000001</v>
      </c>
      <c r="C81" s="10">
        <v>0</v>
      </c>
      <c r="D81" s="10">
        <f t="shared" si="3"/>
        <v>13.010372500000001</v>
      </c>
    </row>
    <row r="82" spans="1:4" x14ac:dyDescent="0.25">
      <c r="A82" s="9">
        <v>42979</v>
      </c>
      <c r="B82" s="10">
        <f t="shared" si="4"/>
        <v>13.010372500000001</v>
      </c>
      <c r="C82" s="10">
        <v>0</v>
      </c>
      <c r="D82" s="10">
        <f t="shared" si="3"/>
        <v>13.010372500000001</v>
      </c>
    </row>
    <row r="83" spans="1:4" x14ac:dyDescent="0.25">
      <c r="A83" s="9">
        <v>43009</v>
      </c>
      <c r="B83" s="10">
        <f t="shared" si="4"/>
        <v>13.010372500000001</v>
      </c>
      <c r="C83" s="10">
        <v>0</v>
      </c>
      <c r="D83" s="10">
        <f t="shared" si="3"/>
        <v>13.010372500000001</v>
      </c>
    </row>
    <row r="84" spans="1:4" x14ac:dyDescent="0.25">
      <c r="A84" s="9">
        <v>43040</v>
      </c>
      <c r="B84" s="10">
        <f t="shared" si="4"/>
        <v>13.010372500000001</v>
      </c>
      <c r="C84" s="10">
        <v>0</v>
      </c>
      <c r="D84" s="10">
        <f t="shared" si="3"/>
        <v>13.010372500000001</v>
      </c>
    </row>
    <row r="85" spans="1:4" x14ac:dyDescent="0.25">
      <c r="A85" s="9">
        <v>43070</v>
      </c>
      <c r="B85" s="10">
        <f t="shared" si="4"/>
        <v>13.010372500000001</v>
      </c>
      <c r="C85" s="10">
        <v>0</v>
      </c>
      <c r="D85" s="10">
        <f t="shared" si="3"/>
        <v>13.010372500000001</v>
      </c>
    </row>
    <row r="86" spans="1:4" x14ac:dyDescent="0.25">
      <c r="A86" s="9">
        <v>43101</v>
      </c>
      <c r="B86" s="10">
        <f>678/12*$E$1</f>
        <v>14.925605000000001</v>
      </c>
      <c r="C86" s="10">
        <v>0</v>
      </c>
      <c r="D86" s="10">
        <f t="shared" si="3"/>
        <v>14.925605000000001</v>
      </c>
    </row>
    <row r="87" spans="1:4" x14ac:dyDescent="0.25">
      <c r="A87" s="9">
        <v>43132</v>
      </c>
      <c r="B87" s="10">
        <f t="shared" ref="B87:B97" si="5">678/12*$E$1</f>
        <v>14.925605000000001</v>
      </c>
      <c r="C87" s="10">
        <v>0</v>
      </c>
      <c r="D87" s="10">
        <f t="shared" si="3"/>
        <v>14.925605000000001</v>
      </c>
    </row>
    <row r="88" spans="1:4" x14ac:dyDescent="0.25">
      <c r="A88" s="9">
        <v>43160</v>
      </c>
      <c r="B88" s="10">
        <f t="shared" si="5"/>
        <v>14.925605000000001</v>
      </c>
      <c r="C88" s="10">
        <v>0</v>
      </c>
      <c r="D88" s="10">
        <f t="shared" si="3"/>
        <v>14.925605000000001</v>
      </c>
    </row>
    <row r="89" spans="1:4" x14ac:dyDescent="0.25">
      <c r="A89" s="9">
        <v>43191</v>
      </c>
      <c r="B89" s="10">
        <f t="shared" si="5"/>
        <v>14.925605000000001</v>
      </c>
      <c r="C89" s="10">
        <v>0</v>
      </c>
      <c r="D89" s="10">
        <f t="shared" si="3"/>
        <v>14.925605000000001</v>
      </c>
    </row>
    <row r="90" spans="1:4" x14ac:dyDescent="0.25">
      <c r="A90" s="9">
        <v>43221</v>
      </c>
      <c r="B90" s="10">
        <f t="shared" si="5"/>
        <v>14.925605000000001</v>
      </c>
      <c r="C90" s="10">
        <v>0</v>
      </c>
      <c r="D90" s="10">
        <f t="shared" si="3"/>
        <v>14.925605000000001</v>
      </c>
    </row>
    <row r="91" spans="1:4" x14ac:dyDescent="0.25">
      <c r="A91" s="9">
        <v>43252</v>
      </c>
      <c r="B91" s="10">
        <f t="shared" si="5"/>
        <v>14.925605000000001</v>
      </c>
      <c r="C91" s="10">
        <v>0</v>
      </c>
      <c r="D91" s="10">
        <f t="shared" si="3"/>
        <v>14.925605000000001</v>
      </c>
    </row>
    <row r="92" spans="1:4" x14ac:dyDescent="0.25">
      <c r="A92" s="9">
        <v>43282</v>
      </c>
      <c r="B92" s="10">
        <f t="shared" si="5"/>
        <v>14.925605000000001</v>
      </c>
      <c r="C92" s="10">
        <v>0</v>
      </c>
      <c r="D92" s="10">
        <f t="shared" si="3"/>
        <v>14.925605000000001</v>
      </c>
    </row>
    <row r="93" spans="1:4" x14ac:dyDescent="0.25">
      <c r="A93" s="9">
        <v>43313</v>
      </c>
      <c r="B93" s="10">
        <f t="shared" si="5"/>
        <v>14.925605000000001</v>
      </c>
      <c r="C93" s="10">
        <v>0</v>
      </c>
      <c r="D93" s="10">
        <f t="shared" si="3"/>
        <v>14.925605000000001</v>
      </c>
    </row>
    <row r="94" spans="1:4" x14ac:dyDescent="0.25">
      <c r="A94" s="9">
        <v>43344</v>
      </c>
      <c r="B94" s="10">
        <f t="shared" si="5"/>
        <v>14.925605000000001</v>
      </c>
      <c r="C94" s="10">
        <v>0</v>
      </c>
      <c r="D94" s="10">
        <f t="shared" si="3"/>
        <v>14.925605000000001</v>
      </c>
    </row>
    <row r="95" spans="1:4" x14ac:dyDescent="0.25">
      <c r="A95" s="9">
        <v>43374</v>
      </c>
      <c r="B95" s="10">
        <f t="shared" si="5"/>
        <v>14.925605000000001</v>
      </c>
      <c r="C95" s="10">
        <v>0</v>
      </c>
      <c r="D95" s="10">
        <f t="shared" si="3"/>
        <v>14.925605000000001</v>
      </c>
    </row>
    <row r="96" spans="1:4" x14ac:dyDescent="0.25">
      <c r="A96" s="9">
        <v>43405</v>
      </c>
      <c r="B96" s="10">
        <f t="shared" si="5"/>
        <v>14.925605000000001</v>
      </c>
      <c r="C96" s="10">
        <v>0</v>
      </c>
      <c r="D96" s="10">
        <f t="shared" si="3"/>
        <v>14.925605000000001</v>
      </c>
    </row>
    <row r="97" spans="1:4" x14ac:dyDescent="0.25">
      <c r="A97" s="9">
        <v>43435</v>
      </c>
      <c r="B97" s="10">
        <f t="shared" si="5"/>
        <v>14.925605000000001</v>
      </c>
      <c r="C97" s="10">
        <v>0</v>
      </c>
      <c r="D97" s="10">
        <f t="shared" si="3"/>
        <v>14.925605000000001</v>
      </c>
    </row>
    <row r="98" spans="1:4" x14ac:dyDescent="0.25">
      <c r="A98" s="9">
        <v>43466</v>
      </c>
      <c r="B98" s="10">
        <f>704/12*$E$1</f>
        <v>15.497973333333334</v>
      </c>
      <c r="C98" s="10">
        <v>0</v>
      </c>
      <c r="D98" s="10">
        <f t="shared" si="3"/>
        <v>15.497973333333334</v>
      </c>
    </row>
    <row r="99" spans="1:4" x14ac:dyDescent="0.25">
      <c r="A99" s="9">
        <v>43497</v>
      </c>
      <c r="B99" s="10">
        <f t="shared" ref="B99:B109" si="6">704/12*$E$1</f>
        <v>15.497973333333334</v>
      </c>
      <c r="C99" s="10">
        <v>0</v>
      </c>
      <c r="D99" s="10">
        <f t="shared" si="3"/>
        <v>15.497973333333334</v>
      </c>
    </row>
    <row r="100" spans="1:4" x14ac:dyDescent="0.25">
      <c r="A100" s="9">
        <v>43525</v>
      </c>
      <c r="B100" s="10">
        <f t="shared" si="6"/>
        <v>15.497973333333334</v>
      </c>
      <c r="C100" s="10">
        <v>0</v>
      </c>
      <c r="D100" s="10">
        <f t="shared" si="3"/>
        <v>15.497973333333334</v>
      </c>
    </row>
    <row r="101" spans="1:4" x14ac:dyDescent="0.25">
      <c r="A101" s="9">
        <v>43556</v>
      </c>
      <c r="B101" s="10">
        <f t="shared" si="6"/>
        <v>15.497973333333334</v>
      </c>
      <c r="C101" s="10">
        <v>0</v>
      </c>
      <c r="D101" s="10">
        <f t="shared" si="3"/>
        <v>15.497973333333334</v>
      </c>
    </row>
    <row r="102" spans="1:4" x14ac:dyDescent="0.25">
      <c r="A102" s="9">
        <v>43586</v>
      </c>
      <c r="B102" s="10">
        <f t="shared" si="6"/>
        <v>15.497973333333334</v>
      </c>
      <c r="C102" s="10">
        <v>0</v>
      </c>
      <c r="D102" s="10">
        <f t="shared" si="3"/>
        <v>15.497973333333334</v>
      </c>
    </row>
    <row r="103" spans="1:4" x14ac:dyDescent="0.25">
      <c r="A103" s="9">
        <v>43617</v>
      </c>
      <c r="B103" s="10">
        <f t="shared" si="6"/>
        <v>15.497973333333334</v>
      </c>
      <c r="C103" s="10">
        <v>0</v>
      </c>
      <c r="D103" s="10">
        <f t="shared" si="3"/>
        <v>15.497973333333334</v>
      </c>
    </row>
    <row r="104" spans="1:4" x14ac:dyDescent="0.25">
      <c r="A104" s="9">
        <v>43647</v>
      </c>
      <c r="B104" s="10">
        <f t="shared" si="6"/>
        <v>15.497973333333334</v>
      </c>
      <c r="C104" s="10">
        <v>0</v>
      </c>
      <c r="D104" s="10">
        <f t="shared" si="3"/>
        <v>15.497973333333334</v>
      </c>
    </row>
    <row r="105" spans="1:4" x14ac:dyDescent="0.25">
      <c r="A105" s="9">
        <v>43678</v>
      </c>
      <c r="B105" s="10">
        <f t="shared" si="6"/>
        <v>15.497973333333334</v>
      </c>
      <c r="C105" s="10">
        <v>0</v>
      </c>
      <c r="D105" s="10">
        <f t="shared" si="3"/>
        <v>15.497973333333334</v>
      </c>
    </row>
    <row r="106" spans="1:4" x14ac:dyDescent="0.25">
      <c r="A106" s="9">
        <v>43709</v>
      </c>
      <c r="B106" s="10">
        <f t="shared" si="6"/>
        <v>15.497973333333334</v>
      </c>
      <c r="C106" s="10">
        <v>0</v>
      </c>
      <c r="D106" s="10">
        <f t="shared" si="3"/>
        <v>15.497973333333334</v>
      </c>
    </row>
    <row r="107" spans="1:4" x14ac:dyDescent="0.25">
      <c r="A107" s="9">
        <v>43739</v>
      </c>
      <c r="B107" s="10">
        <f t="shared" si="6"/>
        <v>15.497973333333334</v>
      </c>
      <c r="C107" s="10">
        <v>0</v>
      </c>
      <c r="D107" s="10">
        <f t="shared" si="3"/>
        <v>15.497973333333334</v>
      </c>
    </row>
    <row r="108" spans="1:4" x14ac:dyDescent="0.25">
      <c r="A108" s="9">
        <v>43770</v>
      </c>
      <c r="B108" s="10">
        <f t="shared" si="6"/>
        <v>15.497973333333334</v>
      </c>
      <c r="C108" s="10">
        <v>0</v>
      </c>
      <c r="D108" s="10">
        <f t="shared" si="3"/>
        <v>15.497973333333334</v>
      </c>
    </row>
    <row r="109" spans="1:4" x14ac:dyDescent="0.25">
      <c r="A109" s="9">
        <v>43800</v>
      </c>
      <c r="B109" s="10">
        <f t="shared" si="6"/>
        <v>15.497973333333334</v>
      </c>
      <c r="C109" s="10">
        <v>0</v>
      </c>
      <c r="D109" s="10">
        <f t="shared" si="3"/>
        <v>15.497973333333334</v>
      </c>
    </row>
    <row r="110" spans="1:4" x14ac:dyDescent="0.25">
      <c r="A110" s="9">
        <v>43831</v>
      </c>
      <c r="B110" s="10">
        <f>686/12*$E$1</f>
        <v>15.101718333333334</v>
      </c>
      <c r="C110" s="10">
        <v>0</v>
      </c>
      <c r="D110" s="10">
        <f t="shared" si="3"/>
        <v>15.101718333333334</v>
      </c>
    </row>
    <row r="111" spans="1:4" x14ac:dyDescent="0.25">
      <c r="A111" s="9">
        <v>43862</v>
      </c>
      <c r="B111" s="10">
        <f t="shared" ref="B111:B133" si="7">686/12*$E$1</f>
        <v>15.101718333333334</v>
      </c>
      <c r="C111" s="10">
        <v>0</v>
      </c>
      <c r="D111" s="10">
        <f t="shared" si="3"/>
        <v>15.101718333333334</v>
      </c>
    </row>
    <row r="112" spans="1:4" x14ac:dyDescent="0.25">
      <c r="A112" s="9">
        <v>43891</v>
      </c>
      <c r="B112" s="10">
        <f t="shared" si="7"/>
        <v>15.101718333333334</v>
      </c>
      <c r="C112" s="10">
        <v>0</v>
      </c>
      <c r="D112" s="10">
        <f t="shared" si="3"/>
        <v>15.101718333333334</v>
      </c>
    </row>
    <row r="113" spans="1:4" x14ac:dyDescent="0.25">
      <c r="A113" s="9">
        <v>43922</v>
      </c>
      <c r="B113" s="10">
        <f t="shared" si="7"/>
        <v>15.101718333333334</v>
      </c>
      <c r="C113" s="10">
        <v>0</v>
      </c>
      <c r="D113" s="10">
        <f t="shared" si="3"/>
        <v>15.101718333333334</v>
      </c>
    </row>
    <row r="114" spans="1:4" x14ac:dyDescent="0.25">
      <c r="A114" s="9">
        <v>43952</v>
      </c>
      <c r="B114" s="10">
        <f t="shared" si="7"/>
        <v>15.101718333333334</v>
      </c>
      <c r="C114" s="10">
        <v>0</v>
      </c>
      <c r="D114" s="10">
        <f t="shared" si="3"/>
        <v>15.101718333333334</v>
      </c>
    </row>
    <row r="115" spans="1:4" x14ac:dyDescent="0.25">
      <c r="A115" s="9">
        <v>43983</v>
      </c>
      <c r="B115" s="10">
        <f t="shared" si="7"/>
        <v>15.101718333333334</v>
      </c>
      <c r="C115" s="10">
        <v>0</v>
      </c>
      <c r="D115" s="10">
        <f t="shared" si="3"/>
        <v>15.101718333333334</v>
      </c>
    </row>
    <row r="116" spans="1:4" x14ac:dyDescent="0.25">
      <c r="A116" s="9">
        <v>44013</v>
      </c>
      <c r="B116" s="10">
        <f t="shared" si="7"/>
        <v>15.101718333333334</v>
      </c>
      <c r="C116" s="10">
        <v>0</v>
      </c>
      <c r="D116" s="10">
        <f t="shared" si="3"/>
        <v>15.101718333333334</v>
      </c>
    </row>
    <row r="117" spans="1:4" x14ac:dyDescent="0.25">
      <c r="A117" s="9">
        <v>44044</v>
      </c>
      <c r="B117" s="10">
        <f t="shared" si="7"/>
        <v>15.101718333333334</v>
      </c>
      <c r="C117" s="10">
        <v>0</v>
      </c>
      <c r="D117" s="10">
        <f t="shared" si="3"/>
        <v>15.101718333333334</v>
      </c>
    </row>
    <row r="118" spans="1:4" x14ac:dyDescent="0.25">
      <c r="A118" s="9">
        <v>44075</v>
      </c>
      <c r="B118" s="10">
        <f t="shared" si="7"/>
        <v>15.101718333333334</v>
      </c>
      <c r="C118" s="10">
        <v>0</v>
      </c>
      <c r="D118" s="10">
        <f t="shared" si="3"/>
        <v>15.101718333333334</v>
      </c>
    </row>
    <row r="119" spans="1:4" x14ac:dyDescent="0.25">
      <c r="A119" s="9">
        <v>44105</v>
      </c>
      <c r="B119" s="10">
        <f t="shared" si="7"/>
        <v>15.101718333333334</v>
      </c>
      <c r="C119" s="10">
        <v>0</v>
      </c>
      <c r="D119" s="10">
        <f t="shared" si="3"/>
        <v>15.101718333333334</v>
      </c>
    </row>
    <row r="120" spans="1:4" x14ac:dyDescent="0.25">
      <c r="A120" s="9">
        <v>44136</v>
      </c>
      <c r="B120" s="10">
        <f t="shared" si="7"/>
        <v>15.101718333333334</v>
      </c>
      <c r="C120" s="10">
        <v>0</v>
      </c>
      <c r="D120" s="10">
        <f t="shared" si="3"/>
        <v>15.101718333333334</v>
      </c>
    </row>
    <row r="121" spans="1:4" x14ac:dyDescent="0.25">
      <c r="A121" s="9">
        <v>44166</v>
      </c>
      <c r="B121" s="10">
        <f t="shared" si="7"/>
        <v>15.101718333333334</v>
      </c>
      <c r="C121" s="10">
        <v>0</v>
      </c>
      <c r="D121" s="10">
        <f t="shared" si="3"/>
        <v>15.101718333333334</v>
      </c>
    </row>
    <row r="122" spans="1:4" x14ac:dyDescent="0.25">
      <c r="A122" s="9">
        <v>44197</v>
      </c>
      <c r="B122" s="10">
        <f t="shared" si="7"/>
        <v>15.101718333333334</v>
      </c>
      <c r="C122" s="10">
        <v>0</v>
      </c>
      <c r="D122" s="10">
        <f t="shared" si="3"/>
        <v>15.101718333333334</v>
      </c>
    </row>
    <row r="123" spans="1:4" x14ac:dyDescent="0.25">
      <c r="A123" s="9">
        <v>44228</v>
      </c>
      <c r="B123" s="10">
        <f t="shared" si="7"/>
        <v>15.101718333333334</v>
      </c>
      <c r="C123" s="10">
        <v>0</v>
      </c>
      <c r="D123" s="10">
        <f t="shared" si="3"/>
        <v>15.101718333333334</v>
      </c>
    </row>
    <row r="124" spans="1:4" x14ac:dyDescent="0.25">
      <c r="A124" s="9">
        <v>44256</v>
      </c>
      <c r="B124" s="10">
        <f t="shared" si="7"/>
        <v>15.101718333333334</v>
      </c>
      <c r="C124" s="10">
        <v>0</v>
      </c>
      <c r="D124" s="10">
        <f t="shared" si="3"/>
        <v>15.101718333333334</v>
      </c>
    </row>
    <row r="125" spans="1:4" x14ac:dyDescent="0.25">
      <c r="A125" s="9">
        <v>44287</v>
      </c>
      <c r="B125" s="10">
        <f t="shared" si="7"/>
        <v>15.101718333333334</v>
      </c>
      <c r="C125" s="10">
        <v>0</v>
      </c>
      <c r="D125" s="10">
        <f t="shared" si="3"/>
        <v>15.101718333333334</v>
      </c>
    </row>
    <row r="126" spans="1:4" x14ac:dyDescent="0.25">
      <c r="A126" s="9">
        <v>44317</v>
      </c>
      <c r="B126" s="10">
        <f t="shared" si="7"/>
        <v>15.101718333333334</v>
      </c>
      <c r="C126" s="10">
        <v>0</v>
      </c>
      <c r="D126" s="10">
        <f t="shared" si="3"/>
        <v>15.101718333333334</v>
      </c>
    </row>
    <row r="127" spans="1:4" x14ac:dyDescent="0.25">
      <c r="A127" s="9">
        <v>44348</v>
      </c>
      <c r="B127" s="10">
        <f t="shared" si="7"/>
        <v>15.101718333333334</v>
      </c>
      <c r="C127" s="10">
        <v>0</v>
      </c>
      <c r="D127" s="10">
        <f t="shared" si="3"/>
        <v>15.101718333333334</v>
      </c>
    </row>
    <row r="128" spans="1:4" x14ac:dyDescent="0.25">
      <c r="A128" s="9">
        <v>44378</v>
      </c>
      <c r="B128" s="10">
        <f t="shared" si="7"/>
        <v>15.101718333333334</v>
      </c>
      <c r="C128" s="10">
        <v>0</v>
      </c>
      <c r="D128" s="10">
        <f t="shared" si="3"/>
        <v>15.101718333333334</v>
      </c>
    </row>
    <row r="129" spans="1:4" x14ac:dyDescent="0.25">
      <c r="A129" s="9">
        <v>44409</v>
      </c>
      <c r="B129" s="10">
        <f t="shared" si="7"/>
        <v>15.101718333333334</v>
      </c>
      <c r="C129" s="10">
        <v>0</v>
      </c>
      <c r="D129" s="10">
        <f t="shared" si="3"/>
        <v>15.101718333333334</v>
      </c>
    </row>
    <row r="130" spans="1:4" x14ac:dyDescent="0.25">
      <c r="A130" s="9">
        <v>44440</v>
      </c>
      <c r="B130" s="10">
        <f t="shared" si="7"/>
        <v>15.101718333333334</v>
      </c>
      <c r="C130" s="10">
        <v>0</v>
      </c>
      <c r="D130" s="10">
        <f t="shared" si="3"/>
        <v>15.101718333333334</v>
      </c>
    </row>
    <row r="131" spans="1:4" x14ac:dyDescent="0.25">
      <c r="A131" s="9">
        <v>44470</v>
      </c>
      <c r="B131" s="10">
        <f t="shared" si="7"/>
        <v>15.101718333333334</v>
      </c>
      <c r="C131" s="10">
        <v>0</v>
      </c>
      <c r="D131" s="10">
        <f t="shared" ref="D131:D181" si="8">C131+B131</f>
        <v>15.101718333333334</v>
      </c>
    </row>
    <row r="132" spans="1:4" x14ac:dyDescent="0.25">
      <c r="A132" s="9">
        <v>44501</v>
      </c>
      <c r="B132" s="10">
        <f t="shared" si="7"/>
        <v>15.101718333333334</v>
      </c>
      <c r="C132" s="10">
        <v>0</v>
      </c>
      <c r="D132" s="10">
        <f t="shared" si="8"/>
        <v>15.101718333333334</v>
      </c>
    </row>
    <row r="133" spans="1:4" x14ac:dyDescent="0.25">
      <c r="A133" s="9">
        <v>44531</v>
      </c>
      <c r="B133" s="10">
        <f t="shared" si="7"/>
        <v>15.101718333333334</v>
      </c>
      <c r="C133" s="10">
        <v>0</v>
      </c>
      <c r="D133" s="10">
        <f t="shared" si="8"/>
        <v>15.101718333333334</v>
      </c>
    </row>
    <row r="134" spans="1:4" x14ac:dyDescent="0.25">
      <c r="A134" s="9">
        <v>44562</v>
      </c>
      <c r="B134" s="10">
        <f>686/12*$E$1</f>
        <v>15.101718333333334</v>
      </c>
      <c r="C134" s="10">
        <v>0</v>
      </c>
      <c r="D134" s="10">
        <f t="shared" si="8"/>
        <v>15.101718333333334</v>
      </c>
    </row>
    <row r="135" spans="1:4" x14ac:dyDescent="0.25">
      <c r="A135" s="9">
        <v>44593</v>
      </c>
      <c r="B135" s="10">
        <f t="shared" ref="B135:B145" si="9">686/12*$E$1</f>
        <v>15.101718333333334</v>
      </c>
      <c r="C135" s="10">
        <v>0</v>
      </c>
      <c r="D135" s="10">
        <f t="shared" si="8"/>
        <v>15.101718333333334</v>
      </c>
    </row>
    <row r="136" spans="1:4" x14ac:dyDescent="0.25">
      <c r="A136" s="9">
        <v>44621</v>
      </c>
      <c r="B136" s="10">
        <f t="shared" si="9"/>
        <v>15.101718333333334</v>
      </c>
      <c r="C136" s="10">
        <v>0</v>
      </c>
      <c r="D136" s="10">
        <f t="shared" si="8"/>
        <v>15.101718333333334</v>
      </c>
    </row>
    <row r="137" spans="1:4" x14ac:dyDescent="0.25">
      <c r="A137" s="9">
        <v>44652</v>
      </c>
      <c r="B137" s="10">
        <f t="shared" si="9"/>
        <v>15.101718333333334</v>
      </c>
      <c r="C137" s="10">
        <v>0</v>
      </c>
      <c r="D137" s="10">
        <f t="shared" si="8"/>
        <v>15.101718333333334</v>
      </c>
    </row>
    <row r="138" spans="1:4" x14ac:dyDescent="0.25">
      <c r="A138" s="9">
        <v>44682</v>
      </c>
      <c r="B138" s="10">
        <f t="shared" si="9"/>
        <v>15.101718333333334</v>
      </c>
      <c r="C138" s="10">
        <v>0</v>
      </c>
      <c r="D138" s="10">
        <f t="shared" si="8"/>
        <v>15.101718333333334</v>
      </c>
    </row>
    <row r="139" spans="1:4" x14ac:dyDescent="0.25">
      <c r="A139" s="9">
        <v>44713</v>
      </c>
      <c r="B139" s="10">
        <f t="shared" si="9"/>
        <v>15.101718333333334</v>
      </c>
      <c r="C139" s="10">
        <v>0</v>
      </c>
      <c r="D139" s="10">
        <f t="shared" si="8"/>
        <v>15.101718333333334</v>
      </c>
    </row>
    <row r="140" spans="1:4" x14ac:dyDescent="0.25">
      <c r="A140" s="9">
        <v>44743</v>
      </c>
      <c r="B140" s="10">
        <f t="shared" si="9"/>
        <v>15.101718333333334</v>
      </c>
      <c r="C140" s="10">
        <v>0</v>
      </c>
      <c r="D140" s="10">
        <f t="shared" si="8"/>
        <v>15.101718333333334</v>
      </c>
    </row>
    <row r="141" spans="1:4" x14ac:dyDescent="0.25">
      <c r="A141" s="9">
        <v>44774</v>
      </c>
      <c r="B141" s="10">
        <f t="shared" si="9"/>
        <v>15.101718333333334</v>
      </c>
      <c r="C141" s="10">
        <v>0</v>
      </c>
      <c r="D141" s="10">
        <f t="shared" si="8"/>
        <v>15.101718333333334</v>
      </c>
    </row>
    <row r="142" spans="1:4" x14ac:dyDescent="0.25">
      <c r="A142" s="9">
        <v>44805</v>
      </c>
      <c r="B142" s="10">
        <f t="shared" si="9"/>
        <v>15.101718333333334</v>
      </c>
      <c r="C142" s="10">
        <v>0</v>
      </c>
      <c r="D142" s="10">
        <f t="shared" si="8"/>
        <v>15.101718333333334</v>
      </c>
    </row>
    <row r="143" spans="1:4" x14ac:dyDescent="0.25">
      <c r="A143" s="9">
        <v>44835</v>
      </c>
      <c r="B143" s="10">
        <f t="shared" si="9"/>
        <v>15.101718333333334</v>
      </c>
      <c r="C143" s="10">
        <v>0</v>
      </c>
      <c r="D143" s="10">
        <f t="shared" si="8"/>
        <v>15.101718333333334</v>
      </c>
    </row>
    <row r="144" spans="1:4" x14ac:dyDescent="0.25">
      <c r="A144" s="9">
        <v>44866</v>
      </c>
      <c r="B144" s="10">
        <f t="shared" si="9"/>
        <v>15.101718333333334</v>
      </c>
      <c r="C144" s="10">
        <v>0</v>
      </c>
      <c r="D144" s="10">
        <f t="shared" si="8"/>
        <v>15.101718333333334</v>
      </c>
    </row>
    <row r="145" spans="1:5" x14ac:dyDescent="0.25">
      <c r="A145" s="9">
        <v>44896</v>
      </c>
      <c r="B145" s="10">
        <f t="shared" si="9"/>
        <v>15.101718333333334</v>
      </c>
      <c r="C145" s="10">
        <v>0</v>
      </c>
      <c r="D145" s="10">
        <f t="shared" si="8"/>
        <v>15.101718333333334</v>
      </c>
    </row>
    <row r="146" spans="1:5" x14ac:dyDescent="0.25">
      <c r="A146" s="9">
        <v>44927</v>
      </c>
      <c r="B146" s="10">
        <f>671/12*$E$1</f>
        <v>14.771505833333334</v>
      </c>
      <c r="C146" s="10">
        <v>0</v>
      </c>
      <c r="D146" s="10">
        <f t="shared" si="8"/>
        <v>14.771505833333334</v>
      </c>
    </row>
    <row r="147" spans="1:5" x14ac:dyDescent="0.25">
      <c r="A147" s="9">
        <v>44958</v>
      </c>
      <c r="B147" s="10">
        <f t="shared" ref="B147:B181" si="10">671/12*$E$1</f>
        <v>14.771505833333334</v>
      </c>
      <c r="C147" s="10">
        <v>0</v>
      </c>
      <c r="D147" s="10">
        <f t="shared" si="8"/>
        <v>14.771505833333334</v>
      </c>
    </row>
    <row r="148" spans="1:5" x14ac:dyDescent="0.25">
      <c r="A148" s="9">
        <v>44986</v>
      </c>
      <c r="B148" s="10">
        <f t="shared" si="10"/>
        <v>14.771505833333334</v>
      </c>
      <c r="C148" s="10">
        <v>0</v>
      </c>
      <c r="D148" s="10">
        <f t="shared" si="8"/>
        <v>14.771505833333334</v>
      </c>
    </row>
    <row r="149" spans="1:5" x14ac:dyDescent="0.25">
      <c r="A149" s="9">
        <v>45017</v>
      </c>
      <c r="B149" s="10">
        <f t="shared" si="10"/>
        <v>14.771505833333334</v>
      </c>
      <c r="C149" s="10">
        <v>0</v>
      </c>
      <c r="D149" s="10">
        <f t="shared" si="8"/>
        <v>14.771505833333334</v>
      </c>
    </row>
    <row r="150" spans="1:5" x14ac:dyDescent="0.25">
      <c r="A150" s="9">
        <v>45047</v>
      </c>
      <c r="B150" s="10">
        <f t="shared" si="10"/>
        <v>14.771505833333334</v>
      </c>
      <c r="C150" s="10">
        <v>0</v>
      </c>
      <c r="D150" s="10">
        <f t="shared" si="8"/>
        <v>14.771505833333334</v>
      </c>
    </row>
    <row r="151" spans="1:5" x14ac:dyDescent="0.25">
      <c r="A151" s="9">
        <v>45078</v>
      </c>
      <c r="B151" s="10">
        <f t="shared" si="10"/>
        <v>14.771505833333334</v>
      </c>
      <c r="C151" s="10">
        <v>0</v>
      </c>
      <c r="D151" s="10">
        <f t="shared" si="8"/>
        <v>14.771505833333334</v>
      </c>
    </row>
    <row r="152" spans="1:5" x14ac:dyDescent="0.25">
      <c r="A152" s="9">
        <v>45108</v>
      </c>
      <c r="B152" s="10">
        <f t="shared" si="10"/>
        <v>14.771505833333334</v>
      </c>
      <c r="C152" s="10">
        <v>0</v>
      </c>
      <c r="D152" s="10">
        <f t="shared" si="8"/>
        <v>14.771505833333334</v>
      </c>
    </row>
    <row r="153" spans="1:5" x14ac:dyDescent="0.25">
      <c r="A153" s="9">
        <v>45139</v>
      </c>
      <c r="B153" s="10">
        <f t="shared" si="10"/>
        <v>14.771505833333334</v>
      </c>
      <c r="C153" s="10">
        <v>4</v>
      </c>
      <c r="D153" s="10">
        <f t="shared" si="8"/>
        <v>18.771505833333336</v>
      </c>
    </row>
    <row r="154" spans="1:5" x14ac:dyDescent="0.25">
      <c r="A154" s="9">
        <v>45170</v>
      </c>
      <c r="B154" s="10">
        <f t="shared" si="10"/>
        <v>14.771505833333334</v>
      </c>
      <c r="C154" s="10">
        <v>4</v>
      </c>
      <c r="D154" s="10">
        <f t="shared" si="8"/>
        <v>18.771505833333336</v>
      </c>
    </row>
    <row r="155" spans="1:5" x14ac:dyDescent="0.25">
      <c r="A155" s="9">
        <v>45200</v>
      </c>
      <c r="B155" s="10">
        <f t="shared" si="10"/>
        <v>14.771505833333334</v>
      </c>
      <c r="C155" s="10">
        <v>4</v>
      </c>
      <c r="D155" s="10">
        <f t="shared" si="8"/>
        <v>18.771505833333336</v>
      </c>
    </row>
    <row r="156" spans="1:5" x14ac:dyDescent="0.25">
      <c r="A156" s="9">
        <v>45231</v>
      </c>
      <c r="B156" s="10">
        <f t="shared" si="10"/>
        <v>14.771505833333334</v>
      </c>
      <c r="C156" s="10">
        <v>4</v>
      </c>
      <c r="D156" s="10">
        <f t="shared" si="8"/>
        <v>18.771505833333336</v>
      </c>
    </row>
    <row r="157" spans="1:5" x14ac:dyDescent="0.25">
      <c r="A157" s="9">
        <v>45261</v>
      </c>
      <c r="B157" s="10">
        <f t="shared" si="10"/>
        <v>14.771505833333334</v>
      </c>
      <c r="C157" s="10">
        <v>4</v>
      </c>
      <c r="D157" s="11">
        <f t="shared" si="8"/>
        <v>18.771505833333336</v>
      </c>
    </row>
    <row r="158" spans="1:5" x14ac:dyDescent="0.25">
      <c r="A158" s="9">
        <v>45292</v>
      </c>
      <c r="B158" s="11">
        <f t="shared" si="10"/>
        <v>14.771505833333334</v>
      </c>
      <c r="C158" s="11">
        <f>(45)/12</f>
        <v>3.75</v>
      </c>
      <c r="D158" s="11">
        <f t="shared" si="8"/>
        <v>18.521505833333336</v>
      </c>
    </row>
    <row r="159" spans="1:5" x14ac:dyDescent="0.25">
      <c r="A159" s="9">
        <v>45323</v>
      </c>
      <c r="B159" s="11">
        <f t="shared" si="10"/>
        <v>14.771505833333334</v>
      </c>
      <c r="C159" s="11">
        <f>(45)/12</f>
        <v>3.75</v>
      </c>
      <c r="D159" s="11">
        <f t="shared" si="8"/>
        <v>18.521505833333336</v>
      </c>
    </row>
    <row r="160" spans="1:5" x14ac:dyDescent="0.25">
      <c r="A160" s="9">
        <v>45352</v>
      </c>
      <c r="B160" s="11">
        <f t="shared" si="10"/>
        <v>14.771505833333334</v>
      </c>
      <c r="C160" s="11">
        <f>((275*0.6)+45)/12</f>
        <v>17.5</v>
      </c>
      <c r="D160" s="11">
        <f t="shared" si="8"/>
        <v>32.271505833333336</v>
      </c>
      <c r="E160" s="7" t="s">
        <v>26</v>
      </c>
    </row>
    <row r="161" spans="1:7" x14ac:dyDescent="0.25">
      <c r="A161" s="9">
        <v>45383</v>
      </c>
      <c r="B161" s="11">
        <f t="shared" si="10"/>
        <v>14.771505833333334</v>
      </c>
      <c r="C161" s="11">
        <f t="shared" ref="C161:C169" si="11">((275*0.6)+45)/12</f>
        <v>17.5</v>
      </c>
      <c r="D161" s="11">
        <f t="shared" si="8"/>
        <v>32.271505833333336</v>
      </c>
    </row>
    <row r="162" spans="1:7" x14ac:dyDescent="0.25">
      <c r="A162" s="9">
        <v>45413</v>
      </c>
      <c r="B162" s="11">
        <f t="shared" si="10"/>
        <v>14.771505833333334</v>
      </c>
      <c r="C162" s="11">
        <f t="shared" si="11"/>
        <v>17.5</v>
      </c>
      <c r="D162" s="11">
        <f t="shared" si="8"/>
        <v>32.271505833333336</v>
      </c>
    </row>
    <row r="163" spans="1:7" x14ac:dyDescent="0.25">
      <c r="A163" s="9">
        <v>45444</v>
      </c>
      <c r="B163" s="11">
        <f t="shared" si="10"/>
        <v>14.771505833333334</v>
      </c>
      <c r="C163" s="11">
        <f t="shared" si="11"/>
        <v>17.5</v>
      </c>
      <c r="D163" s="11">
        <f t="shared" si="8"/>
        <v>32.271505833333336</v>
      </c>
    </row>
    <row r="164" spans="1:7" x14ac:dyDescent="0.25">
      <c r="A164" s="9">
        <v>45474</v>
      </c>
      <c r="B164" s="11">
        <f t="shared" si="10"/>
        <v>14.771505833333334</v>
      </c>
      <c r="C164" s="11">
        <f t="shared" si="11"/>
        <v>17.5</v>
      </c>
      <c r="D164" s="11">
        <f t="shared" si="8"/>
        <v>32.271505833333336</v>
      </c>
    </row>
    <row r="165" spans="1:7" x14ac:dyDescent="0.25">
      <c r="A165" s="9">
        <v>45505</v>
      </c>
      <c r="B165" s="11">
        <f t="shared" si="10"/>
        <v>14.771505833333334</v>
      </c>
      <c r="C165" s="11">
        <f t="shared" si="11"/>
        <v>17.5</v>
      </c>
      <c r="D165" s="11">
        <f t="shared" si="8"/>
        <v>32.271505833333336</v>
      </c>
    </row>
    <row r="166" spans="1:7" x14ac:dyDescent="0.25">
      <c r="A166" s="9">
        <v>45536</v>
      </c>
      <c r="B166" s="11">
        <f t="shared" si="10"/>
        <v>14.771505833333334</v>
      </c>
      <c r="C166" s="11">
        <f t="shared" si="11"/>
        <v>17.5</v>
      </c>
      <c r="D166" s="11">
        <f t="shared" si="8"/>
        <v>32.271505833333336</v>
      </c>
    </row>
    <row r="167" spans="1:7" x14ac:dyDescent="0.25">
      <c r="A167" s="9">
        <v>45566</v>
      </c>
      <c r="B167" s="11">
        <f t="shared" si="10"/>
        <v>14.771505833333334</v>
      </c>
      <c r="C167" s="11">
        <f t="shared" si="11"/>
        <v>17.5</v>
      </c>
      <c r="D167" s="11">
        <f t="shared" si="8"/>
        <v>32.271505833333336</v>
      </c>
    </row>
    <row r="168" spans="1:7" x14ac:dyDescent="0.25">
      <c r="A168" s="9">
        <v>45597</v>
      </c>
      <c r="B168" s="11">
        <f t="shared" si="10"/>
        <v>14.771505833333334</v>
      </c>
      <c r="C168" s="11">
        <f t="shared" si="11"/>
        <v>17.5</v>
      </c>
      <c r="D168" s="11">
        <f t="shared" si="8"/>
        <v>32.271505833333336</v>
      </c>
    </row>
    <row r="169" spans="1:7" x14ac:dyDescent="0.25">
      <c r="A169" s="9">
        <v>45627</v>
      </c>
      <c r="B169" s="11">
        <f t="shared" si="10"/>
        <v>14.771505833333334</v>
      </c>
      <c r="C169" s="11">
        <f t="shared" si="11"/>
        <v>17.5</v>
      </c>
      <c r="D169" s="11">
        <f t="shared" si="8"/>
        <v>32.271505833333336</v>
      </c>
    </row>
    <row r="170" spans="1:7" x14ac:dyDescent="0.25">
      <c r="A170" s="9">
        <v>45658</v>
      </c>
      <c r="B170" s="11">
        <f t="shared" si="10"/>
        <v>14.771505833333334</v>
      </c>
      <c r="C170" s="11">
        <f>45/12</f>
        <v>3.75</v>
      </c>
      <c r="D170" s="11">
        <f t="shared" si="8"/>
        <v>18.521505833333336</v>
      </c>
      <c r="E170" s="7" t="s">
        <v>27</v>
      </c>
      <c r="F170" s="7" t="s">
        <v>28</v>
      </c>
    </row>
    <row r="171" spans="1:7" x14ac:dyDescent="0.25">
      <c r="A171" s="9">
        <v>45689</v>
      </c>
      <c r="B171" s="11">
        <f t="shared" si="10"/>
        <v>14.771505833333334</v>
      </c>
      <c r="C171" s="11">
        <f>45/12</f>
        <v>3.75</v>
      </c>
      <c r="D171" s="11">
        <f t="shared" si="8"/>
        <v>18.521505833333336</v>
      </c>
    </row>
    <row r="172" spans="1:7" x14ac:dyDescent="0.25">
      <c r="A172" s="9">
        <v>45717</v>
      </c>
      <c r="B172" s="11">
        <f t="shared" si="10"/>
        <v>14.771505833333334</v>
      </c>
      <c r="C172" s="11">
        <f>45/12</f>
        <v>3.75</v>
      </c>
      <c r="D172" s="11">
        <f t="shared" si="8"/>
        <v>18.521505833333336</v>
      </c>
    </row>
    <row r="173" spans="1:7" x14ac:dyDescent="0.25">
      <c r="A173" s="9">
        <v>45748</v>
      </c>
      <c r="B173" s="11">
        <f t="shared" si="10"/>
        <v>14.771505833333334</v>
      </c>
      <c r="C173" s="11">
        <f>((275*0.6)+45)/12</f>
        <v>17.5</v>
      </c>
      <c r="D173" s="11">
        <f t="shared" si="8"/>
        <v>32.271505833333336</v>
      </c>
      <c r="G173" s="7" t="s">
        <v>29</v>
      </c>
    </row>
    <row r="174" spans="1:7" x14ac:dyDescent="0.25">
      <c r="A174" s="9">
        <v>45778</v>
      </c>
      <c r="B174" s="11">
        <f t="shared" si="10"/>
        <v>14.771505833333334</v>
      </c>
      <c r="C174" s="11">
        <f>((275*0.6)+45)/12</f>
        <v>17.5</v>
      </c>
      <c r="D174" s="11">
        <f t="shared" si="8"/>
        <v>32.271505833333336</v>
      </c>
    </row>
    <row r="175" spans="1:7" x14ac:dyDescent="0.25">
      <c r="A175" s="9">
        <v>45809</v>
      </c>
      <c r="B175" s="11">
        <f t="shared" si="10"/>
        <v>14.771505833333334</v>
      </c>
      <c r="C175" s="11">
        <f>((275*0.6)+45)/12</f>
        <v>17.5</v>
      </c>
      <c r="D175" s="11">
        <f t="shared" si="8"/>
        <v>32.271505833333336</v>
      </c>
    </row>
    <row r="176" spans="1:7" x14ac:dyDescent="0.25">
      <c r="A176" s="9">
        <v>45839</v>
      </c>
      <c r="B176" s="11">
        <f t="shared" si="10"/>
        <v>14.771505833333334</v>
      </c>
      <c r="C176" s="11">
        <f t="shared" ref="C176:C181" si="12">(45+264+140)/12</f>
        <v>37.416666666666664</v>
      </c>
      <c r="D176" s="11">
        <f t="shared" si="8"/>
        <v>52.1881725</v>
      </c>
      <c r="E176" s="7" t="s">
        <v>30</v>
      </c>
    </row>
    <row r="177" spans="1:6" x14ac:dyDescent="0.25">
      <c r="A177" s="9">
        <v>45870</v>
      </c>
      <c r="B177" s="11">
        <f t="shared" si="10"/>
        <v>14.771505833333334</v>
      </c>
      <c r="C177" s="11">
        <f t="shared" si="12"/>
        <v>37.416666666666664</v>
      </c>
      <c r="D177" s="11">
        <f t="shared" si="8"/>
        <v>52.1881725</v>
      </c>
    </row>
    <row r="178" spans="1:6" x14ac:dyDescent="0.25">
      <c r="A178" s="9">
        <v>45901</v>
      </c>
      <c r="B178" s="11">
        <f t="shared" si="10"/>
        <v>14.771505833333334</v>
      </c>
      <c r="C178" s="11">
        <f t="shared" si="12"/>
        <v>37.416666666666664</v>
      </c>
      <c r="D178" s="11">
        <f t="shared" si="8"/>
        <v>52.1881725</v>
      </c>
    </row>
    <row r="179" spans="1:6" x14ac:dyDescent="0.25">
      <c r="A179" s="9">
        <v>45931</v>
      </c>
      <c r="B179" s="11">
        <f t="shared" si="10"/>
        <v>14.771505833333334</v>
      </c>
      <c r="C179" s="11">
        <f t="shared" si="12"/>
        <v>37.416666666666664</v>
      </c>
      <c r="D179" s="11">
        <f t="shared" si="8"/>
        <v>52.1881725</v>
      </c>
    </row>
    <row r="180" spans="1:6" x14ac:dyDescent="0.25">
      <c r="A180" s="9">
        <v>45962</v>
      </c>
      <c r="B180" s="11">
        <f t="shared" si="10"/>
        <v>14.771505833333334</v>
      </c>
      <c r="C180" s="11">
        <f t="shared" si="12"/>
        <v>37.416666666666664</v>
      </c>
      <c r="D180" s="11">
        <f t="shared" si="8"/>
        <v>52.1881725</v>
      </c>
    </row>
    <row r="181" spans="1:6" x14ac:dyDescent="0.25">
      <c r="A181" s="9">
        <v>45992</v>
      </c>
      <c r="B181" s="11">
        <f t="shared" si="10"/>
        <v>14.771505833333334</v>
      </c>
      <c r="C181" s="11">
        <f t="shared" si="12"/>
        <v>37.416666666666664</v>
      </c>
      <c r="D181" s="11">
        <f t="shared" si="8"/>
        <v>52.1881725</v>
      </c>
      <c r="F181" s="7" t="s">
        <v>31</v>
      </c>
    </row>
    <row r="182" spans="1:6" x14ac:dyDescent="0.25">
      <c r="A182" s="9">
        <v>46023</v>
      </c>
    </row>
    <row r="183" spans="1:6" x14ac:dyDescent="0.25">
      <c r="A183" s="9">
        <v>46054</v>
      </c>
      <c r="B183" s="10"/>
      <c r="C183" s="10"/>
    </row>
    <row r="184" spans="1:6" x14ac:dyDescent="0.25">
      <c r="A184" s="9">
        <v>46082</v>
      </c>
    </row>
    <row r="185" spans="1:6" x14ac:dyDescent="0.25">
      <c r="A185" s="9">
        <v>46113</v>
      </c>
    </row>
    <row r="186" spans="1:6" x14ac:dyDescent="0.25">
      <c r="A186" s="9">
        <v>46143</v>
      </c>
    </row>
    <row r="187" spans="1:6" x14ac:dyDescent="0.25">
      <c r="A187" s="9">
        <v>46174</v>
      </c>
    </row>
    <row r="188" spans="1:6" x14ac:dyDescent="0.25">
      <c r="A188" s="9">
        <v>46204</v>
      </c>
    </row>
    <row r="189" spans="1:6" x14ac:dyDescent="0.25">
      <c r="A189" s="9">
        <v>46235</v>
      </c>
    </row>
    <row r="190" spans="1:6" x14ac:dyDescent="0.25">
      <c r="A190" s="9">
        <v>46266</v>
      </c>
    </row>
    <row r="191" spans="1:6" x14ac:dyDescent="0.25">
      <c r="A191" s="9">
        <v>46296</v>
      </c>
    </row>
    <row r="192" spans="1:6" x14ac:dyDescent="0.25">
      <c r="A192" s="9">
        <v>46327</v>
      </c>
    </row>
    <row r="193" spans="1:1" x14ac:dyDescent="0.25">
      <c r="A193" s="9">
        <v>46357</v>
      </c>
    </row>
    <row r="194" spans="1:1" x14ac:dyDescent="0.25">
      <c r="A194" s="9">
        <v>46388</v>
      </c>
    </row>
    <row r="195" spans="1:1" x14ac:dyDescent="0.25">
      <c r="A195" s="9">
        <v>46419</v>
      </c>
    </row>
    <row r="196" spans="1:1" x14ac:dyDescent="0.25">
      <c r="A196" s="9">
        <v>46447</v>
      </c>
    </row>
    <row r="197" spans="1:1" x14ac:dyDescent="0.25">
      <c r="A197" s="9">
        <v>46478</v>
      </c>
    </row>
    <row r="198" spans="1:1" x14ac:dyDescent="0.25">
      <c r="A198" s="9">
        <v>46508</v>
      </c>
    </row>
    <row r="199" spans="1:1" x14ac:dyDescent="0.25">
      <c r="A199" s="9">
        <v>46539</v>
      </c>
    </row>
    <row r="200" spans="1:1" x14ac:dyDescent="0.25">
      <c r="A200" s="9">
        <v>46569</v>
      </c>
    </row>
    <row r="201" spans="1:1" x14ac:dyDescent="0.25">
      <c r="A201" s="9">
        <v>46600</v>
      </c>
    </row>
    <row r="202" spans="1:1" x14ac:dyDescent="0.25">
      <c r="A202" s="9">
        <v>46631</v>
      </c>
    </row>
    <row r="203" spans="1:1" x14ac:dyDescent="0.25">
      <c r="A203" s="9">
        <v>46661</v>
      </c>
    </row>
    <row r="204" spans="1:1" x14ac:dyDescent="0.25">
      <c r="A204" s="9">
        <v>46692</v>
      </c>
    </row>
    <row r="205" spans="1:1" x14ac:dyDescent="0.25">
      <c r="A205" s="9">
        <v>46722</v>
      </c>
    </row>
    <row r="206" spans="1:1" x14ac:dyDescent="0.25">
      <c r="A206" s="9">
        <v>46753</v>
      </c>
    </row>
    <row r="207" spans="1:1" x14ac:dyDescent="0.25">
      <c r="A207" s="9">
        <v>46784</v>
      </c>
    </row>
    <row r="208" spans="1:1" x14ac:dyDescent="0.25">
      <c r="A208" s="9">
        <v>46813</v>
      </c>
    </row>
    <row r="209" spans="1:1" x14ac:dyDescent="0.25">
      <c r="A209" s="9">
        <v>46844</v>
      </c>
    </row>
    <row r="210" spans="1:1" x14ac:dyDescent="0.25">
      <c r="A210" s="9">
        <v>46874</v>
      </c>
    </row>
    <row r="211" spans="1:1" x14ac:dyDescent="0.25">
      <c r="A211" s="9">
        <v>46905</v>
      </c>
    </row>
    <row r="212" spans="1:1" x14ac:dyDescent="0.25">
      <c r="A212" s="9">
        <v>46935</v>
      </c>
    </row>
    <row r="213" spans="1:1" x14ac:dyDescent="0.25">
      <c r="A213" s="9">
        <v>46966</v>
      </c>
    </row>
    <row r="214" spans="1:1" x14ac:dyDescent="0.25">
      <c r="A214" s="9">
        <v>46997</v>
      </c>
    </row>
    <row r="215" spans="1:1" x14ac:dyDescent="0.25">
      <c r="A215" s="9">
        <v>47027</v>
      </c>
    </row>
    <row r="216" spans="1:1" x14ac:dyDescent="0.25">
      <c r="A216" s="9">
        <v>47058</v>
      </c>
    </row>
    <row r="217" spans="1:1" x14ac:dyDescent="0.25">
      <c r="A217" s="9">
        <v>47088</v>
      </c>
    </row>
    <row r="218" spans="1:1" x14ac:dyDescent="0.25">
      <c r="A218" s="9">
        <v>47119</v>
      </c>
    </row>
    <row r="219" spans="1:1" x14ac:dyDescent="0.25">
      <c r="A219" s="9">
        <v>47150</v>
      </c>
    </row>
    <row r="220" spans="1:1" x14ac:dyDescent="0.25">
      <c r="A220" s="9">
        <v>47178</v>
      </c>
    </row>
    <row r="221" spans="1:1" x14ac:dyDescent="0.25">
      <c r="A221" s="9">
        <v>47209</v>
      </c>
    </row>
    <row r="222" spans="1:1" x14ac:dyDescent="0.25">
      <c r="A222" s="9">
        <v>47239</v>
      </c>
    </row>
    <row r="223" spans="1:1" x14ac:dyDescent="0.25">
      <c r="A223" s="9">
        <v>47270</v>
      </c>
    </row>
    <row r="224" spans="1:1" x14ac:dyDescent="0.25">
      <c r="A224" s="9">
        <v>47300</v>
      </c>
    </row>
    <row r="225" spans="1:1" x14ac:dyDescent="0.25">
      <c r="A225" s="9">
        <v>47331</v>
      </c>
    </row>
    <row r="226" spans="1:1" x14ac:dyDescent="0.25">
      <c r="A226" s="9">
        <v>47362</v>
      </c>
    </row>
    <row r="227" spans="1:1" x14ac:dyDescent="0.25">
      <c r="A227" s="9">
        <v>47392</v>
      </c>
    </row>
    <row r="228" spans="1:1" x14ac:dyDescent="0.25">
      <c r="A228" s="9">
        <v>47423</v>
      </c>
    </row>
    <row r="229" spans="1:1" x14ac:dyDescent="0.25">
      <c r="A229" s="9">
        <v>47453</v>
      </c>
    </row>
    <row r="230" spans="1:1" x14ac:dyDescent="0.25">
      <c r="A230" s="9">
        <v>47484</v>
      </c>
    </row>
    <row r="231" spans="1:1" x14ac:dyDescent="0.25">
      <c r="A231" s="9">
        <v>47515</v>
      </c>
    </row>
    <row r="232" spans="1:1" x14ac:dyDescent="0.25">
      <c r="A232" s="9">
        <v>47543</v>
      </c>
    </row>
    <row r="233" spans="1:1" x14ac:dyDescent="0.25">
      <c r="A233" s="9">
        <v>47574</v>
      </c>
    </row>
    <row r="234" spans="1:1" x14ac:dyDescent="0.25">
      <c r="A234" s="9">
        <v>47604</v>
      </c>
    </row>
    <row r="235" spans="1:1" x14ac:dyDescent="0.25">
      <c r="A235" s="9">
        <v>47635</v>
      </c>
    </row>
    <row r="236" spans="1:1" x14ac:dyDescent="0.25">
      <c r="A236" s="9">
        <v>47665</v>
      </c>
    </row>
    <row r="237" spans="1:1" x14ac:dyDescent="0.25">
      <c r="A237" s="9">
        <v>47696</v>
      </c>
    </row>
    <row r="238" spans="1:1" x14ac:dyDescent="0.25">
      <c r="A238" s="9">
        <v>47727</v>
      </c>
    </row>
    <row r="239" spans="1:1" x14ac:dyDescent="0.25">
      <c r="A239" s="9">
        <v>47757</v>
      </c>
    </row>
    <row r="240" spans="1:1" x14ac:dyDescent="0.25">
      <c r="A240" s="9">
        <v>47788</v>
      </c>
    </row>
    <row r="241" spans="1:1" x14ac:dyDescent="0.25">
      <c r="A241" s="9">
        <v>47818</v>
      </c>
    </row>
    <row r="242" spans="1:1" x14ac:dyDescent="0.25">
      <c r="A242" s="9">
        <v>47849</v>
      </c>
    </row>
    <row r="243" spans="1:1" x14ac:dyDescent="0.25">
      <c r="A243" s="9">
        <v>47880</v>
      </c>
    </row>
    <row r="244" spans="1:1" x14ac:dyDescent="0.25">
      <c r="A244" s="9">
        <v>47908</v>
      </c>
    </row>
    <row r="245" spans="1:1" x14ac:dyDescent="0.25">
      <c r="A245" s="9">
        <v>47939</v>
      </c>
    </row>
    <row r="246" spans="1:1" x14ac:dyDescent="0.25">
      <c r="A246" s="9">
        <v>47969</v>
      </c>
    </row>
    <row r="247" spans="1:1" x14ac:dyDescent="0.25">
      <c r="A247" s="9">
        <v>48000</v>
      </c>
    </row>
    <row r="248" spans="1:1" x14ac:dyDescent="0.25">
      <c r="A248" s="9">
        <v>48030</v>
      </c>
    </row>
    <row r="249" spans="1:1" x14ac:dyDescent="0.25">
      <c r="A249" s="9">
        <v>48061</v>
      </c>
    </row>
    <row r="250" spans="1:1" x14ac:dyDescent="0.25">
      <c r="A250" s="9">
        <v>48092</v>
      </c>
    </row>
    <row r="251" spans="1:1" x14ac:dyDescent="0.25">
      <c r="A251" s="9">
        <v>48122</v>
      </c>
    </row>
    <row r="252" spans="1:1" x14ac:dyDescent="0.25">
      <c r="A252" s="9">
        <v>48153</v>
      </c>
    </row>
    <row r="253" spans="1:1" x14ac:dyDescent="0.25">
      <c r="A253" s="9">
        <v>48183</v>
      </c>
    </row>
    <row r="254" spans="1:1" x14ac:dyDescent="0.25">
      <c r="A254" s="9">
        <v>48214</v>
      </c>
    </row>
    <row r="255" spans="1:1" x14ac:dyDescent="0.25">
      <c r="A255" s="9">
        <v>48245</v>
      </c>
    </row>
    <row r="256" spans="1:1" x14ac:dyDescent="0.25">
      <c r="A256" s="9">
        <v>48274</v>
      </c>
    </row>
    <row r="257" spans="1:1" x14ac:dyDescent="0.25">
      <c r="A257" s="9">
        <v>48305</v>
      </c>
    </row>
    <row r="258" spans="1:1" x14ac:dyDescent="0.25">
      <c r="A258" s="9">
        <v>48335</v>
      </c>
    </row>
    <row r="259" spans="1:1" x14ac:dyDescent="0.25">
      <c r="A259" s="9">
        <v>48366</v>
      </c>
    </row>
    <row r="260" spans="1:1" x14ac:dyDescent="0.25">
      <c r="A260" s="9">
        <v>48396</v>
      </c>
    </row>
    <row r="261" spans="1:1" x14ac:dyDescent="0.25">
      <c r="A261" s="9">
        <v>48427</v>
      </c>
    </row>
    <row r="262" spans="1:1" x14ac:dyDescent="0.25">
      <c r="A262" s="9">
        <v>48458</v>
      </c>
    </row>
    <row r="263" spans="1:1" x14ac:dyDescent="0.25">
      <c r="A263" s="9">
        <v>48488</v>
      </c>
    </row>
    <row r="264" spans="1:1" x14ac:dyDescent="0.25">
      <c r="A264" s="9">
        <v>48519</v>
      </c>
    </row>
    <row r="265" spans="1:1" x14ac:dyDescent="0.25">
      <c r="A265" s="9">
        <v>48549</v>
      </c>
    </row>
    <row r="266" spans="1:1" x14ac:dyDescent="0.25">
      <c r="A266" s="9">
        <v>48580</v>
      </c>
    </row>
    <row r="267" spans="1:1" x14ac:dyDescent="0.25">
      <c r="A267" s="9">
        <v>48611</v>
      </c>
    </row>
    <row r="268" spans="1:1" x14ac:dyDescent="0.25">
      <c r="A268" s="9">
        <v>48639</v>
      </c>
    </row>
    <row r="269" spans="1:1" x14ac:dyDescent="0.25">
      <c r="A269" s="9">
        <v>48670</v>
      </c>
    </row>
    <row r="270" spans="1:1" x14ac:dyDescent="0.25">
      <c r="A270" s="9">
        <v>48700</v>
      </c>
    </row>
    <row r="271" spans="1:1" x14ac:dyDescent="0.25">
      <c r="A271" s="9">
        <v>48731</v>
      </c>
    </row>
    <row r="272" spans="1:1" x14ac:dyDescent="0.25">
      <c r="A272" s="9">
        <v>48761</v>
      </c>
    </row>
    <row r="273" spans="1:1" x14ac:dyDescent="0.25">
      <c r="A273" s="9">
        <v>48792</v>
      </c>
    </row>
    <row r="274" spans="1:1" x14ac:dyDescent="0.25">
      <c r="A274" s="9">
        <v>48823</v>
      </c>
    </row>
    <row r="275" spans="1:1" x14ac:dyDescent="0.25">
      <c r="A275" s="9">
        <v>48853</v>
      </c>
    </row>
    <row r="276" spans="1:1" x14ac:dyDescent="0.25">
      <c r="A276" s="9">
        <v>48884</v>
      </c>
    </row>
    <row r="277" spans="1:1" x14ac:dyDescent="0.25">
      <c r="A277" s="9">
        <v>48914</v>
      </c>
    </row>
    <row r="278" spans="1:1" x14ac:dyDescent="0.25">
      <c r="A278" s="9">
        <v>48945</v>
      </c>
    </row>
    <row r="279" spans="1:1" x14ac:dyDescent="0.25">
      <c r="A279" s="9">
        <v>48976</v>
      </c>
    </row>
    <row r="280" spans="1:1" x14ac:dyDescent="0.25">
      <c r="A280" s="9">
        <v>49004</v>
      </c>
    </row>
    <row r="281" spans="1:1" x14ac:dyDescent="0.25">
      <c r="A281" s="9">
        <v>49035</v>
      </c>
    </row>
    <row r="282" spans="1:1" x14ac:dyDescent="0.25">
      <c r="A282" s="9">
        <v>49065</v>
      </c>
    </row>
    <row r="283" spans="1:1" x14ac:dyDescent="0.25">
      <c r="A283" s="9">
        <v>49096</v>
      </c>
    </row>
    <row r="284" spans="1:1" x14ac:dyDescent="0.25">
      <c r="A284" s="9">
        <v>49126</v>
      </c>
    </row>
    <row r="285" spans="1:1" x14ac:dyDescent="0.25">
      <c r="A285" s="9">
        <v>49157</v>
      </c>
    </row>
    <row r="286" spans="1:1" x14ac:dyDescent="0.25">
      <c r="A286" s="9">
        <v>49188</v>
      </c>
    </row>
    <row r="287" spans="1:1" x14ac:dyDescent="0.25">
      <c r="A287" s="9">
        <v>49218</v>
      </c>
    </row>
    <row r="288" spans="1:1" x14ac:dyDescent="0.25">
      <c r="A288" s="9">
        <v>49249</v>
      </c>
    </row>
    <row r="289" spans="1:1" x14ac:dyDescent="0.25">
      <c r="A289" s="9">
        <v>49279</v>
      </c>
    </row>
    <row r="290" spans="1:1" x14ac:dyDescent="0.25">
      <c r="A290" s="9">
        <v>49310</v>
      </c>
    </row>
    <row r="291" spans="1:1" x14ac:dyDescent="0.25">
      <c r="A291" s="9">
        <v>49341</v>
      </c>
    </row>
    <row r="292" spans="1:1" x14ac:dyDescent="0.25">
      <c r="A292" s="9">
        <v>49369</v>
      </c>
    </row>
    <row r="293" spans="1:1" x14ac:dyDescent="0.25">
      <c r="A293" s="9">
        <v>49400</v>
      </c>
    </row>
    <row r="294" spans="1:1" x14ac:dyDescent="0.25">
      <c r="A294" s="9">
        <v>49430</v>
      </c>
    </row>
    <row r="295" spans="1:1" x14ac:dyDescent="0.25">
      <c r="A295" s="9">
        <v>49461</v>
      </c>
    </row>
    <row r="296" spans="1:1" x14ac:dyDescent="0.25">
      <c r="A296" s="9">
        <v>49491</v>
      </c>
    </row>
    <row r="297" spans="1:1" x14ac:dyDescent="0.25">
      <c r="A297" s="9">
        <v>49522</v>
      </c>
    </row>
    <row r="298" spans="1:1" x14ac:dyDescent="0.25">
      <c r="A298" s="9">
        <v>49553</v>
      </c>
    </row>
    <row r="299" spans="1:1" x14ac:dyDescent="0.25">
      <c r="A299" s="9">
        <v>49583</v>
      </c>
    </row>
    <row r="300" spans="1:1" x14ac:dyDescent="0.25">
      <c r="A300" s="9">
        <v>49614</v>
      </c>
    </row>
    <row r="301" spans="1:1" x14ac:dyDescent="0.25">
      <c r="A301" s="9">
        <v>49644</v>
      </c>
    </row>
    <row r="302" spans="1:1" x14ac:dyDescent="0.25">
      <c r="A302" s="9">
        <v>49675</v>
      </c>
    </row>
    <row r="303" spans="1:1" x14ac:dyDescent="0.25">
      <c r="A303" s="9">
        <v>49706</v>
      </c>
    </row>
    <row r="304" spans="1:1" x14ac:dyDescent="0.25">
      <c r="A304" s="9">
        <v>49735</v>
      </c>
    </row>
    <row r="305" spans="1:1" x14ac:dyDescent="0.25">
      <c r="A305" s="9">
        <v>49766</v>
      </c>
    </row>
    <row r="306" spans="1:1" x14ac:dyDescent="0.25">
      <c r="A306" s="9">
        <v>49796</v>
      </c>
    </row>
    <row r="307" spans="1:1" x14ac:dyDescent="0.25">
      <c r="A307" s="9">
        <v>49827</v>
      </c>
    </row>
    <row r="308" spans="1:1" x14ac:dyDescent="0.25">
      <c r="A308" s="9">
        <v>49857</v>
      </c>
    </row>
    <row r="309" spans="1:1" x14ac:dyDescent="0.25">
      <c r="A309" s="9">
        <v>49888</v>
      </c>
    </row>
    <row r="310" spans="1:1" x14ac:dyDescent="0.25">
      <c r="A310" s="9">
        <v>49919</v>
      </c>
    </row>
    <row r="311" spans="1:1" x14ac:dyDescent="0.25">
      <c r="A311" s="9">
        <v>49949</v>
      </c>
    </row>
    <row r="312" spans="1:1" x14ac:dyDescent="0.25">
      <c r="A312" s="9">
        <v>49980</v>
      </c>
    </row>
    <row r="313" spans="1:1" x14ac:dyDescent="0.25">
      <c r="A313" s="9">
        <v>50010</v>
      </c>
    </row>
    <row r="314" spans="1:1" x14ac:dyDescent="0.25">
      <c r="A314" s="9">
        <v>50041</v>
      </c>
    </row>
    <row r="315" spans="1:1" x14ac:dyDescent="0.25">
      <c r="A315" s="9">
        <v>50072</v>
      </c>
    </row>
    <row r="316" spans="1:1" x14ac:dyDescent="0.25">
      <c r="A316" s="9">
        <v>50100</v>
      </c>
    </row>
    <row r="317" spans="1:1" x14ac:dyDescent="0.25">
      <c r="A317" s="9">
        <v>50131</v>
      </c>
    </row>
    <row r="318" spans="1:1" x14ac:dyDescent="0.25">
      <c r="A318" s="9">
        <v>50161</v>
      </c>
    </row>
    <row r="319" spans="1:1" x14ac:dyDescent="0.25">
      <c r="A319" s="9">
        <v>50192</v>
      </c>
    </row>
    <row r="320" spans="1:1" x14ac:dyDescent="0.25">
      <c r="A320" s="9">
        <v>50222</v>
      </c>
    </row>
    <row r="321" spans="1:1" x14ac:dyDescent="0.25">
      <c r="A321" s="9">
        <v>50253</v>
      </c>
    </row>
    <row r="322" spans="1:1" x14ac:dyDescent="0.25">
      <c r="A322" s="9">
        <v>50284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C9A7B-AEA1-4A8E-B2E5-C738F64E0257}">
  <sheetPr>
    <tabColor rgb="FFFF0000"/>
  </sheetPr>
  <dimension ref="A1:T20"/>
  <sheetViews>
    <sheetView zoomScale="110" zoomScaleNormal="110" workbookViewId="0">
      <pane xSplit="1" ySplit="3" topLeftCell="H4" activePane="bottomRight" state="frozen"/>
      <selection activeCell="B4" sqref="B4"/>
      <selection pane="topRight" activeCell="B4" sqref="B4"/>
      <selection pane="bottomLeft" activeCell="B4" sqref="B4"/>
      <selection pane="bottomRight" activeCell="B4" sqref="B4"/>
    </sheetView>
  </sheetViews>
  <sheetFormatPr defaultRowHeight="15" x14ac:dyDescent="0.25"/>
  <cols>
    <col min="1" max="1" width="10.5703125" style="5" bestFit="1" customWidth="1"/>
    <col min="2" max="2" width="12.7109375" style="36" customWidth="1"/>
    <col min="3" max="4" width="12.7109375" style="5" customWidth="1"/>
    <col min="5" max="5" width="12.7109375" style="35" customWidth="1"/>
    <col min="6" max="6" width="12.7109375" style="36" customWidth="1"/>
    <col min="7" max="8" width="12.7109375" style="5" customWidth="1"/>
    <col min="9" max="9" width="12.7109375" style="35" customWidth="1"/>
    <col min="10" max="13" width="12.7109375" style="5" customWidth="1"/>
    <col min="14" max="14" width="12.7109375" style="35" customWidth="1"/>
    <col min="15" max="15" width="12.42578125" style="36" bestFit="1" customWidth="1"/>
    <col min="16" max="16" width="11.28515625" style="5" bestFit="1" customWidth="1"/>
    <col min="17" max="17" width="11.28515625" style="5" customWidth="1"/>
    <col min="18" max="18" width="12.42578125" style="5" customWidth="1"/>
    <col min="19" max="19" width="11.28515625" style="5" bestFit="1" customWidth="1"/>
    <col min="20" max="20" width="17.85546875" style="35" customWidth="1"/>
    <col min="21" max="16384" width="9.140625" style="5"/>
  </cols>
  <sheetData>
    <row r="1" spans="1:20" s="17" customFormat="1" ht="105" x14ac:dyDescent="0.25">
      <c r="A1" s="12" t="s">
        <v>32</v>
      </c>
      <c r="B1" s="13" t="s">
        <v>33</v>
      </c>
      <c r="C1" s="14"/>
      <c r="D1" s="14"/>
      <c r="E1" s="15"/>
      <c r="F1" s="13"/>
      <c r="G1" s="14"/>
      <c r="H1" s="14"/>
      <c r="I1" s="16"/>
      <c r="J1" s="4" t="s">
        <v>34</v>
      </c>
      <c r="K1" s="13" t="s">
        <v>35</v>
      </c>
      <c r="L1" s="14"/>
      <c r="M1" s="14"/>
      <c r="N1" s="16"/>
      <c r="O1" s="13" t="s">
        <v>36</v>
      </c>
      <c r="P1" s="13" t="s">
        <v>35</v>
      </c>
      <c r="Q1" s="14"/>
      <c r="R1" s="14"/>
      <c r="S1" s="14"/>
      <c r="T1" s="16" t="s">
        <v>37</v>
      </c>
    </row>
    <row r="2" spans="1:20" s="17" customFormat="1" ht="60" x14ac:dyDescent="0.25">
      <c r="A2" s="12" t="s">
        <v>38</v>
      </c>
      <c r="B2" s="18" t="s">
        <v>39</v>
      </c>
      <c r="C2" s="12" t="s">
        <v>40</v>
      </c>
      <c r="D2" s="12" t="s">
        <v>41</v>
      </c>
      <c r="E2" s="19" t="s">
        <v>42</v>
      </c>
      <c r="F2" s="18" t="s">
        <v>43</v>
      </c>
      <c r="G2" s="12" t="s">
        <v>44</v>
      </c>
      <c r="H2" s="12" t="s">
        <v>45</v>
      </c>
      <c r="I2" s="19" t="s">
        <v>46</v>
      </c>
      <c r="J2" s="12" t="s">
        <v>47</v>
      </c>
      <c r="K2" s="12" t="s">
        <v>48</v>
      </c>
      <c r="L2" s="12" t="s">
        <v>49</v>
      </c>
      <c r="M2" s="12" t="s">
        <v>50</v>
      </c>
      <c r="N2" s="16" t="s">
        <v>51</v>
      </c>
      <c r="O2" s="14" t="s">
        <v>52</v>
      </c>
      <c r="P2" s="14" t="s">
        <v>53</v>
      </c>
      <c r="Q2" s="14" t="s">
        <v>50</v>
      </c>
      <c r="R2" s="14" t="s">
        <v>54</v>
      </c>
      <c r="S2" s="14" t="s">
        <v>55</v>
      </c>
      <c r="T2" s="16" t="s">
        <v>56</v>
      </c>
    </row>
    <row r="3" spans="1:20" x14ac:dyDescent="0.25">
      <c r="A3" s="20"/>
      <c r="B3" s="21" t="s">
        <v>57</v>
      </c>
      <c r="C3" t="s">
        <v>57</v>
      </c>
      <c r="D3" t="s">
        <v>57</v>
      </c>
      <c r="E3" s="22" t="s">
        <v>57</v>
      </c>
      <c r="F3" s="21"/>
      <c r="G3" t="s">
        <v>57</v>
      </c>
      <c r="H3" t="s">
        <v>57</v>
      </c>
      <c r="I3" s="22" t="s">
        <v>57</v>
      </c>
      <c r="J3" t="s">
        <v>58</v>
      </c>
      <c r="K3" t="s">
        <v>58</v>
      </c>
      <c r="L3" t="s">
        <v>58</v>
      </c>
      <c r="M3" t="s">
        <v>58</v>
      </c>
      <c r="N3" s="23" t="s">
        <v>58</v>
      </c>
      <c r="O3" t="s">
        <v>58</v>
      </c>
      <c r="P3" t="s">
        <v>58</v>
      </c>
      <c r="Q3" t="s">
        <v>58</v>
      </c>
      <c r="R3" t="s">
        <v>58</v>
      </c>
      <c r="S3" t="s">
        <v>58</v>
      </c>
      <c r="T3" s="24" t="s">
        <v>59</v>
      </c>
    </row>
    <row r="4" spans="1:20" x14ac:dyDescent="0.25">
      <c r="A4" s="25">
        <v>2014</v>
      </c>
      <c r="B4" s="26"/>
      <c r="C4" s="27"/>
      <c r="D4" s="27"/>
      <c r="E4" s="28"/>
      <c r="F4" s="26"/>
      <c r="G4" s="27"/>
      <c r="H4" s="27"/>
      <c r="I4" s="28"/>
      <c r="J4" s="27">
        <v>5140.3999999999996</v>
      </c>
      <c r="K4" s="29"/>
      <c r="L4" s="29"/>
      <c r="M4" s="29"/>
      <c r="N4" s="28">
        <v>6536.3</v>
      </c>
      <c r="O4" s="26">
        <v>28772.3</v>
      </c>
      <c r="P4" s="27"/>
      <c r="Q4" s="27">
        <v>228.1</v>
      </c>
      <c r="R4" s="27">
        <v>3825.4</v>
      </c>
      <c r="S4" s="27">
        <v>29504</v>
      </c>
      <c r="T4" s="28"/>
    </row>
    <row r="5" spans="1:20" x14ac:dyDescent="0.25">
      <c r="A5" s="25">
        <v>2015</v>
      </c>
      <c r="B5" s="26">
        <v>397</v>
      </c>
      <c r="C5" s="27">
        <v>281</v>
      </c>
      <c r="D5" s="27">
        <v>411</v>
      </c>
      <c r="E5" s="28">
        <v>267</v>
      </c>
      <c r="F5" s="26">
        <v>0</v>
      </c>
      <c r="G5" s="27">
        <v>224</v>
      </c>
      <c r="H5" s="27">
        <v>224</v>
      </c>
      <c r="I5" s="28">
        <v>0</v>
      </c>
      <c r="J5" s="27">
        <v>5288.4</v>
      </c>
      <c r="K5" s="29"/>
      <c r="L5" s="29"/>
      <c r="M5" s="29"/>
      <c r="N5" s="28">
        <v>6687.6</v>
      </c>
      <c r="O5" s="26">
        <v>28800.1</v>
      </c>
      <c r="P5" s="27"/>
      <c r="Q5" s="27">
        <v>-349.1</v>
      </c>
      <c r="R5" s="27"/>
      <c r="S5" s="27">
        <v>29242.799999999999</v>
      </c>
      <c r="T5" s="28"/>
    </row>
    <row r="6" spans="1:20" x14ac:dyDescent="0.25">
      <c r="A6" s="25">
        <v>2016</v>
      </c>
      <c r="B6" s="26">
        <v>464</v>
      </c>
      <c r="C6" s="27">
        <v>262</v>
      </c>
      <c r="D6" s="27">
        <v>271</v>
      </c>
      <c r="E6" s="28">
        <v>455</v>
      </c>
      <c r="F6" s="26">
        <v>0</v>
      </c>
      <c r="G6" s="27">
        <v>261</v>
      </c>
      <c r="H6" s="27">
        <v>261</v>
      </c>
      <c r="I6" s="28">
        <v>0</v>
      </c>
      <c r="J6" s="27">
        <v>5635.3</v>
      </c>
      <c r="K6" s="29">
        <v>828.8</v>
      </c>
      <c r="L6" s="29">
        <v>2715.4</v>
      </c>
      <c r="M6" s="29">
        <v>-5.2</v>
      </c>
      <c r="N6" s="28">
        <v>6831.7</v>
      </c>
      <c r="O6" s="26">
        <v>28526.1</v>
      </c>
      <c r="P6" s="27"/>
      <c r="Q6" s="27">
        <v>-240.9</v>
      </c>
      <c r="R6" s="27"/>
      <c r="S6" s="27">
        <v>27938.1</v>
      </c>
      <c r="T6" s="28"/>
    </row>
    <row r="7" spans="1:20" x14ac:dyDescent="0.25">
      <c r="A7" s="25">
        <v>2017</v>
      </c>
      <c r="B7" s="26">
        <v>397</v>
      </c>
      <c r="C7" s="27">
        <v>300</v>
      </c>
      <c r="D7" s="27">
        <v>347</v>
      </c>
      <c r="E7" s="28">
        <v>350</v>
      </c>
      <c r="F7" s="26">
        <v>0</v>
      </c>
      <c r="G7" s="27">
        <v>411</v>
      </c>
      <c r="H7" s="27">
        <v>411</v>
      </c>
      <c r="I7" s="28">
        <v>0</v>
      </c>
      <c r="J7" s="27">
        <v>6975.9</v>
      </c>
      <c r="K7" s="29">
        <v>1362</v>
      </c>
      <c r="L7" s="29">
        <v>2443.1</v>
      </c>
      <c r="M7" s="29">
        <v>34.799999999999997</v>
      </c>
      <c r="N7" s="28">
        <v>7446.5</v>
      </c>
      <c r="O7" s="26">
        <v>31382.9</v>
      </c>
      <c r="P7" s="27">
        <v>1329.9</v>
      </c>
      <c r="Q7" s="27">
        <v>76.2</v>
      </c>
      <c r="R7" s="27">
        <v>4795</v>
      </c>
      <c r="S7" s="27">
        <v>30006.799999999999</v>
      </c>
      <c r="T7" s="28"/>
    </row>
    <row r="8" spans="1:20" x14ac:dyDescent="0.25">
      <c r="A8" s="25">
        <v>2018</v>
      </c>
      <c r="B8" s="26">
        <v>308</v>
      </c>
      <c r="C8" s="27">
        <v>391</v>
      </c>
      <c r="D8" s="27">
        <v>390</v>
      </c>
      <c r="E8" s="28">
        <v>309</v>
      </c>
      <c r="F8" s="26">
        <v>0</v>
      </c>
      <c r="G8" s="27">
        <v>358</v>
      </c>
      <c r="H8" s="27">
        <v>358</v>
      </c>
      <c r="I8" s="28">
        <v>0</v>
      </c>
      <c r="J8" s="27">
        <v>6867.8</v>
      </c>
      <c r="K8" s="29">
        <v>1410.1</v>
      </c>
      <c r="L8" s="29">
        <v>3611.8</v>
      </c>
      <c r="M8" s="29">
        <v>81.400000000000006</v>
      </c>
      <c r="N8" s="28">
        <v>8443.7000000000007</v>
      </c>
      <c r="O8" s="26">
        <v>30684.9</v>
      </c>
      <c r="P8" s="27">
        <v>2105.8000000000002</v>
      </c>
      <c r="Q8" s="27">
        <v>81.2</v>
      </c>
      <c r="R8" s="27">
        <v>4188.8999999999996</v>
      </c>
      <c r="S8" s="27">
        <v>31334.2</v>
      </c>
      <c r="T8" s="28"/>
    </row>
    <row r="9" spans="1:20" x14ac:dyDescent="0.25">
      <c r="A9" s="25">
        <v>2019</v>
      </c>
      <c r="B9" s="26">
        <v>359</v>
      </c>
      <c r="C9" s="27">
        <v>344</v>
      </c>
      <c r="D9" s="27">
        <v>361</v>
      </c>
      <c r="E9" s="28">
        <v>342</v>
      </c>
      <c r="F9" s="26">
        <v>0</v>
      </c>
      <c r="G9" s="27">
        <v>380</v>
      </c>
      <c r="H9" s="27">
        <v>380</v>
      </c>
      <c r="I9" s="28">
        <v>0</v>
      </c>
      <c r="J9" s="27">
        <v>6861.9</v>
      </c>
      <c r="K9" s="29">
        <v>1325.5</v>
      </c>
      <c r="L9" s="29">
        <v>3922.9</v>
      </c>
      <c r="M9" s="29">
        <v>-11.3</v>
      </c>
      <c r="N9" s="28">
        <v>8469.7000000000007</v>
      </c>
      <c r="O9" s="26">
        <v>38824.400000000001</v>
      </c>
      <c r="P9" s="27">
        <v>1391</v>
      </c>
      <c r="Q9" s="27">
        <v>-37.200000000000003</v>
      </c>
      <c r="R9" s="27">
        <v>8957.9</v>
      </c>
      <c r="S9" s="27">
        <v>31167.4</v>
      </c>
      <c r="T9" s="28"/>
    </row>
    <row r="10" spans="1:20" x14ac:dyDescent="0.25">
      <c r="A10" s="25">
        <v>2020</v>
      </c>
      <c r="B10" s="26">
        <v>458</v>
      </c>
      <c r="C10" s="27">
        <v>384</v>
      </c>
      <c r="D10" s="27">
        <v>391</v>
      </c>
      <c r="E10" s="28">
        <v>451</v>
      </c>
      <c r="F10" s="26">
        <v>0</v>
      </c>
      <c r="G10" s="27">
        <v>500</v>
      </c>
      <c r="H10" s="27">
        <v>500</v>
      </c>
      <c r="I10" s="28">
        <v>0</v>
      </c>
      <c r="J10" s="27">
        <v>3205.6</v>
      </c>
      <c r="K10" s="29">
        <v>525.9</v>
      </c>
      <c r="L10" s="29">
        <v>1365.3</v>
      </c>
      <c r="M10" s="29">
        <v>-52.1</v>
      </c>
      <c r="N10" s="28">
        <v>3780.5</v>
      </c>
      <c r="O10" s="26">
        <v>37983.1</v>
      </c>
      <c r="P10" s="27">
        <v>918.8</v>
      </c>
      <c r="Q10" s="27">
        <v>88.4</v>
      </c>
      <c r="R10" s="27">
        <v>8716.2000000000007</v>
      </c>
      <c r="S10" s="27">
        <v>27600.9</v>
      </c>
      <c r="T10" s="28"/>
    </row>
    <row r="11" spans="1:20" x14ac:dyDescent="0.25">
      <c r="A11" s="25">
        <v>2021</v>
      </c>
      <c r="B11" s="26">
        <v>431</v>
      </c>
      <c r="C11" s="27">
        <v>422</v>
      </c>
      <c r="D11" s="27">
        <v>412</v>
      </c>
      <c r="E11" s="28">
        <v>441</v>
      </c>
      <c r="F11" s="26">
        <v>0</v>
      </c>
      <c r="G11" s="27">
        <v>472</v>
      </c>
      <c r="H11" s="27">
        <v>482</v>
      </c>
      <c r="I11" s="28">
        <v>0</v>
      </c>
      <c r="J11" s="27">
        <v>3819.5</v>
      </c>
      <c r="K11" s="29">
        <v>497.8</v>
      </c>
      <c r="L11" s="29">
        <v>1128.0999999999999</v>
      </c>
      <c r="M11" s="29">
        <v>1.4</v>
      </c>
      <c r="N11" s="28">
        <v>4083.9</v>
      </c>
      <c r="O11" s="26">
        <v>38100</v>
      </c>
      <c r="P11" s="27">
        <v>1178</v>
      </c>
      <c r="Q11" s="27">
        <v>-107.6</v>
      </c>
      <c r="R11" s="27">
        <v>8643.7999999999993</v>
      </c>
      <c r="S11" s="27">
        <v>29046.799999999999</v>
      </c>
      <c r="T11" s="28"/>
    </row>
    <row r="12" spans="1:20" x14ac:dyDescent="0.25">
      <c r="A12" s="25">
        <v>2022</v>
      </c>
      <c r="B12" s="26">
        <v>369</v>
      </c>
      <c r="C12" s="27">
        <v>400</v>
      </c>
      <c r="D12" s="27">
        <v>390</v>
      </c>
      <c r="E12" s="28">
        <v>379</v>
      </c>
      <c r="F12" s="26">
        <v>0</v>
      </c>
      <c r="G12" s="27">
        <v>380</v>
      </c>
      <c r="H12" s="27">
        <v>380</v>
      </c>
      <c r="I12" s="28">
        <v>0</v>
      </c>
      <c r="J12" s="27">
        <v>5490.1</v>
      </c>
      <c r="K12" s="29">
        <v>417.9</v>
      </c>
      <c r="L12" s="29">
        <v>2311.1999999999998</v>
      </c>
      <c r="M12" s="29">
        <v>-44.8</v>
      </c>
      <c r="N12" s="28">
        <v>6689.5</v>
      </c>
      <c r="O12" s="26">
        <v>40039.599999999999</v>
      </c>
      <c r="P12" s="27">
        <v>994.4</v>
      </c>
      <c r="Q12" s="27">
        <v>-110.9</v>
      </c>
      <c r="R12" s="27">
        <v>8988.5</v>
      </c>
      <c r="S12" s="27">
        <v>29929.5</v>
      </c>
      <c r="T12" s="28">
        <v>142080</v>
      </c>
    </row>
    <row r="13" spans="1:20" x14ac:dyDescent="0.25">
      <c r="A13" s="25">
        <v>2023</v>
      </c>
      <c r="B13" s="26">
        <v>496</v>
      </c>
      <c r="C13" s="27">
        <v>547</v>
      </c>
      <c r="D13" s="27">
        <v>525</v>
      </c>
      <c r="E13" s="28">
        <v>518</v>
      </c>
      <c r="F13" s="26">
        <v>14</v>
      </c>
      <c r="G13" s="27">
        <v>851</v>
      </c>
      <c r="H13" s="27">
        <v>865</v>
      </c>
      <c r="I13" s="28">
        <v>0</v>
      </c>
      <c r="J13" s="27">
        <v>6252.2</v>
      </c>
      <c r="K13" s="29">
        <v>425.1</v>
      </c>
      <c r="L13" s="29">
        <v>2684.5</v>
      </c>
      <c r="M13" s="29">
        <v>44.8</v>
      </c>
      <c r="N13" s="28">
        <v>7853.1</v>
      </c>
      <c r="O13" s="26">
        <v>40735.699999999997</v>
      </c>
      <c r="P13" s="27">
        <v>825.3</v>
      </c>
      <c r="Q13" s="27">
        <v>275.5</v>
      </c>
      <c r="R13" s="27">
        <v>9406.7000000000007</v>
      </c>
      <c r="S13" s="27">
        <v>29197.4</v>
      </c>
      <c r="T13" s="28">
        <v>418766</v>
      </c>
    </row>
    <row r="14" spans="1:20" x14ac:dyDescent="0.25">
      <c r="A14" s="25">
        <v>2024</v>
      </c>
      <c r="B14" s="30">
        <v>460</v>
      </c>
      <c r="C14" s="31">
        <v>541</v>
      </c>
      <c r="D14" s="31">
        <v>491</v>
      </c>
      <c r="E14" s="32">
        <v>510</v>
      </c>
      <c r="F14" s="33">
        <v>687</v>
      </c>
      <c r="G14" s="34">
        <v>1382</v>
      </c>
      <c r="H14" s="34">
        <v>1619</v>
      </c>
      <c r="I14" s="32">
        <v>450</v>
      </c>
      <c r="T14" s="28">
        <v>1001436</v>
      </c>
    </row>
    <row r="15" spans="1:20" x14ac:dyDescent="0.25">
      <c r="B15" s="26"/>
      <c r="C15" s="27"/>
      <c r="D15" s="27"/>
    </row>
    <row r="16" spans="1:20" x14ac:dyDescent="0.25">
      <c r="B16" s="26"/>
    </row>
    <row r="17" spans="2:6" x14ac:dyDescent="0.25">
      <c r="B17" s="37"/>
      <c r="F17" s="38"/>
    </row>
    <row r="18" spans="2:6" x14ac:dyDescent="0.25">
      <c r="B18" s="26"/>
    </row>
    <row r="19" spans="2:6" x14ac:dyDescent="0.25">
      <c r="B19" s="26"/>
    </row>
    <row r="20" spans="2:6" x14ac:dyDescent="0.25">
      <c r="B20" s="2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0CA0-F137-4751-AF4C-A394B264D7E6}">
  <sheetPr>
    <tabColor rgb="FFFFFF00"/>
  </sheetPr>
  <dimension ref="A1:BE135"/>
  <sheetViews>
    <sheetView zoomScaleNormal="100" zoomScaleSheetLayoutView="84" workbookViewId="0">
      <pane xSplit="1" ySplit="3" topLeftCell="B61" activePane="bottomRight" state="frozen"/>
      <selection activeCell="B4" sqref="B4"/>
      <selection pane="topRight" activeCell="B4" sqref="B4"/>
      <selection pane="bottomLeft" activeCell="B4" sqref="B4"/>
      <selection pane="bottomRight" activeCell="B4" sqref="B4"/>
    </sheetView>
  </sheetViews>
  <sheetFormatPr defaultRowHeight="15" x14ac:dyDescent="0.25"/>
  <cols>
    <col min="1" max="1" width="7.5703125" style="46" bestFit="1" customWidth="1"/>
    <col min="2" max="2" width="7.85546875" style="5" customWidth="1"/>
    <col min="3" max="3" width="15.7109375" style="21" customWidth="1"/>
    <col min="4" max="7" width="15.7109375" customWidth="1"/>
    <col min="8" max="8" width="15.7109375" style="22" customWidth="1"/>
    <col min="9" max="9" width="15.7109375" style="36" customWidth="1"/>
    <col min="10" max="13" width="15.7109375" style="5" customWidth="1"/>
    <col min="14" max="14" width="15.7109375" style="35" customWidth="1"/>
    <col min="15" max="15" width="15.7109375" style="36" customWidth="1"/>
    <col min="16" max="19" width="15.7109375" style="5" customWidth="1"/>
    <col min="20" max="20" width="15.7109375" style="35" customWidth="1"/>
    <col min="21" max="23" width="18.28515625" style="5" customWidth="1"/>
    <col min="24" max="16384" width="9.140625" style="5"/>
  </cols>
  <sheetData>
    <row r="1" spans="1:57" s="41" customFormat="1" x14ac:dyDescent="0.25">
      <c r="A1" s="39"/>
      <c r="B1" s="40"/>
      <c r="C1" s="13" t="s">
        <v>60</v>
      </c>
      <c r="D1" s="14"/>
      <c r="E1" s="14"/>
      <c r="F1" s="14"/>
      <c r="G1" s="14"/>
      <c r="H1" s="16"/>
      <c r="I1" s="13" t="s">
        <v>34</v>
      </c>
      <c r="J1" s="14"/>
      <c r="K1" s="14"/>
      <c r="L1" s="14"/>
      <c r="M1" s="14"/>
      <c r="N1" s="16"/>
      <c r="O1" s="13" t="s">
        <v>61</v>
      </c>
      <c r="P1" s="14"/>
      <c r="Q1" s="14"/>
      <c r="R1" s="14"/>
      <c r="S1" s="14"/>
      <c r="T1" s="16"/>
      <c r="U1" s="41" t="s">
        <v>62</v>
      </c>
      <c r="V1" s="41" t="s">
        <v>63</v>
      </c>
      <c r="W1" s="41" t="s">
        <v>63</v>
      </c>
    </row>
    <row r="2" spans="1:57" s="41" customFormat="1" ht="60" x14ac:dyDescent="0.25">
      <c r="A2" s="39"/>
      <c r="B2" s="40"/>
      <c r="C2" s="14" t="s">
        <v>64</v>
      </c>
      <c r="D2" s="14" t="s">
        <v>49</v>
      </c>
      <c r="E2" s="14" t="s">
        <v>65</v>
      </c>
      <c r="F2" s="14" t="s">
        <v>48</v>
      </c>
      <c r="G2" s="14" t="s">
        <v>66</v>
      </c>
      <c r="H2" s="16" t="s">
        <v>67</v>
      </c>
      <c r="I2" s="42" t="s">
        <v>47</v>
      </c>
      <c r="J2" s="14" t="s">
        <v>49</v>
      </c>
      <c r="K2" s="14" t="s">
        <v>65</v>
      </c>
      <c r="L2" s="14" t="s">
        <v>48</v>
      </c>
      <c r="M2" s="14" t="s">
        <v>68</v>
      </c>
      <c r="N2" s="16" t="s">
        <v>69</v>
      </c>
      <c r="O2" s="42" t="s">
        <v>47</v>
      </c>
      <c r="P2" s="14" t="s">
        <v>49</v>
      </c>
      <c r="Q2" s="14" t="s">
        <v>65</v>
      </c>
      <c r="R2" s="14" t="s">
        <v>48</v>
      </c>
      <c r="S2" s="14" t="s">
        <v>66</v>
      </c>
      <c r="T2" s="16" t="s">
        <v>69</v>
      </c>
      <c r="U2" s="16" t="s">
        <v>56</v>
      </c>
      <c r="V2" s="16" t="s">
        <v>70</v>
      </c>
      <c r="W2" s="16" t="s">
        <v>71</v>
      </c>
    </row>
    <row r="3" spans="1:57" s="41" customFormat="1" x14ac:dyDescent="0.25">
      <c r="A3" s="39"/>
      <c r="B3" s="40"/>
      <c r="C3" s="43" t="s">
        <v>59</v>
      </c>
      <c r="D3" s="41" t="s">
        <v>59</v>
      </c>
      <c r="E3" s="41" t="s">
        <v>59</v>
      </c>
      <c r="F3" s="41" t="s">
        <v>59</v>
      </c>
      <c r="G3" s="41" t="s">
        <v>59</v>
      </c>
      <c r="H3" s="24" t="s">
        <v>59</v>
      </c>
      <c r="I3" s="43" t="s">
        <v>59</v>
      </c>
      <c r="J3" s="41" t="s">
        <v>59</v>
      </c>
      <c r="K3" s="41" t="s">
        <v>59</v>
      </c>
      <c r="L3" s="41" t="s">
        <v>59</v>
      </c>
      <c r="M3" s="41" t="s">
        <v>59</v>
      </c>
      <c r="N3" s="24" t="s">
        <v>59</v>
      </c>
      <c r="O3" s="43" t="s">
        <v>59</v>
      </c>
      <c r="P3" s="41" t="s">
        <v>59</v>
      </c>
      <c r="Q3" s="41" t="s">
        <v>59</v>
      </c>
      <c r="R3" s="41" t="s">
        <v>59</v>
      </c>
      <c r="S3" s="41" t="s">
        <v>59</v>
      </c>
      <c r="T3" s="24" t="s">
        <v>59</v>
      </c>
      <c r="U3" s="24" t="s">
        <v>59</v>
      </c>
      <c r="V3" s="24" t="s">
        <v>72</v>
      </c>
      <c r="W3" s="24" t="s">
        <v>72</v>
      </c>
    </row>
    <row r="4" spans="1:57" x14ac:dyDescent="0.25">
      <c r="A4" s="44">
        <v>42005</v>
      </c>
      <c r="B4" s="25">
        <v>2015</v>
      </c>
      <c r="C4" s="36"/>
      <c r="D4" s="5"/>
      <c r="E4" s="5"/>
      <c r="F4" s="5"/>
      <c r="G4" s="5"/>
      <c r="H4" s="35"/>
      <c r="I4" s="26">
        <v>422000</v>
      </c>
      <c r="M4" s="27">
        <v>566000</v>
      </c>
      <c r="N4" s="28">
        <v>504000</v>
      </c>
      <c r="O4" s="26">
        <v>2410000</v>
      </c>
      <c r="S4" s="27">
        <v>2424000</v>
      </c>
      <c r="T4" s="28">
        <v>2525000</v>
      </c>
      <c r="U4" s="45"/>
      <c r="V4" s="28">
        <v>3011106</v>
      </c>
      <c r="W4" s="28">
        <v>12173886</v>
      </c>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row>
    <row r="5" spans="1:57" x14ac:dyDescent="0.25">
      <c r="A5" s="44">
        <v>42036</v>
      </c>
      <c r="B5" s="25">
        <v>2015</v>
      </c>
      <c r="C5" s="36"/>
      <c r="D5" s="5"/>
      <c r="E5" s="5"/>
      <c r="F5" s="5"/>
      <c r="G5" s="5"/>
      <c r="H5" s="35"/>
      <c r="I5" s="26">
        <v>364000</v>
      </c>
      <c r="M5" s="27">
        <v>596000</v>
      </c>
      <c r="N5" s="28">
        <v>422000</v>
      </c>
      <c r="O5" s="26">
        <v>2311000</v>
      </c>
      <c r="S5" s="27">
        <v>2409000</v>
      </c>
      <c r="T5" s="28">
        <v>2262000</v>
      </c>
      <c r="U5" s="45"/>
      <c r="V5" s="28">
        <v>17563487</v>
      </c>
      <c r="W5" s="28">
        <v>11454286</v>
      </c>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row>
    <row r="6" spans="1:57" x14ac:dyDescent="0.25">
      <c r="A6" s="44">
        <v>42064</v>
      </c>
      <c r="B6" s="25">
        <v>2015</v>
      </c>
      <c r="C6" s="36"/>
      <c r="D6" s="5"/>
      <c r="E6" s="5"/>
      <c r="F6" s="5"/>
      <c r="G6" s="5"/>
      <c r="H6" s="35"/>
      <c r="I6" s="26">
        <v>425000</v>
      </c>
      <c r="M6" s="27">
        <v>606000</v>
      </c>
      <c r="N6" s="28">
        <v>394000</v>
      </c>
      <c r="O6" s="26">
        <v>2461000</v>
      </c>
      <c r="S6" s="27">
        <v>2353000</v>
      </c>
      <c r="T6" s="28">
        <v>2490000</v>
      </c>
      <c r="U6" s="45"/>
      <c r="V6" s="28">
        <v>39917115</v>
      </c>
      <c r="W6" s="28">
        <v>14863062</v>
      </c>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row>
    <row r="7" spans="1:57" x14ac:dyDescent="0.25">
      <c r="A7" s="44">
        <v>42095</v>
      </c>
      <c r="B7" s="25">
        <v>2015</v>
      </c>
      <c r="C7" s="36"/>
      <c r="D7" s="5"/>
      <c r="E7" s="5"/>
      <c r="F7" s="5"/>
      <c r="G7" s="5"/>
      <c r="H7" s="35"/>
      <c r="I7" s="26">
        <v>409000</v>
      </c>
      <c r="M7" s="27">
        <v>582000</v>
      </c>
      <c r="N7" s="28">
        <v>442000</v>
      </c>
      <c r="O7" s="26">
        <v>2024000</v>
      </c>
      <c r="S7" s="27">
        <v>2179000</v>
      </c>
      <c r="T7" s="28">
        <v>2416000</v>
      </c>
      <c r="U7" s="45"/>
      <c r="V7" s="28">
        <v>33853067</v>
      </c>
      <c r="W7" s="28">
        <v>8834204</v>
      </c>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row>
    <row r="8" spans="1:57" x14ac:dyDescent="0.25">
      <c r="A8" s="44">
        <v>42125</v>
      </c>
      <c r="B8" s="25">
        <v>2015</v>
      </c>
      <c r="C8" s="36"/>
      <c r="D8" s="5"/>
      <c r="E8" s="5"/>
      <c r="F8" s="5"/>
      <c r="G8" s="5"/>
      <c r="H8" s="35"/>
      <c r="I8" s="26">
        <v>574000</v>
      </c>
      <c r="M8" s="27">
        <v>570000</v>
      </c>
      <c r="N8" s="28">
        <v>486000</v>
      </c>
      <c r="O8" s="26">
        <v>2004000</v>
      </c>
      <c r="S8" s="27">
        <v>2571000</v>
      </c>
      <c r="T8" s="28">
        <v>2216000</v>
      </c>
      <c r="U8" s="45"/>
      <c r="V8" s="28">
        <v>50571853</v>
      </c>
      <c r="W8" s="28">
        <v>15804446</v>
      </c>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row>
    <row r="9" spans="1:57" x14ac:dyDescent="0.25">
      <c r="A9" s="44">
        <v>42156</v>
      </c>
      <c r="B9" s="25">
        <v>2015</v>
      </c>
      <c r="C9" s="36"/>
      <c r="D9" s="5"/>
      <c r="E9" s="5"/>
      <c r="F9" s="5"/>
      <c r="G9" s="5"/>
      <c r="H9" s="35"/>
      <c r="I9" s="26">
        <v>542000</v>
      </c>
      <c r="M9" s="27">
        <v>657000</v>
      </c>
      <c r="N9" s="28">
        <v>450000</v>
      </c>
      <c r="O9" s="26">
        <v>2334000</v>
      </c>
      <c r="S9" s="27">
        <v>2517000</v>
      </c>
      <c r="T9" s="28">
        <v>1758000</v>
      </c>
      <c r="U9" s="45"/>
      <c r="V9" s="28">
        <v>64556464</v>
      </c>
      <c r="W9" s="28">
        <v>17868934</v>
      </c>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row>
    <row r="10" spans="1:57" x14ac:dyDescent="0.25">
      <c r="A10" s="44">
        <v>42186</v>
      </c>
      <c r="B10" s="25">
        <v>2015</v>
      </c>
      <c r="C10" s="36"/>
      <c r="D10" s="5"/>
      <c r="E10" s="5"/>
      <c r="F10" s="5"/>
      <c r="G10" s="5"/>
      <c r="H10" s="35"/>
      <c r="I10" s="26">
        <v>585000</v>
      </c>
      <c r="M10" s="27">
        <v>722000</v>
      </c>
      <c r="N10" s="28">
        <v>396000</v>
      </c>
      <c r="O10" s="26">
        <v>2436000</v>
      </c>
      <c r="S10" s="27">
        <v>2484000</v>
      </c>
      <c r="T10" s="28">
        <v>1758000</v>
      </c>
      <c r="U10" s="45"/>
      <c r="V10" s="28">
        <v>34872113</v>
      </c>
      <c r="W10" s="28">
        <v>43983880</v>
      </c>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row>
    <row r="11" spans="1:57" x14ac:dyDescent="0.25">
      <c r="A11" s="44">
        <v>42217</v>
      </c>
      <c r="B11" s="25">
        <v>2015</v>
      </c>
      <c r="C11" s="36"/>
      <c r="D11" s="5"/>
      <c r="E11" s="5"/>
      <c r="F11" s="5"/>
      <c r="G11" s="5"/>
      <c r="H11" s="35"/>
      <c r="I11" s="26">
        <v>560000</v>
      </c>
      <c r="M11" s="27">
        <v>755000</v>
      </c>
      <c r="N11" s="28">
        <v>470000</v>
      </c>
      <c r="O11" s="26">
        <v>2575000</v>
      </c>
      <c r="S11" s="27">
        <v>2570000</v>
      </c>
      <c r="T11" s="28">
        <v>1911000</v>
      </c>
      <c r="U11" s="45"/>
      <c r="V11" s="28">
        <v>35006100</v>
      </c>
      <c r="W11" s="28">
        <v>16851795</v>
      </c>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row>
    <row r="12" spans="1:57" x14ac:dyDescent="0.25">
      <c r="A12" s="44">
        <v>42248</v>
      </c>
      <c r="B12" s="25">
        <v>2015</v>
      </c>
      <c r="C12" s="36"/>
      <c r="D12" s="5"/>
      <c r="E12" s="5"/>
      <c r="F12" s="5"/>
      <c r="G12" s="5"/>
      <c r="H12" s="35"/>
      <c r="I12" s="26">
        <v>410000</v>
      </c>
      <c r="M12" s="27">
        <v>615000</v>
      </c>
      <c r="N12" s="28">
        <v>407000</v>
      </c>
      <c r="O12" s="26">
        <v>2359000</v>
      </c>
      <c r="S12" s="27">
        <v>2659000</v>
      </c>
      <c r="T12" s="28">
        <v>1660000</v>
      </c>
      <c r="U12" s="45"/>
      <c r="V12" s="28">
        <v>32814679</v>
      </c>
      <c r="W12" s="28">
        <v>8260275</v>
      </c>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row>
    <row r="13" spans="1:57" x14ac:dyDescent="0.25">
      <c r="A13" s="44">
        <v>42278</v>
      </c>
      <c r="B13" s="25">
        <v>2015</v>
      </c>
      <c r="C13" s="36"/>
      <c r="D13" s="5"/>
      <c r="E13" s="5"/>
      <c r="F13" s="5"/>
      <c r="G13" s="5"/>
      <c r="H13" s="35"/>
      <c r="I13" s="26">
        <v>338000</v>
      </c>
      <c r="M13" s="27">
        <v>596000</v>
      </c>
      <c r="N13" s="28">
        <v>464000</v>
      </c>
      <c r="O13" s="26">
        <v>2404000</v>
      </c>
      <c r="S13" s="27">
        <v>2577000</v>
      </c>
      <c r="T13" s="28">
        <v>1591000</v>
      </c>
      <c r="U13" s="45"/>
      <c r="V13" s="28">
        <v>16695842</v>
      </c>
      <c r="W13" s="28">
        <v>23361976</v>
      </c>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row>
    <row r="14" spans="1:57" x14ac:dyDescent="0.25">
      <c r="A14" s="44">
        <v>42309</v>
      </c>
      <c r="B14" s="25">
        <v>2015</v>
      </c>
      <c r="C14" s="36"/>
      <c r="D14" s="5"/>
      <c r="E14" s="5"/>
      <c r="F14" s="5"/>
      <c r="G14" s="5"/>
      <c r="H14" s="35"/>
      <c r="I14" s="26">
        <v>330000</v>
      </c>
      <c r="M14" s="27">
        <v>521000</v>
      </c>
      <c r="N14" s="28">
        <v>473000</v>
      </c>
      <c r="O14" s="26">
        <v>2332000</v>
      </c>
      <c r="S14" s="27">
        <v>2262000</v>
      </c>
      <c r="T14" s="28">
        <v>1800000</v>
      </c>
      <c r="U14" s="45"/>
      <c r="V14" s="28">
        <v>5123941</v>
      </c>
      <c r="W14" s="28">
        <v>26879099</v>
      </c>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row>
    <row r="15" spans="1:57" x14ac:dyDescent="0.25">
      <c r="A15" s="44">
        <v>42339</v>
      </c>
      <c r="B15" s="25">
        <v>2015</v>
      </c>
      <c r="C15" s="36"/>
      <c r="D15" s="5"/>
      <c r="E15" s="5"/>
      <c r="F15" s="5"/>
      <c r="G15" s="5"/>
      <c r="H15" s="35"/>
      <c r="I15" s="26">
        <v>406000</v>
      </c>
      <c r="M15" s="27">
        <v>586000</v>
      </c>
      <c r="N15" s="28">
        <v>459000</v>
      </c>
      <c r="O15" s="26">
        <v>2430000</v>
      </c>
      <c r="S15" s="27">
        <v>2301000</v>
      </c>
      <c r="T15" s="28">
        <v>2066000</v>
      </c>
      <c r="U15" s="45"/>
      <c r="V15" s="28">
        <v>4654502</v>
      </c>
      <c r="W15" s="28">
        <v>10142165</v>
      </c>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row>
    <row r="16" spans="1:57" x14ac:dyDescent="0.25">
      <c r="A16" s="44">
        <v>42370</v>
      </c>
      <c r="B16" s="25">
        <v>2016</v>
      </c>
      <c r="C16" s="36"/>
      <c r="D16" s="5"/>
      <c r="E16" s="5"/>
      <c r="F16" s="5"/>
      <c r="G16" s="5"/>
      <c r="H16" s="35"/>
      <c r="I16" s="26">
        <v>451000</v>
      </c>
      <c r="M16" s="27">
        <v>573000</v>
      </c>
      <c r="N16" s="28">
        <v>527000</v>
      </c>
      <c r="O16" s="26">
        <v>2371000</v>
      </c>
      <c r="S16" s="27">
        <v>2187000</v>
      </c>
      <c r="T16" s="28">
        <v>2156000</v>
      </c>
      <c r="U16" s="45"/>
      <c r="V16" s="28">
        <v>19157145</v>
      </c>
      <c r="W16" s="28">
        <v>22856395</v>
      </c>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row>
    <row r="17" spans="1:57" x14ac:dyDescent="0.25">
      <c r="A17" s="44">
        <v>42401</v>
      </c>
      <c r="B17" s="25">
        <v>2016</v>
      </c>
      <c r="C17" s="36"/>
      <c r="D17" s="5"/>
      <c r="E17" s="5"/>
      <c r="F17" s="5"/>
      <c r="G17" s="5"/>
      <c r="H17" s="35"/>
      <c r="I17" s="26">
        <v>424000</v>
      </c>
      <c r="M17" s="27">
        <v>539000</v>
      </c>
      <c r="N17" s="28">
        <v>542000</v>
      </c>
      <c r="O17" s="26">
        <v>2181000</v>
      </c>
      <c r="S17" s="27">
        <v>2189000</v>
      </c>
      <c r="T17" s="28">
        <v>2187000</v>
      </c>
      <c r="U17" s="45"/>
      <c r="V17" s="28">
        <v>2553663</v>
      </c>
      <c r="W17" s="28">
        <v>10627488</v>
      </c>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row>
    <row r="18" spans="1:57" x14ac:dyDescent="0.25">
      <c r="A18" s="44">
        <v>42430</v>
      </c>
      <c r="B18" s="25">
        <v>2016</v>
      </c>
      <c r="C18" s="36"/>
      <c r="D18" s="5"/>
      <c r="E18" s="5"/>
      <c r="F18" s="5"/>
      <c r="G18" s="5"/>
      <c r="H18" s="35"/>
      <c r="I18" s="26">
        <v>616000</v>
      </c>
      <c r="M18" s="27">
        <v>600000</v>
      </c>
      <c r="N18" s="28">
        <v>601000</v>
      </c>
      <c r="O18" s="26">
        <v>2344000</v>
      </c>
      <c r="S18" s="27">
        <v>2167000</v>
      </c>
      <c r="T18" s="28">
        <v>2232000</v>
      </c>
      <c r="U18" s="45"/>
      <c r="V18" s="28">
        <v>39506525</v>
      </c>
      <c r="W18" s="28">
        <v>28242339</v>
      </c>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row>
    <row r="19" spans="1:57" x14ac:dyDescent="0.25">
      <c r="A19" s="44">
        <v>42461</v>
      </c>
      <c r="B19" s="25">
        <v>2016</v>
      </c>
      <c r="C19" s="36"/>
      <c r="D19" s="5"/>
      <c r="E19" s="5"/>
      <c r="F19" s="5"/>
      <c r="G19" s="5"/>
      <c r="H19" s="35"/>
      <c r="I19" s="26">
        <v>557000</v>
      </c>
      <c r="M19" s="27">
        <v>568000</v>
      </c>
      <c r="N19" s="28">
        <v>512000</v>
      </c>
      <c r="O19" s="26">
        <v>2280000</v>
      </c>
      <c r="S19" s="27">
        <v>2353000</v>
      </c>
      <c r="T19" s="28">
        <v>2173000</v>
      </c>
      <c r="U19" s="45"/>
      <c r="V19" s="28">
        <v>56733104</v>
      </c>
      <c r="W19" s="28">
        <v>33733292</v>
      </c>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row>
    <row r="20" spans="1:57" x14ac:dyDescent="0.25">
      <c r="A20" s="44">
        <v>42491</v>
      </c>
      <c r="B20" s="25">
        <v>2016</v>
      </c>
      <c r="C20" s="36"/>
      <c r="D20" s="5"/>
      <c r="E20" s="5"/>
      <c r="F20" s="5"/>
      <c r="G20" s="5"/>
      <c r="H20" s="35"/>
      <c r="I20" s="26">
        <v>503000</v>
      </c>
      <c r="M20" s="27">
        <v>594000</v>
      </c>
      <c r="N20" s="28">
        <v>426000</v>
      </c>
      <c r="O20" s="26">
        <v>1915000</v>
      </c>
      <c r="S20" s="27">
        <v>2577000</v>
      </c>
      <c r="T20" s="28">
        <v>1640000</v>
      </c>
      <c r="U20" s="45"/>
      <c r="V20" s="28">
        <v>34686751</v>
      </c>
      <c r="W20" s="28">
        <v>28588555</v>
      </c>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row>
    <row r="21" spans="1:57" x14ac:dyDescent="0.25">
      <c r="A21" s="44">
        <v>42522</v>
      </c>
      <c r="B21" s="25">
        <v>2016</v>
      </c>
      <c r="C21" s="36"/>
      <c r="D21" s="5"/>
      <c r="E21" s="5"/>
      <c r="F21" s="5"/>
      <c r="G21" s="5"/>
      <c r="H21" s="35"/>
      <c r="I21" s="26">
        <v>487000</v>
      </c>
      <c r="M21" s="27">
        <v>723000</v>
      </c>
      <c r="N21" s="28">
        <v>511000</v>
      </c>
      <c r="O21" s="26">
        <v>2135000</v>
      </c>
      <c r="S21" s="27">
        <v>2391000</v>
      </c>
      <c r="T21" s="28">
        <v>1672000</v>
      </c>
      <c r="U21" s="45"/>
      <c r="V21" s="28">
        <v>29134725</v>
      </c>
      <c r="W21" s="28">
        <v>46125232</v>
      </c>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row>
    <row r="22" spans="1:57" x14ac:dyDescent="0.25">
      <c r="A22" s="44">
        <v>42552</v>
      </c>
      <c r="B22" s="25">
        <v>2016</v>
      </c>
      <c r="C22" s="36"/>
      <c r="D22" s="5"/>
      <c r="E22" s="5"/>
      <c r="F22" s="5"/>
      <c r="G22" s="5"/>
      <c r="H22" s="35"/>
      <c r="I22" s="26">
        <v>591000</v>
      </c>
      <c r="M22" s="27">
        <v>731000</v>
      </c>
      <c r="N22" s="28">
        <v>520000</v>
      </c>
      <c r="O22" s="26">
        <v>2462000</v>
      </c>
      <c r="S22" s="27">
        <v>2326000</v>
      </c>
      <c r="T22" s="28">
        <v>1859000</v>
      </c>
      <c r="U22" s="45"/>
      <c r="V22" s="28">
        <v>46174369</v>
      </c>
      <c r="W22" s="28">
        <v>29410921</v>
      </c>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row>
    <row r="23" spans="1:57" x14ac:dyDescent="0.25">
      <c r="A23" s="44">
        <v>42583</v>
      </c>
      <c r="B23" s="25">
        <v>2016</v>
      </c>
      <c r="C23" s="36"/>
      <c r="D23" s="5"/>
      <c r="E23" s="5"/>
      <c r="F23" s="5"/>
      <c r="G23" s="5"/>
      <c r="H23" s="35"/>
      <c r="I23" s="26">
        <v>672000</v>
      </c>
      <c r="M23" s="27">
        <v>779000</v>
      </c>
      <c r="N23" s="28">
        <v>538000</v>
      </c>
      <c r="O23" s="26">
        <v>2384000</v>
      </c>
      <c r="S23" s="27">
        <v>2618000</v>
      </c>
      <c r="T23" s="28">
        <v>1875000</v>
      </c>
      <c r="U23" s="45"/>
      <c r="V23" s="28">
        <v>53037529</v>
      </c>
      <c r="W23" s="28">
        <v>37588364</v>
      </c>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row>
    <row r="24" spans="1:57" x14ac:dyDescent="0.25">
      <c r="A24" s="44">
        <v>42614</v>
      </c>
      <c r="B24" s="25">
        <v>2016</v>
      </c>
      <c r="C24" s="36"/>
      <c r="D24" s="5"/>
      <c r="E24" s="5"/>
      <c r="F24" s="5"/>
      <c r="G24" s="5"/>
      <c r="H24" s="35"/>
      <c r="I24" s="26">
        <v>400000</v>
      </c>
      <c r="M24" s="27">
        <v>643000</v>
      </c>
      <c r="N24" s="28">
        <v>550000</v>
      </c>
      <c r="O24" s="26">
        <v>2245000</v>
      </c>
      <c r="S24" s="27">
        <v>2725000</v>
      </c>
      <c r="T24" s="28">
        <v>1647000</v>
      </c>
      <c r="U24" s="45"/>
      <c r="V24" s="28">
        <v>15921468</v>
      </c>
      <c r="W24" s="28">
        <v>38551725</v>
      </c>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row>
    <row r="25" spans="1:57" x14ac:dyDescent="0.25">
      <c r="A25" s="44">
        <v>42644</v>
      </c>
      <c r="B25" s="25">
        <v>2016</v>
      </c>
      <c r="C25" s="36"/>
      <c r="D25" s="5"/>
      <c r="E25" s="5"/>
      <c r="F25" s="5"/>
      <c r="G25" s="5"/>
      <c r="H25" s="35"/>
      <c r="I25" s="26">
        <v>288000</v>
      </c>
      <c r="M25" s="27">
        <v>614000</v>
      </c>
      <c r="N25" s="28">
        <v>495000</v>
      </c>
      <c r="O25" s="26">
        <v>2272000</v>
      </c>
      <c r="S25" s="27">
        <v>2475000</v>
      </c>
      <c r="T25" s="28">
        <v>1717000</v>
      </c>
      <c r="U25" s="45"/>
      <c r="V25" s="28">
        <v>4481683</v>
      </c>
      <c r="W25" s="28">
        <v>21546904</v>
      </c>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row>
    <row r="26" spans="1:57" x14ac:dyDescent="0.25">
      <c r="A26" s="44">
        <v>42675</v>
      </c>
      <c r="B26" s="25">
        <v>2016</v>
      </c>
      <c r="C26" s="36"/>
      <c r="D26" s="5"/>
      <c r="E26" s="5"/>
      <c r="F26" s="5"/>
      <c r="G26" s="5"/>
      <c r="H26" s="35"/>
      <c r="I26" s="26">
        <v>303000</v>
      </c>
      <c r="M26" s="27">
        <v>570000</v>
      </c>
      <c r="N26" s="28">
        <v>500000</v>
      </c>
      <c r="O26" s="26">
        <v>2541000</v>
      </c>
      <c r="S26" s="27">
        <v>2437000</v>
      </c>
      <c r="T26" s="28">
        <v>1807000</v>
      </c>
      <c r="U26" s="45"/>
      <c r="V26" s="28">
        <v>14811821</v>
      </c>
      <c r="W26" s="28">
        <v>23628640</v>
      </c>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row>
    <row r="27" spans="1:57" x14ac:dyDescent="0.25">
      <c r="A27" s="44">
        <v>42705</v>
      </c>
      <c r="B27" s="25">
        <v>2016</v>
      </c>
      <c r="C27" s="36"/>
      <c r="D27" s="5"/>
      <c r="E27" s="5"/>
      <c r="F27" s="5"/>
      <c r="G27" s="5"/>
      <c r="H27" s="35"/>
      <c r="I27" s="26">
        <v>425000</v>
      </c>
      <c r="M27" s="27">
        <v>596000</v>
      </c>
      <c r="N27" s="28">
        <v>458000</v>
      </c>
      <c r="O27" s="26">
        <v>2744000</v>
      </c>
      <c r="S27" s="27">
        <v>2448000</v>
      </c>
      <c r="T27" s="28">
        <v>1826000</v>
      </c>
      <c r="U27" s="45"/>
      <c r="V27" s="28">
        <v>24639892</v>
      </c>
      <c r="W27" s="28">
        <v>52603429</v>
      </c>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row>
    <row r="28" spans="1:57" x14ac:dyDescent="0.25">
      <c r="A28" s="44">
        <v>42736</v>
      </c>
      <c r="B28" s="25">
        <v>2017</v>
      </c>
      <c r="C28" s="36"/>
      <c r="D28" s="5"/>
      <c r="E28" s="5"/>
      <c r="F28" s="5"/>
      <c r="G28" s="5"/>
      <c r="H28" s="35"/>
      <c r="I28" s="26">
        <v>436000</v>
      </c>
      <c r="M28" s="27">
        <v>606000</v>
      </c>
      <c r="N28" s="28">
        <v>431000</v>
      </c>
      <c r="O28" s="26">
        <v>2649000</v>
      </c>
      <c r="S28" s="27">
        <v>2308000</v>
      </c>
      <c r="T28" s="28">
        <v>1905000</v>
      </c>
      <c r="U28" s="45"/>
      <c r="V28" s="28">
        <v>2392398</v>
      </c>
      <c r="W28" s="28">
        <v>13599314</v>
      </c>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row>
    <row r="29" spans="1:57" x14ac:dyDescent="0.25">
      <c r="A29" s="44">
        <v>42767</v>
      </c>
      <c r="B29" s="25">
        <v>2017</v>
      </c>
      <c r="C29" s="36"/>
      <c r="D29" s="5"/>
      <c r="E29" s="5"/>
      <c r="F29" s="5"/>
      <c r="G29" s="5"/>
      <c r="H29" s="35"/>
      <c r="I29" s="26">
        <v>410000</v>
      </c>
      <c r="M29" s="27">
        <v>580000</v>
      </c>
      <c r="N29" s="28">
        <v>466000</v>
      </c>
      <c r="O29" s="26">
        <v>2444000</v>
      </c>
      <c r="S29" s="27">
        <v>2233000</v>
      </c>
      <c r="T29" s="28">
        <v>1983000</v>
      </c>
      <c r="U29" s="45"/>
      <c r="V29" s="28">
        <v>20193812</v>
      </c>
      <c r="W29" s="28">
        <v>17582806</v>
      </c>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row>
    <row r="30" spans="1:57" x14ac:dyDescent="0.25">
      <c r="A30" s="44">
        <v>42795</v>
      </c>
      <c r="B30" s="25">
        <v>2017</v>
      </c>
      <c r="C30" s="36"/>
      <c r="D30" s="5"/>
      <c r="E30" s="5"/>
      <c r="F30" s="5"/>
      <c r="G30" s="5"/>
      <c r="H30" s="35"/>
      <c r="I30" s="26">
        <v>591000</v>
      </c>
      <c r="M30" s="27">
        <v>627000</v>
      </c>
      <c r="N30" s="28">
        <v>522000</v>
      </c>
      <c r="O30" s="26">
        <v>2685000</v>
      </c>
      <c r="S30" s="27">
        <v>2587000</v>
      </c>
      <c r="T30" s="28">
        <v>1935000</v>
      </c>
      <c r="U30" s="45"/>
      <c r="V30" s="28">
        <v>16901759</v>
      </c>
      <c r="W30" s="28">
        <v>14318457</v>
      </c>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row>
    <row r="31" spans="1:57" x14ac:dyDescent="0.25">
      <c r="A31" s="44">
        <v>42826</v>
      </c>
      <c r="B31" s="25">
        <v>2017</v>
      </c>
      <c r="C31" s="36"/>
      <c r="D31" s="5"/>
      <c r="E31" s="5"/>
      <c r="F31" s="5"/>
      <c r="G31" s="5"/>
      <c r="H31" s="35"/>
      <c r="I31" s="26">
        <v>641000</v>
      </c>
      <c r="M31" s="27">
        <v>612000</v>
      </c>
      <c r="N31" s="28">
        <v>519000</v>
      </c>
      <c r="O31" s="26">
        <v>2206000</v>
      </c>
      <c r="S31" s="27">
        <v>2116000</v>
      </c>
      <c r="T31" s="28">
        <v>2101000</v>
      </c>
      <c r="U31" s="45"/>
      <c r="V31" s="28">
        <v>80546993</v>
      </c>
      <c r="W31" s="28">
        <v>21476577</v>
      </c>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row>
    <row r="32" spans="1:57" x14ac:dyDescent="0.25">
      <c r="A32" s="44">
        <v>42856</v>
      </c>
      <c r="B32" s="25">
        <v>2017</v>
      </c>
      <c r="C32" s="36"/>
      <c r="D32" s="5"/>
      <c r="E32" s="5"/>
      <c r="F32" s="5"/>
      <c r="G32" s="5"/>
      <c r="H32" s="35"/>
      <c r="I32" s="26">
        <v>707000</v>
      </c>
      <c r="M32" s="27">
        <v>673000</v>
      </c>
      <c r="N32" s="28">
        <v>516000</v>
      </c>
      <c r="O32" s="26">
        <v>2334000</v>
      </c>
      <c r="S32" s="27">
        <v>2642000</v>
      </c>
      <c r="T32" s="28">
        <v>1763000</v>
      </c>
      <c r="U32" s="45"/>
      <c r="V32" s="28">
        <v>30917375</v>
      </c>
      <c r="W32" s="28">
        <v>25246399</v>
      </c>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row>
    <row r="33" spans="1:57" x14ac:dyDescent="0.25">
      <c r="A33" s="44">
        <v>42887</v>
      </c>
      <c r="B33" s="25">
        <v>2017</v>
      </c>
      <c r="C33" s="36"/>
      <c r="D33" s="5"/>
      <c r="E33" s="5"/>
      <c r="F33" s="5"/>
      <c r="G33" s="5"/>
      <c r="H33" s="35"/>
      <c r="I33" s="26">
        <v>651000</v>
      </c>
      <c r="M33" s="27">
        <v>674000</v>
      </c>
      <c r="N33" s="28">
        <v>540000</v>
      </c>
      <c r="O33" s="26">
        <v>2573000</v>
      </c>
      <c r="S33" s="27">
        <v>2672000</v>
      </c>
      <c r="T33" s="28">
        <v>1810000</v>
      </c>
      <c r="U33" s="45"/>
      <c r="V33" s="28">
        <v>45007085</v>
      </c>
      <c r="W33" s="28">
        <v>17018074</v>
      </c>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row>
    <row r="34" spans="1:57" x14ac:dyDescent="0.25">
      <c r="A34" s="44">
        <v>42917</v>
      </c>
      <c r="B34" s="25">
        <v>2017</v>
      </c>
      <c r="C34" s="36"/>
      <c r="D34" s="5"/>
      <c r="E34" s="5"/>
      <c r="F34" s="5"/>
      <c r="G34" s="5"/>
      <c r="H34" s="35"/>
      <c r="I34" s="26">
        <v>760000</v>
      </c>
      <c r="M34" s="27">
        <v>778000</v>
      </c>
      <c r="N34" s="28">
        <v>557000</v>
      </c>
      <c r="O34" s="26">
        <v>2662000</v>
      </c>
      <c r="S34" s="27">
        <v>2666000</v>
      </c>
      <c r="T34" s="28">
        <v>1885000</v>
      </c>
      <c r="U34" s="45"/>
      <c r="V34" s="28">
        <v>70041912</v>
      </c>
      <c r="W34" s="28">
        <v>23715998</v>
      </c>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row>
    <row r="35" spans="1:57" x14ac:dyDescent="0.25">
      <c r="A35" s="44">
        <v>42948</v>
      </c>
      <c r="B35" s="25">
        <v>2017</v>
      </c>
      <c r="C35" s="36"/>
      <c r="D35" s="5"/>
      <c r="E35" s="5"/>
      <c r="F35" s="5"/>
      <c r="G35" s="5"/>
      <c r="H35" s="35"/>
      <c r="I35" s="26">
        <v>819000</v>
      </c>
      <c r="M35" s="27">
        <v>808000</v>
      </c>
      <c r="N35" s="28">
        <v>504000</v>
      </c>
      <c r="O35" s="26">
        <v>2542000</v>
      </c>
      <c r="S35" s="27">
        <v>2995000</v>
      </c>
      <c r="T35" s="28">
        <v>1781000</v>
      </c>
      <c r="U35" s="45"/>
      <c r="V35" s="28">
        <v>52133133</v>
      </c>
      <c r="W35" s="28">
        <v>38166841</v>
      </c>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row>
    <row r="36" spans="1:57" x14ac:dyDescent="0.25">
      <c r="A36" s="44">
        <v>42979</v>
      </c>
      <c r="B36" s="25">
        <v>2017</v>
      </c>
      <c r="C36" s="36"/>
      <c r="D36" s="5"/>
      <c r="E36" s="5"/>
      <c r="F36" s="5"/>
      <c r="G36" s="5"/>
      <c r="H36" s="35"/>
      <c r="I36" s="26">
        <v>610000</v>
      </c>
      <c r="M36" s="27">
        <v>757000</v>
      </c>
      <c r="N36" s="28">
        <v>539000</v>
      </c>
      <c r="O36" s="26">
        <v>2723000</v>
      </c>
      <c r="S36" s="27">
        <v>2749000</v>
      </c>
      <c r="T36" s="28">
        <v>1916000</v>
      </c>
      <c r="U36" s="45"/>
      <c r="V36" s="28">
        <v>31536602</v>
      </c>
      <c r="W36" s="28">
        <v>25101555</v>
      </c>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row>
    <row r="37" spans="1:57" x14ac:dyDescent="0.25">
      <c r="A37" s="44">
        <v>43009</v>
      </c>
      <c r="B37" s="25">
        <v>2017</v>
      </c>
      <c r="C37" s="36"/>
      <c r="D37" s="5"/>
      <c r="E37" s="5"/>
      <c r="F37" s="5"/>
      <c r="G37" s="5"/>
      <c r="H37" s="35"/>
      <c r="I37" s="26">
        <v>463000</v>
      </c>
      <c r="M37" s="27">
        <v>743000</v>
      </c>
      <c r="N37" s="28">
        <v>482000</v>
      </c>
      <c r="O37" s="26">
        <v>2706000</v>
      </c>
      <c r="S37" s="27">
        <v>3013000</v>
      </c>
      <c r="T37" s="28">
        <v>1689000</v>
      </c>
      <c r="U37" s="45"/>
      <c r="V37" s="28">
        <v>26742894</v>
      </c>
      <c r="W37" s="28">
        <v>39397519</v>
      </c>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row>
    <row r="38" spans="1:57" x14ac:dyDescent="0.25">
      <c r="A38" s="44">
        <v>43040</v>
      </c>
      <c r="B38" s="25">
        <v>2017</v>
      </c>
      <c r="C38" s="36"/>
      <c r="D38" s="5"/>
      <c r="E38" s="5"/>
      <c r="F38" s="5"/>
      <c r="G38" s="5"/>
      <c r="H38" s="35"/>
      <c r="I38" s="26">
        <v>471000</v>
      </c>
      <c r="M38" s="27">
        <v>622000</v>
      </c>
      <c r="N38" s="28">
        <v>476000</v>
      </c>
      <c r="O38" s="26">
        <v>2548000</v>
      </c>
      <c r="S38" s="27">
        <v>2797000</v>
      </c>
      <c r="T38" s="28">
        <v>1554000</v>
      </c>
      <c r="U38" s="45"/>
      <c r="V38" s="28">
        <v>40294918</v>
      </c>
      <c r="W38" s="28">
        <v>22153509</v>
      </c>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row>
    <row r="39" spans="1:57" x14ac:dyDescent="0.25">
      <c r="A39" s="44">
        <v>43070</v>
      </c>
      <c r="B39" s="25">
        <v>2017</v>
      </c>
      <c r="C39" s="36"/>
      <c r="D39" s="5"/>
      <c r="E39" s="5"/>
      <c r="F39" s="5"/>
      <c r="G39" s="5"/>
      <c r="H39" s="35"/>
      <c r="I39" s="26">
        <v>511000</v>
      </c>
      <c r="M39" s="27">
        <v>674000</v>
      </c>
      <c r="N39" s="28">
        <v>486000</v>
      </c>
      <c r="O39" s="26">
        <v>2658000</v>
      </c>
      <c r="S39" s="27">
        <v>2422000</v>
      </c>
      <c r="T39" s="28">
        <v>1902000</v>
      </c>
      <c r="U39" s="45"/>
      <c r="V39" s="28">
        <v>2014703</v>
      </c>
      <c r="W39" s="28">
        <v>30207649</v>
      </c>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row>
    <row r="40" spans="1:57" x14ac:dyDescent="0.25">
      <c r="A40" s="44">
        <v>43101</v>
      </c>
      <c r="B40" s="25">
        <v>2018</v>
      </c>
      <c r="C40" s="36"/>
      <c r="D40" s="5"/>
      <c r="E40" s="5"/>
      <c r="F40" s="5"/>
      <c r="G40" s="5"/>
      <c r="H40" s="35"/>
      <c r="I40" s="26">
        <v>545000</v>
      </c>
      <c r="M40" s="27">
        <v>692000</v>
      </c>
      <c r="N40" s="28">
        <v>617000</v>
      </c>
      <c r="O40" s="26">
        <v>2672000</v>
      </c>
      <c r="S40" s="27">
        <v>2687000</v>
      </c>
      <c r="T40" s="28">
        <v>2013000</v>
      </c>
      <c r="U40" s="45"/>
      <c r="V40" s="28">
        <v>2855086</v>
      </c>
      <c r="W40" s="28">
        <v>21321528</v>
      </c>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row>
    <row r="41" spans="1:57" x14ac:dyDescent="0.25">
      <c r="A41" s="44">
        <v>43132</v>
      </c>
      <c r="B41" s="25">
        <v>2018</v>
      </c>
      <c r="C41" s="36"/>
      <c r="D41" s="5"/>
      <c r="E41" s="5"/>
      <c r="F41" s="5"/>
      <c r="G41" s="5"/>
      <c r="H41" s="35"/>
      <c r="I41" s="26">
        <v>400000</v>
      </c>
      <c r="M41" s="27">
        <v>629000</v>
      </c>
      <c r="N41" s="28">
        <v>547000</v>
      </c>
      <c r="O41" s="26">
        <v>2454000</v>
      </c>
      <c r="S41" s="27">
        <v>2568000</v>
      </c>
      <c r="T41" s="28">
        <v>2039000</v>
      </c>
      <c r="U41" s="45"/>
      <c r="V41" s="28">
        <v>27249606</v>
      </c>
      <c r="W41" s="28">
        <v>27154984</v>
      </c>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row>
    <row r="42" spans="1:57" x14ac:dyDescent="0.25">
      <c r="A42" s="44">
        <v>43160</v>
      </c>
      <c r="B42" s="25">
        <v>2018</v>
      </c>
      <c r="C42" s="36"/>
      <c r="D42" s="5"/>
      <c r="E42" s="5"/>
      <c r="F42" s="5"/>
      <c r="G42" s="5"/>
      <c r="H42" s="35"/>
      <c r="I42" s="26">
        <v>567000</v>
      </c>
      <c r="M42" s="27">
        <v>720000</v>
      </c>
      <c r="N42" s="28">
        <v>544000</v>
      </c>
      <c r="O42" s="26">
        <v>2753000</v>
      </c>
      <c r="S42" s="27">
        <v>2718000</v>
      </c>
      <c r="T42" s="28">
        <v>2435000</v>
      </c>
      <c r="U42" s="45"/>
      <c r="V42" s="28">
        <v>39696803</v>
      </c>
      <c r="W42" s="28">
        <v>23188693</v>
      </c>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row>
    <row r="43" spans="1:57" x14ac:dyDescent="0.25">
      <c r="A43" s="44">
        <v>43191</v>
      </c>
      <c r="B43" s="25">
        <v>2018</v>
      </c>
      <c r="C43" s="36"/>
      <c r="D43" s="5"/>
      <c r="E43" s="5"/>
      <c r="F43" s="5"/>
      <c r="G43" s="5"/>
      <c r="H43" s="35"/>
      <c r="I43" s="26">
        <v>530000</v>
      </c>
      <c r="M43" s="27">
        <v>713000</v>
      </c>
      <c r="N43" s="28">
        <v>652000</v>
      </c>
      <c r="O43" s="26">
        <v>1555000</v>
      </c>
      <c r="S43" s="27">
        <v>2489000</v>
      </c>
      <c r="T43" s="28">
        <v>2244000</v>
      </c>
      <c r="U43" s="45"/>
      <c r="V43" s="28">
        <v>78399012</v>
      </c>
      <c r="W43" s="28">
        <v>20527403</v>
      </c>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row>
    <row r="44" spans="1:57" x14ac:dyDescent="0.25">
      <c r="A44" s="44">
        <v>43221</v>
      </c>
      <c r="B44" s="25">
        <v>2018</v>
      </c>
      <c r="C44" s="36"/>
      <c r="D44" s="5"/>
      <c r="E44" s="5"/>
      <c r="F44" s="5"/>
      <c r="G44" s="5"/>
      <c r="H44" s="35"/>
      <c r="I44" s="26">
        <v>537000</v>
      </c>
      <c r="M44" s="27">
        <v>768000</v>
      </c>
      <c r="N44" s="28">
        <v>575000</v>
      </c>
      <c r="O44" s="26">
        <v>1475000</v>
      </c>
      <c r="S44" s="27">
        <v>2919000</v>
      </c>
      <c r="T44" s="28">
        <v>1685000</v>
      </c>
      <c r="U44" s="45"/>
      <c r="V44" s="28">
        <v>47136544</v>
      </c>
      <c r="W44" s="28">
        <v>33830728</v>
      </c>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row>
    <row r="45" spans="1:57" x14ac:dyDescent="0.25">
      <c r="A45" s="44">
        <v>43252</v>
      </c>
      <c r="B45" s="25">
        <v>2018</v>
      </c>
      <c r="C45" s="36"/>
      <c r="D45" s="5"/>
      <c r="E45" s="5"/>
      <c r="F45" s="5"/>
      <c r="G45" s="5"/>
      <c r="H45" s="35"/>
      <c r="I45" s="26">
        <v>659000</v>
      </c>
      <c r="M45" s="27">
        <v>800000</v>
      </c>
      <c r="N45" s="28">
        <v>560000</v>
      </c>
      <c r="O45" s="26">
        <v>2396000</v>
      </c>
      <c r="S45" s="27">
        <v>2818000</v>
      </c>
      <c r="T45" s="28">
        <v>1843000</v>
      </c>
      <c r="U45" s="45"/>
      <c r="V45" s="28">
        <v>104288183</v>
      </c>
      <c r="W45" s="28">
        <v>16663569</v>
      </c>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row>
    <row r="46" spans="1:57" x14ac:dyDescent="0.25">
      <c r="A46" s="44">
        <v>43282</v>
      </c>
      <c r="B46" s="25">
        <v>2018</v>
      </c>
      <c r="C46" s="26"/>
      <c r="D46" s="29"/>
      <c r="E46" s="29"/>
      <c r="F46" s="29"/>
      <c r="G46" s="29"/>
      <c r="H46" s="28"/>
      <c r="I46" s="26">
        <v>836000</v>
      </c>
      <c r="L46" s="27"/>
      <c r="M46" s="27">
        <v>921000</v>
      </c>
      <c r="N46" s="28">
        <v>620000</v>
      </c>
      <c r="O46" s="26">
        <v>2683000</v>
      </c>
      <c r="R46" s="27"/>
      <c r="S46" s="27">
        <v>2930000</v>
      </c>
      <c r="T46" s="28">
        <v>1994000</v>
      </c>
      <c r="U46" s="45"/>
      <c r="V46" s="28">
        <v>49356108</v>
      </c>
      <c r="W46" s="28">
        <v>19945239</v>
      </c>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row>
    <row r="47" spans="1:57" x14ac:dyDescent="0.25">
      <c r="A47" s="44">
        <v>43313</v>
      </c>
      <c r="B47" s="25">
        <v>2018</v>
      </c>
      <c r="C47" s="26"/>
      <c r="D47" s="29"/>
      <c r="E47" s="29"/>
      <c r="F47" s="29"/>
      <c r="G47" s="29"/>
      <c r="H47" s="28"/>
      <c r="I47" s="26">
        <v>845000</v>
      </c>
      <c r="L47" s="27"/>
      <c r="M47" s="27">
        <v>927000</v>
      </c>
      <c r="N47" s="28">
        <v>656000</v>
      </c>
      <c r="O47" s="26">
        <v>2638000</v>
      </c>
      <c r="R47" s="27"/>
      <c r="S47" s="27">
        <v>3035000</v>
      </c>
      <c r="T47" s="28">
        <v>1957000</v>
      </c>
      <c r="U47" s="45"/>
      <c r="V47" s="28">
        <v>60075347</v>
      </c>
      <c r="W47" s="28">
        <v>17149282</v>
      </c>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row>
    <row r="48" spans="1:57" x14ac:dyDescent="0.25">
      <c r="A48" s="44">
        <v>43344</v>
      </c>
      <c r="B48" s="25">
        <v>2018</v>
      </c>
      <c r="C48" s="26"/>
      <c r="D48" s="29"/>
      <c r="E48" s="29"/>
      <c r="F48" s="29"/>
      <c r="G48" s="29"/>
      <c r="H48" s="28"/>
      <c r="I48" s="26">
        <v>587000</v>
      </c>
      <c r="L48" s="27"/>
      <c r="M48" s="27">
        <v>812000</v>
      </c>
      <c r="N48" s="28">
        <v>570000</v>
      </c>
      <c r="O48" s="26">
        <v>2695000</v>
      </c>
      <c r="R48" s="27"/>
      <c r="S48" s="27">
        <v>2916000</v>
      </c>
      <c r="T48" s="28">
        <v>1882000</v>
      </c>
      <c r="U48" s="45"/>
      <c r="V48" s="28">
        <v>20694027</v>
      </c>
      <c r="W48" s="28">
        <v>18321977</v>
      </c>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row>
    <row r="49" spans="1:57" x14ac:dyDescent="0.25">
      <c r="A49" s="44">
        <v>43374</v>
      </c>
      <c r="B49" s="25">
        <v>2018</v>
      </c>
      <c r="C49" s="26"/>
      <c r="D49" s="29"/>
      <c r="E49" s="29"/>
      <c r="F49" s="29"/>
      <c r="G49" s="29"/>
      <c r="H49" s="28"/>
      <c r="I49" s="26">
        <v>492000</v>
      </c>
      <c r="L49" s="27"/>
      <c r="M49" s="27">
        <v>733000</v>
      </c>
      <c r="N49" s="28">
        <v>588000</v>
      </c>
      <c r="O49" s="26">
        <v>2836000</v>
      </c>
      <c r="R49" s="27"/>
      <c r="S49" s="27">
        <v>3338000</v>
      </c>
      <c r="T49" s="28">
        <v>1761000</v>
      </c>
      <c r="U49" s="45"/>
      <c r="V49" s="28">
        <v>32319091</v>
      </c>
      <c r="W49" s="28">
        <v>21616513</v>
      </c>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row>
    <row r="50" spans="1:57" x14ac:dyDescent="0.25">
      <c r="A50" s="44">
        <v>43405</v>
      </c>
      <c r="B50" s="25">
        <v>2018</v>
      </c>
      <c r="C50" s="26"/>
      <c r="D50" s="29"/>
      <c r="E50" s="29"/>
      <c r="F50" s="29"/>
      <c r="G50" s="29"/>
      <c r="H50" s="28"/>
      <c r="I50" s="26">
        <v>464000</v>
      </c>
      <c r="L50" s="27"/>
      <c r="M50" s="27">
        <v>674000</v>
      </c>
      <c r="N50" s="28">
        <v>627000</v>
      </c>
      <c r="O50" s="26">
        <v>2792000</v>
      </c>
      <c r="R50" s="27"/>
      <c r="S50" s="27">
        <v>2928000</v>
      </c>
      <c r="T50" s="28">
        <v>1656000</v>
      </c>
      <c r="U50" s="45"/>
      <c r="V50" s="28">
        <v>14082648</v>
      </c>
      <c r="W50" s="28">
        <v>29043287</v>
      </c>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row>
    <row r="51" spans="1:57" x14ac:dyDescent="0.25">
      <c r="A51" s="44">
        <v>43435</v>
      </c>
      <c r="B51" s="25">
        <v>2018</v>
      </c>
      <c r="C51" s="26"/>
      <c r="D51" s="29"/>
      <c r="E51" s="29"/>
      <c r="F51" s="29"/>
      <c r="G51" s="29"/>
      <c r="H51" s="28"/>
      <c r="I51" s="26">
        <v>452000</v>
      </c>
      <c r="L51" s="27"/>
      <c r="M51" s="27">
        <v>703000</v>
      </c>
      <c r="N51" s="28">
        <v>568000</v>
      </c>
      <c r="O51" s="26">
        <v>2882000</v>
      </c>
      <c r="R51" s="27"/>
      <c r="S51" s="27">
        <v>2643000</v>
      </c>
      <c r="T51" s="28">
        <v>1983000</v>
      </c>
      <c r="U51" s="45"/>
      <c r="V51" s="28">
        <v>37991694</v>
      </c>
      <c r="W51" s="28">
        <v>14319563</v>
      </c>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row>
    <row r="52" spans="1:57" x14ac:dyDescent="0.25">
      <c r="A52" s="44">
        <v>43466</v>
      </c>
      <c r="B52" s="25">
        <v>2019</v>
      </c>
      <c r="C52" s="26">
        <v>0</v>
      </c>
      <c r="D52" s="29">
        <v>27778</v>
      </c>
      <c r="E52" s="29">
        <v>-12649</v>
      </c>
      <c r="F52" s="29">
        <v>21236</v>
      </c>
      <c r="G52" s="29">
        <v>0</v>
      </c>
      <c r="H52" s="28"/>
      <c r="I52" s="26">
        <v>501597</v>
      </c>
      <c r="J52" s="27">
        <v>310329</v>
      </c>
      <c r="K52" s="27">
        <v>-32928</v>
      </c>
      <c r="L52" s="27">
        <v>74848</v>
      </c>
      <c r="M52" s="27">
        <v>770006</v>
      </c>
      <c r="N52" s="28">
        <v>431934</v>
      </c>
      <c r="O52" s="26">
        <v>3257732</v>
      </c>
      <c r="P52" s="27">
        <v>129730</v>
      </c>
      <c r="Q52" s="27">
        <v>-102030</v>
      </c>
      <c r="R52" s="27">
        <v>608598</v>
      </c>
      <c r="S52" s="27">
        <v>2880894</v>
      </c>
      <c r="T52" s="28">
        <v>2390238</v>
      </c>
      <c r="U52" s="45"/>
      <c r="V52" s="28">
        <v>24458604</v>
      </c>
      <c r="W52" s="28">
        <v>18699137</v>
      </c>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row>
    <row r="53" spans="1:57" x14ac:dyDescent="0.25">
      <c r="A53" s="44">
        <v>43497</v>
      </c>
      <c r="B53" s="25">
        <v>2019</v>
      </c>
      <c r="C53" s="26">
        <v>0</v>
      </c>
      <c r="D53" s="29">
        <v>8190</v>
      </c>
      <c r="E53" s="29">
        <v>-3879</v>
      </c>
      <c r="F53" s="29">
        <v>18433</v>
      </c>
      <c r="G53" s="29">
        <v>0</v>
      </c>
      <c r="H53" s="28"/>
      <c r="I53" s="26">
        <v>511015</v>
      </c>
      <c r="J53" s="27">
        <v>263596</v>
      </c>
      <c r="K53" s="27">
        <v>53458</v>
      </c>
      <c r="L53" s="27">
        <v>71927</v>
      </c>
      <c r="M53" s="27">
        <v>649226</v>
      </c>
      <c r="N53" s="28">
        <v>485392</v>
      </c>
      <c r="O53" s="26">
        <v>3078030</v>
      </c>
      <c r="P53" s="27">
        <v>67839</v>
      </c>
      <c r="Q53" s="27">
        <v>-66729</v>
      </c>
      <c r="R53" s="27">
        <v>803330</v>
      </c>
      <c r="S53" s="27">
        <v>2409268</v>
      </c>
      <c r="T53" s="28">
        <v>2323509</v>
      </c>
      <c r="U53" s="45"/>
      <c r="V53" s="28">
        <v>7211748</v>
      </c>
      <c r="W53" s="28">
        <v>16230768</v>
      </c>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row>
    <row r="54" spans="1:57" x14ac:dyDescent="0.25">
      <c r="A54" s="44">
        <v>43525</v>
      </c>
      <c r="B54" s="25">
        <v>2019</v>
      </c>
      <c r="C54" s="26">
        <v>0</v>
      </c>
      <c r="D54" s="29">
        <v>64155</v>
      </c>
      <c r="E54" s="29">
        <v>26093</v>
      </c>
      <c r="F54" s="29">
        <v>32528</v>
      </c>
      <c r="G54" s="29">
        <v>0</v>
      </c>
      <c r="H54" s="28"/>
      <c r="I54" s="26">
        <v>602737</v>
      </c>
      <c r="J54" s="27">
        <v>261799</v>
      </c>
      <c r="K54" s="27">
        <v>37429</v>
      </c>
      <c r="L54" s="27">
        <v>117498</v>
      </c>
      <c r="M54" s="27">
        <v>709609</v>
      </c>
      <c r="N54" s="28">
        <v>522821</v>
      </c>
      <c r="O54" s="26">
        <v>3499539</v>
      </c>
      <c r="P54" s="27">
        <v>44968</v>
      </c>
      <c r="Q54" s="27">
        <v>59063</v>
      </c>
      <c r="R54" s="27">
        <v>813895</v>
      </c>
      <c r="S54" s="27">
        <v>2671549</v>
      </c>
      <c r="T54" s="28">
        <v>2382572</v>
      </c>
      <c r="U54" s="45"/>
      <c r="V54" s="28">
        <v>56491182</v>
      </c>
      <c r="W54" s="28">
        <v>28642077</v>
      </c>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row>
    <row r="55" spans="1:57" x14ac:dyDescent="0.25">
      <c r="A55" s="44">
        <v>43556</v>
      </c>
      <c r="B55" s="25">
        <v>2019</v>
      </c>
      <c r="C55" s="26">
        <v>0</v>
      </c>
      <c r="D55" s="29">
        <v>74757</v>
      </c>
      <c r="E55" s="29">
        <v>-18278</v>
      </c>
      <c r="F55" s="29">
        <v>23637</v>
      </c>
      <c r="G55" s="29">
        <v>0</v>
      </c>
      <c r="H55" s="28"/>
      <c r="I55" s="26">
        <v>614400</v>
      </c>
      <c r="J55" s="27">
        <v>327552</v>
      </c>
      <c r="K55" s="27">
        <v>-5468</v>
      </c>
      <c r="L55" s="27">
        <v>120612</v>
      </c>
      <c r="M55" s="27">
        <v>826808</v>
      </c>
      <c r="N55" s="28">
        <v>517353</v>
      </c>
      <c r="O55" s="26">
        <v>2851654</v>
      </c>
      <c r="P55" s="27">
        <v>191232</v>
      </c>
      <c r="Q55" s="27">
        <v>3090</v>
      </c>
      <c r="R55" s="27">
        <v>632227</v>
      </c>
      <c r="S55" s="27">
        <v>2407569</v>
      </c>
      <c r="T55" s="28">
        <v>2385662</v>
      </c>
      <c r="U55" s="45"/>
      <c r="V55" s="28">
        <v>65825832</v>
      </c>
      <c r="W55" s="28">
        <v>20813442</v>
      </c>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row>
    <row r="56" spans="1:57" x14ac:dyDescent="0.25">
      <c r="A56" s="44">
        <v>43586</v>
      </c>
      <c r="B56" s="25">
        <v>2019</v>
      </c>
      <c r="C56" s="26">
        <v>0</v>
      </c>
      <c r="D56" s="29">
        <v>95256</v>
      </c>
      <c r="E56" s="29">
        <v>29312</v>
      </c>
      <c r="F56" s="29">
        <v>29532</v>
      </c>
      <c r="G56" s="29">
        <v>0</v>
      </c>
      <c r="H56" s="28"/>
      <c r="I56" s="26">
        <v>617006</v>
      </c>
      <c r="J56" s="27">
        <v>284022</v>
      </c>
      <c r="K56" s="27">
        <v>7026</v>
      </c>
      <c r="L56" s="27">
        <v>182488</v>
      </c>
      <c r="M56" s="27">
        <v>711514</v>
      </c>
      <c r="N56" s="28">
        <v>524379</v>
      </c>
      <c r="O56" s="26">
        <v>2999696</v>
      </c>
      <c r="P56" s="27">
        <v>134257</v>
      </c>
      <c r="Q56" s="27">
        <v>-249003</v>
      </c>
      <c r="R56" s="27">
        <v>648651</v>
      </c>
      <c r="S56" s="27">
        <v>2734305</v>
      </c>
      <c r="T56" s="28">
        <v>2136659</v>
      </c>
      <c r="U56" s="45"/>
      <c r="V56" s="28">
        <v>83875726</v>
      </c>
      <c r="W56" s="28">
        <v>26004010</v>
      </c>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row>
    <row r="57" spans="1:57" x14ac:dyDescent="0.25">
      <c r="A57" s="44">
        <v>43617</v>
      </c>
      <c r="B57" s="25">
        <v>2019</v>
      </c>
      <c r="C57" s="26">
        <v>0</v>
      </c>
      <c r="D57" s="29">
        <v>47131</v>
      </c>
      <c r="E57" s="29">
        <v>-19439</v>
      </c>
      <c r="F57" s="29">
        <v>29086</v>
      </c>
      <c r="G57" s="29">
        <v>0</v>
      </c>
      <c r="H57" s="28"/>
      <c r="I57" s="26">
        <v>697397</v>
      </c>
      <c r="J57" s="27">
        <v>393580</v>
      </c>
      <c r="K57" s="27">
        <v>11653</v>
      </c>
      <c r="L57" s="27">
        <v>193595</v>
      </c>
      <c r="M57" s="27">
        <v>885729</v>
      </c>
      <c r="N57" s="28">
        <v>536032</v>
      </c>
      <c r="O57" s="26">
        <v>3248472</v>
      </c>
      <c r="P57" s="27">
        <v>135987</v>
      </c>
      <c r="Q57" s="27">
        <v>76779</v>
      </c>
      <c r="R57" s="27">
        <v>641582</v>
      </c>
      <c r="S57" s="27">
        <v>2666098</v>
      </c>
      <c r="T57" s="28">
        <v>2213438</v>
      </c>
      <c r="U57" s="45"/>
      <c r="V57" s="28">
        <v>41500725</v>
      </c>
      <c r="W57" s="28">
        <v>25611499</v>
      </c>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row>
    <row r="58" spans="1:57" x14ac:dyDescent="0.25">
      <c r="A58" s="44">
        <v>43647</v>
      </c>
      <c r="B58" s="25">
        <v>2019</v>
      </c>
      <c r="C58" s="26">
        <v>0</v>
      </c>
      <c r="D58" s="29">
        <v>61823</v>
      </c>
      <c r="E58" s="29">
        <v>-253</v>
      </c>
      <c r="F58" s="29">
        <v>31879</v>
      </c>
      <c r="G58" s="29">
        <v>0</v>
      </c>
      <c r="H58" s="28"/>
      <c r="I58" s="26">
        <v>721694</v>
      </c>
      <c r="J58" s="27">
        <v>237899</v>
      </c>
      <c r="K58" s="27">
        <v>-22765</v>
      </c>
      <c r="L58" s="27">
        <v>137798</v>
      </c>
      <c r="M58" s="27">
        <v>844560</v>
      </c>
      <c r="N58" s="28">
        <v>513267</v>
      </c>
      <c r="O58" s="26">
        <v>3429473</v>
      </c>
      <c r="P58" s="27">
        <v>218700</v>
      </c>
      <c r="Q58" s="27">
        <v>230031</v>
      </c>
      <c r="R58" s="27">
        <v>598963</v>
      </c>
      <c r="S58" s="27">
        <v>2819179</v>
      </c>
      <c r="T58" s="28">
        <v>2443469</v>
      </c>
      <c r="U58" s="45"/>
      <c r="V58" s="28">
        <v>54436991</v>
      </c>
      <c r="W58" s="28">
        <v>28069543</v>
      </c>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row>
    <row r="59" spans="1:57" x14ac:dyDescent="0.25">
      <c r="A59" s="44">
        <v>43678</v>
      </c>
      <c r="B59" s="25">
        <v>2019</v>
      </c>
      <c r="C59" s="26">
        <v>0</v>
      </c>
      <c r="D59" s="29">
        <v>74863</v>
      </c>
      <c r="E59" s="29">
        <v>-1314</v>
      </c>
      <c r="F59" s="29">
        <v>19754</v>
      </c>
      <c r="G59" s="29">
        <v>0</v>
      </c>
      <c r="H59" s="28"/>
      <c r="I59" s="26">
        <v>710579</v>
      </c>
      <c r="J59" s="27">
        <v>403427</v>
      </c>
      <c r="K59" s="27">
        <v>46456</v>
      </c>
      <c r="L59" s="27">
        <v>95309</v>
      </c>
      <c r="M59" s="27">
        <v>972241</v>
      </c>
      <c r="N59" s="28">
        <v>559723</v>
      </c>
      <c r="O59" s="26">
        <v>3634410</v>
      </c>
      <c r="P59" s="27">
        <v>83328</v>
      </c>
      <c r="Q59" s="27">
        <v>-37991</v>
      </c>
      <c r="R59" s="27">
        <v>830789</v>
      </c>
      <c r="S59" s="27">
        <v>2924940</v>
      </c>
      <c r="T59" s="28">
        <v>2405478</v>
      </c>
      <c r="U59" s="45"/>
      <c r="V59" s="28">
        <v>65919868</v>
      </c>
      <c r="W59" s="28">
        <v>17393652</v>
      </c>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row>
    <row r="60" spans="1:57" x14ac:dyDescent="0.25">
      <c r="A60" s="44">
        <v>43709</v>
      </c>
      <c r="B60" s="25">
        <v>2019</v>
      </c>
      <c r="C60" s="26">
        <v>0</v>
      </c>
      <c r="D60" s="29">
        <v>58649</v>
      </c>
      <c r="E60" s="29">
        <v>-3336</v>
      </c>
      <c r="F60" s="29">
        <v>25582</v>
      </c>
      <c r="G60" s="29">
        <v>0</v>
      </c>
      <c r="H60" s="28"/>
      <c r="I60" s="26">
        <v>508325</v>
      </c>
      <c r="J60" s="27">
        <v>363044</v>
      </c>
      <c r="K60" s="27">
        <v>-89212</v>
      </c>
      <c r="L60" s="27">
        <v>101109</v>
      </c>
      <c r="M60" s="27">
        <v>859472</v>
      </c>
      <c r="N60" s="28">
        <v>470511</v>
      </c>
      <c r="O60" s="26">
        <v>3270454</v>
      </c>
      <c r="P60" s="27">
        <v>102561</v>
      </c>
      <c r="Q60" s="27">
        <v>-128291</v>
      </c>
      <c r="R60" s="27">
        <v>690363</v>
      </c>
      <c r="S60" s="27">
        <v>2810943</v>
      </c>
      <c r="T60" s="28">
        <v>2277187</v>
      </c>
      <c r="U60" s="45"/>
      <c r="V60" s="28">
        <v>51643197</v>
      </c>
      <c r="W60" s="28">
        <v>22526172</v>
      </c>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row>
    <row r="61" spans="1:57" x14ac:dyDescent="0.25">
      <c r="A61" s="44">
        <v>43739</v>
      </c>
      <c r="B61" s="25">
        <v>2019</v>
      </c>
      <c r="C61" s="26">
        <v>0</v>
      </c>
      <c r="D61" s="29">
        <v>22971</v>
      </c>
      <c r="E61" s="29">
        <v>33514</v>
      </c>
      <c r="F61" s="29">
        <v>37749</v>
      </c>
      <c r="G61" s="29">
        <v>0</v>
      </c>
      <c r="H61" s="28"/>
      <c r="I61" s="26">
        <v>470987</v>
      </c>
      <c r="J61" s="27">
        <v>330493</v>
      </c>
      <c r="K61" s="27">
        <v>-41716</v>
      </c>
      <c r="L61" s="27">
        <v>91617</v>
      </c>
      <c r="M61" s="27">
        <v>751579</v>
      </c>
      <c r="N61" s="28">
        <v>428795</v>
      </c>
      <c r="O61" s="26">
        <v>3536322</v>
      </c>
      <c r="P61" s="27">
        <v>146527</v>
      </c>
      <c r="Q61" s="27">
        <v>-134576</v>
      </c>
      <c r="R61" s="27">
        <v>845298</v>
      </c>
      <c r="S61" s="27">
        <v>2972127</v>
      </c>
      <c r="T61" s="28">
        <v>2142611</v>
      </c>
      <c r="U61" s="45"/>
      <c r="V61" s="28">
        <v>20226548</v>
      </c>
      <c r="W61" s="28">
        <v>33239779</v>
      </c>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row>
    <row r="62" spans="1:57" x14ac:dyDescent="0.25">
      <c r="A62" s="44">
        <v>43770</v>
      </c>
      <c r="B62" s="25">
        <v>2019</v>
      </c>
      <c r="C62" s="26">
        <v>0</v>
      </c>
      <c r="D62" s="29">
        <v>27160</v>
      </c>
      <c r="E62" s="29">
        <v>97</v>
      </c>
      <c r="F62" s="29">
        <v>32799</v>
      </c>
      <c r="G62" s="29">
        <v>0</v>
      </c>
      <c r="H62" s="28"/>
      <c r="I62" s="26">
        <v>399590</v>
      </c>
      <c r="J62" s="27">
        <v>310375</v>
      </c>
      <c r="K62" s="27">
        <v>-25520</v>
      </c>
      <c r="L62" s="27">
        <v>71439</v>
      </c>
      <c r="M62" s="27">
        <v>664046</v>
      </c>
      <c r="N62" s="28">
        <v>403220</v>
      </c>
      <c r="O62" s="26">
        <v>3533206</v>
      </c>
      <c r="P62" s="27">
        <v>97508</v>
      </c>
      <c r="Q62" s="27">
        <v>96817</v>
      </c>
      <c r="R62" s="27">
        <v>921370</v>
      </c>
      <c r="S62" s="27">
        <v>2612527</v>
      </c>
      <c r="T62" s="28">
        <v>2235753</v>
      </c>
      <c r="U62" s="45"/>
      <c r="V62" s="28">
        <v>23915566</v>
      </c>
      <c r="W62" s="28">
        <v>28880330</v>
      </c>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row>
    <row r="63" spans="1:57" x14ac:dyDescent="0.25">
      <c r="A63" s="44">
        <v>43800</v>
      </c>
      <c r="B63" s="25">
        <v>2019</v>
      </c>
      <c r="C63" s="26">
        <v>0</v>
      </c>
      <c r="D63" s="29">
        <v>8133</v>
      </c>
      <c r="E63" s="29">
        <v>16151</v>
      </c>
      <c r="F63" s="29">
        <v>37618</v>
      </c>
      <c r="G63" s="29">
        <v>0</v>
      </c>
      <c r="H63" s="28"/>
      <c r="I63" s="26">
        <v>410628</v>
      </c>
      <c r="J63" s="27">
        <v>436780</v>
      </c>
      <c r="K63" s="27">
        <v>36293</v>
      </c>
      <c r="L63" s="27">
        <v>67239</v>
      </c>
      <c r="M63" s="27">
        <v>743876</v>
      </c>
      <c r="N63" s="28">
        <v>439513</v>
      </c>
      <c r="O63" s="26">
        <v>3666841</v>
      </c>
      <c r="P63" s="27">
        <v>45570</v>
      </c>
      <c r="Q63" s="27">
        <v>153440</v>
      </c>
      <c r="R63" s="27">
        <v>922820</v>
      </c>
      <c r="S63" s="27">
        <v>2636151</v>
      </c>
      <c r="T63" s="28">
        <v>2389193</v>
      </c>
      <c r="U63" s="45"/>
      <c r="V63" s="28">
        <v>7161577</v>
      </c>
      <c r="W63" s="28">
        <v>33123631</v>
      </c>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row>
    <row r="64" spans="1:57" x14ac:dyDescent="0.25">
      <c r="A64" s="44">
        <v>43831</v>
      </c>
      <c r="B64" s="25">
        <v>2020</v>
      </c>
      <c r="C64" s="26">
        <v>38613</v>
      </c>
      <c r="D64" s="29">
        <v>38750</v>
      </c>
      <c r="E64" s="29">
        <v>5288</v>
      </c>
      <c r="F64" s="29">
        <v>30036</v>
      </c>
      <c r="G64" s="29">
        <v>0</v>
      </c>
      <c r="H64" s="28">
        <v>11327</v>
      </c>
      <c r="I64" s="26">
        <v>450925</v>
      </c>
      <c r="J64" s="27">
        <v>320742</v>
      </c>
      <c r="K64" s="27">
        <v>-68031</v>
      </c>
      <c r="L64" s="27">
        <v>57501</v>
      </c>
      <c r="M64" s="27">
        <v>782197</v>
      </c>
      <c r="N64" s="28">
        <v>371482</v>
      </c>
      <c r="O64" s="26">
        <v>3703479</v>
      </c>
      <c r="P64" s="27">
        <v>50344</v>
      </c>
      <c r="Q64" s="27">
        <v>35902</v>
      </c>
      <c r="R64" s="27">
        <v>1050262</v>
      </c>
      <c r="S64" s="27">
        <v>2662746</v>
      </c>
      <c r="T64" s="28">
        <v>2425095</v>
      </c>
      <c r="U64" s="10"/>
      <c r="V64" s="28">
        <v>34119931</v>
      </c>
      <c r="W64" s="28">
        <v>26447490</v>
      </c>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row>
    <row r="65" spans="1:57" x14ac:dyDescent="0.25">
      <c r="A65" s="44">
        <v>43862</v>
      </c>
      <c r="B65" s="25">
        <v>2020</v>
      </c>
      <c r="C65" s="26">
        <v>35986</v>
      </c>
      <c r="D65" s="29">
        <v>24890</v>
      </c>
      <c r="E65" s="29">
        <v>-10646</v>
      </c>
      <c r="F65" s="29">
        <v>33203</v>
      </c>
      <c r="G65" s="29">
        <v>0</v>
      </c>
      <c r="H65" s="28">
        <v>12243</v>
      </c>
      <c r="I65" s="26">
        <v>397689</v>
      </c>
      <c r="J65" s="27">
        <v>238229</v>
      </c>
      <c r="K65" s="27">
        <v>17469</v>
      </c>
      <c r="L65" s="27">
        <v>73059</v>
      </c>
      <c r="M65" s="27">
        <v>545390</v>
      </c>
      <c r="N65" s="28">
        <v>388951</v>
      </c>
      <c r="O65" s="26">
        <v>3400911</v>
      </c>
      <c r="P65" s="27">
        <v>81234</v>
      </c>
      <c r="Q65" s="27">
        <v>-52790</v>
      </c>
      <c r="R65" s="27">
        <v>838309</v>
      </c>
      <c r="S65" s="27">
        <v>2688272</v>
      </c>
      <c r="T65" s="28">
        <v>2372305</v>
      </c>
      <c r="U65" s="10"/>
      <c r="V65" s="28">
        <v>21916374</v>
      </c>
      <c r="W65" s="28">
        <v>29236324</v>
      </c>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row>
    <row r="66" spans="1:57" x14ac:dyDescent="0.25">
      <c r="A66" s="44">
        <v>43891</v>
      </c>
      <c r="B66" s="25">
        <v>2020</v>
      </c>
      <c r="C66" s="26">
        <v>32469</v>
      </c>
      <c r="D66" s="29">
        <v>33634</v>
      </c>
      <c r="E66" s="29">
        <v>-5067</v>
      </c>
      <c r="F66" s="29">
        <v>31087</v>
      </c>
      <c r="G66" s="29">
        <v>0</v>
      </c>
      <c r="H66" s="28">
        <v>10933</v>
      </c>
      <c r="I66" s="26">
        <v>384559</v>
      </c>
      <c r="J66" s="27">
        <v>255712</v>
      </c>
      <c r="K66" s="27">
        <v>12372</v>
      </c>
      <c r="L66" s="27">
        <v>90975</v>
      </c>
      <c r="M66" s="27">
        <v>536924</v>
      </c>
      <c r="N66" s="28">
        <v>401323</v>
      </c>
      <c r="O66" s="26">
        <v>3626075</v>
      </c>
      <c r="P66" s="27">
        <v>110126</v>
      </c>
      <c r="Q66" s="27">
        <v>205112</v>
      </c>
      <c r="R66" s="27">
        <v>788832</v>
      </c>
      <c r="S66" s="27">
        <v>2711400</v>
      </c>
      <c r="T66" s="28">
        <v>2577417</v>
      </c>
      <c r="U66" s="10"/>
      <c r="V66" s="28">
        <v>29615795</v>
      </c>
      <c r="W66" s="28">
        <v>27373286</v>
      </c>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row>
    <row r="67" spans="1:57" x14ac:dyDescent="0.25">
      <c r="A67" s="44">
        <v>43922</v>
      </c>
      <c r="B67" s="25">
        <v>2020</v>
      </c>
      <c r="C67" s="26">
        <v>35267</v>
      </c>
      <c r="D67" s="29">
        <v>76657</v>
      </c>
      <c r="E67" s="29">
        <v>19238</v>
      </c>
      <c r="F67" s="29">
        <v>36547</v>
      </c>
      <c r="G67" s="29">
        <v>0</v>
      </c>
      <c r="H67" s="28">
        <v>10644</v>
      </c>
      <c r="I67" s="26">
        <v>66683</v>
      </c>
      <c r="J67" s="27">
        <v>94216</v>
      </c>
      <c r="K67" s="27">
        <v>31898</v>
      </c>
      <c r="L67" s="27">
        <v>727</v>
      </c>
      <c r="M67" s="27">
        <v>128274</v>
      </c>
      <c r="N67" s="28">
        <v>433221</v>
      </c>
      <c r="O67" s="26">
        <v>2732108</v>
      </c>
      <c r="P67" s="27">
        <v>26626</v>
      </c>
      <c r="Q67" s="27">
        <v>-180996</v>
      </c>
      <c r="R67" s="27">
        <v>929905</v>
      </c>
      <c r="S67" s="27">
        <v>1997216</v>
      </c>
      <c r="T67" s="28">
        <v>2396421</v>
      </c>
      <c r="U67" s="10"/>
      <c r="V67" s="28">
        <v>67498746</v>
      </c>
      <c r="W67" s="28">
        <v>32180374</v>
      </c>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row>
    <row r="68" spans="1:57" x14ac:dyDescent="0.25">
      <c r="A68" s="44">
        <v>43952</v>
      </c>
      <c r="B68" s="25">
        <v>2020</v>
      </c>
      <c r="C68" s="26">
        <v>40458</v>
      </c>
      <c r="D68" s="29">
        <v>89221</v>
      </c>
      <c r="E68" s="29">
        <v>-23637</v>
      </c>
      <c r="F68" s="29">
        <v>41344</v>
      </c>
      <c r="G68" s="29">
        <v>0</v>
      </c>
      <c r="H68" s="28">
        <v>10601</v>
      </c>
      <c r="I68" s="26">
        <v>104275</v>
      </c>
      <c r="J68" s="27">
        <v>19655</v>
      </c>
      <c r="K68" s="27">
        <v>-47696</v>
      </c>
      <c r="L68" s="27">
        <v>22485</v>
      </c>
      <c r="M68" s="27">
        <v>149141</v>
      </c>
      <c r="N68" s="28">
        <v>385525</v>
      </c>
      <c r="O68" s="26">
        <v>3157261</v>
      </c>
      <c r="P68" s="27">
        <v>61781</v>
      </c>
      <c r="Q68" s="27">
        <v>67582</v>
      </c>
      <c r="R68" s="27">
        <v>755307</v>
      </c>
      <c r="S68" s="27">
        <v>2402844</v>
      </c>
      <c r="T68" s="28">
        <v>2464003</v>
      </c>
      <c r="U68" s="10"/>
      <c r="V68" s="28">
        <v>78562561</v>
      </c>
      <c r="W68" s="28">
        <v>36404580</v>
      </c>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D68" s="45"/>
      <c r="BE68" s="45"/>
    </row>
    <row r="69" spans="1:57" x14ac:dyDescent="0.25">
      <c r="A69" s="44">
        <v>43983</v>
      </c>
      <c r="B69" s="25">
        <v>2020</v>
      </c>
      <c r="C69" s="26">
        <v>37559</v>
      </c>
      <c r="D69" s="29">
        <v>82580</v>
      </c>
      <c r="E69" s="29">
        <v>6168</v>
      </c>
      <c r="F69" s="29">
        <v>36712</v>
      </c>
      <c r="G69" s="29">
        <v>0</v>
      </c>
      <c r="H69" s="28">
        <v>11413</v>
      </c>
      <c r="I69" s="26">
        <v>211950</v>
      </c>
      <c r="J69" s="27">
        <v>32513</v>
      </c>
      <c r="K69" s="27">
        <v>2533</v>
      </c>
      <c r="L69" s="27">
        <v>61889</v>
      </c>
      <c r="M69" s="27">
        <v>180041</v>
      </c>
      <c r="N69" s="28">
        <v>388058</v>
      </c>
      <c r="O69" s="26">
        <v>2814616</v>
      </c>
      <c r="P69" s="27">
        <v>121092</v>
      </c>
      <c r="Q69" s="27">
        <v>-30869</v>
      </c>
      <c r="R69" s="27">
        <v>544106</v>
      </c>
      <c r="S69" s="27">
        <v>2405061</v>
      </c>
      <c r="T69" s="28">
        <v>2433134</v>
      </c>
      <c r="U69" s="10"/>
      <c r="V69" s="28">
        <v>72713672</v>
      </c>
      <c r="W69" s="28">
        <v>32326383</v>
      </c>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D69" s="45"/>
      <c r="BE69" s="45"/>
    </row>
    <row r="70" spans="1:57" x14ac:dyDescent="0.25">
      <c r="A70" s="44">
        <v>44013</v>
      </c>
      <c r="B70" s="25">
        <v>2020</v>
      </c>
      <c r="C70" s="26">
        <v>46540</v>
      </c>
      <c r="D70" s="29">
        <v>56815</v>
      </c>
      <c r="E70" s="29">
        <v>-30388</v>
      </c>
      <c r="F70" s="29">
        <v>44451</v>
      </c>
      <c r="G70" s="29">
        <v>0</v>
      </c>
      <c r="H70" s="28">
        <v>11799</v>
      </c>
      <c r="I70" s="26">
        <v>298920</v>
      </c>
      <c r="J70" s="27">
        <v>44283</v>
      </c>
      <c r="K70" s="27">
        <v>11541</v>
      </c>
      <c r="L70" s="27">
        <v>43961</v>
      </c>
      <c r="M70" s="27">
        <v>287701</v>
      </c>
      <c r="N70" s="28">
        <v>399599</v>
      </c>
      <c r="O70" s="26">
        <v>3032382</v>
      </c>
      <c r="P70" s="27">
        <v>61232</v>
      </c>
      <c r="Q70" s="27">
        <v>19825</v>
      </c>
      <c r="R70" s="27">
        <v>496187</v>
      </c>
      <c r="S70" s="27">
        <v>2587972</v>
      </c>
      <c r="T70" s="28">
        <v>2452959</v>
      </c>
      <c r="U70" s="10"/>
      <c r="V70" s="28">
        <v>50026839</v>
      </c>
      <c r="W70" s="28">
        <v>39140689</v>
      </c>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D70" s="45"/>
      <c r="BE70" s="45"/>
    </row>
    <row r="71" spans="1:57" x14ac:dyDescent="0.25">
      <c r="A71" s="44">
        <v>44044</v>
      </c>
      <c r="B71" s="25">
        <v>2020</v>
      </c>
      <c r="C71" s="26">
        <v>37526</v>
      </c>
      <c r="D71" s="29">
        <v>80144</v>
      </c>
      <c r="E71" s="29">
        <v>40553</v>
      </c>
      <c r="F71" s="29">
        <v>42520</v>
      </c>
      <c r="G71" s="29">
        <v>0</v>
      </c>
      <c r="H71" s="28">
        <v>10664</v>
      </c>
      <c r="I71" s="26">
        <v>245031</v>
      </c>
      <c r="J71" s="27">
        <v>73336</v>
      </c>
      <c r="K71" s="27">
        <v>-3609</v>
      </c>
      <c r="L71" s="27">
        <v>32799</v>
      </c>
      <c r="M71" s="27">
        <v>289177</v>
      </c>
      <c r="N71" s="28">
        <v>395990</v>
      </c>
      <c r="O71" s="26">
        <v>2848511</v>
      </c>
      <c r="P71" s="27">
        <v>114047</v>
      </c>
      <c r="Q71" s="27">
        <v>-244361</v>
      </c>
      <c r="R71" s="27">
        <v>435349</v>
      </c>
      <c r="S71" s="27">
        <v>2734503</v>
      </c>
      <c r="T71" s="28">
        <v>2208598</v>
      </c>
      <c r="U71" s="10"/>
      <c r="V71" s="28">
        <v>70569033</v>
      </c>
      <c r="W71" s="28">
        <v>37440192</v>
      </c>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D71" s="45"/>
      <c r="BE71" s="45"/>
    </row>
    <row r="72" spans="1:57" x14ac:dyDescent="0.25">
      <c r="A72" s="44">
        <v>44075</v>
      </c>
      <c r="B72" s="25">
        <v>2020</v>
      </c>
      <c r="C72" s="26">
        <v>35703</v>
      </c>
      <c r="D72" s="29">
        <v>77359</v>
      </c>
      <c r="E72" s="29">
        <v>6083</v>
      </c>
      <c r="F72" s="29">
        <v>37398</v>
      </c>
      <c r="G72" s="29">
        <v>0</v>
      </c>
      <c r="H72" s="28">
        <v>10307</v>
      </c>
      <c r="I72" s="26">
        <v>261697</v>
      </c>
      <c r="J72" s="27">
        <v>61425</v>
      </c>
      <c r="K72" s="27">
        <v>16022</v>
      </c>
      <c r="L72" s="27">
        <v>22058</v>
      </c>
      <c r="M72" s="27">
        <v>285042</v>
      </c>
      <c r="N72" s="28">
        <v>412012</v>
      </c>
      <c r="O72" s="26">
        <v>3170926</v>
      </c>
      <c r="P72" s="27">
        <v>164728</v>
      </c>
      <c r="Q72" s="27">
        <v>-195381</v>
      </c>
      <c r="R72" s="27">
        <v>674226</v>
      </c>
      <c r="S72" s="27">
        <v>2851049</v>
      </c>
      <c r="T72" s="28">
        <v>2013217</v>
      </c>
      <c r="U72" s="10"/>
      <c r="V72" s="28">
        <v>68116477</v>
      </c>
      <c r="W72" s="28">
        <v>32930283</v>
      </c>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D72" s="45"/>
      <c r="BE72" s="45"/>
    </row>
    <row r="73" spans="1:57" x14ac:dyDescent="0.25">
      <c r="A73" s="44">
        <v>44105</v>
      </c>
      <c r="B73" s="25">
        <v>2020</v>
      </c>
      <c r="C73" s="26">
        <v>37064</v>
      </c>
      <c r="D73" s="29">
        <v>13849</v>
      </c>
      <c r="E73" s="29">
        <v>-1850</v>
      </c>
      <c r="F73" s="29">
        <v>39111</v>
      </c>
      <c r="G73" s="29">
        <v>0</v>
      </c>
      <c r="H73" s="28">
        <v>8329</v>
      </c>
      <c r="I73" s="26">
        <v>198061</v>
      </c>
      <c r="J73" s="27">
        <v>52361</v>
      </c>
      <c r="K73" s="27">
        <v>-53938</v>
      </c>
      <c r="L73" s="27">
        <v>40478</v>
      </c>
      <c r="M73" s="27">
        <v>263882</v>
      </c>
      <c r="N73" s="28">
        <v>358074</v>
      </c>
      <c r="O73" s="26">
        <v>3492286</v>
      </c>
      <c r="P73" s="27">
        <v>47945</v>
      </c>
      <c r="Q73" s="27">
        <v>241805</v>
      </c>
      <c r="R73" s="27">
        <v>633776</v>
      </c>
      <c r="S73" s="27">
        <v>2630154</v>
      </c>
      <c r="T73" s="28">
        <v>2255022</v>
      </c>
      <c r="U73" s="10"/>
      <c r="V73" s="28">
        <v>12194796</v>
      </c>
      <c r="W73" s="28">
        <v>34437926</v>
      </c>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D73" s="45"/>
      <c r="BE73" s="45"/>
    </row>
    <row r="74" spans="1:57" x14ac:dyDescent="0.25">
      <c r="A74" s="44">
        <v>44136</v>
      </c>
      <c r="B74" s="25">
        <v>2020</v>
      </c>
      <c r="C74" s="26">
        <v>43882</v>
      </c>
      <c r="D74" s="29">
        <v>6878</v>
      </c>
      <c r="E74" s="29">
        <v>-19840</v>
      </c>
      <c r="F74" s="29">
        <v>41934</v>
      </c>
      <c r="G74" s="29">
        <v>0</v>
      </c>
      <c r="H74" s="28">
        <v>11683</v>
      </c>
      <c r="I74" s="26">
        <v>253276</v>
      </c>
      <c r="J74" s="27">
        <v>85246</v>
      </c>
      <c r="K74" s="27">
        <v>20392</v>
      </c>
      <c r="L74" s="27">
        <v>39724</v>
      </c>
      <c r="M74" s="27">
        <v>278406</v>
      </c>
      <c r="N74" s="28">
        <v>378466</v>
      </c>
      <c r="O74" s="26">
        <v>3443764</v>
      </c>
      <c r="P74" s="27">
        <v>89963</v>
      </c>
      <c r="Q74" s="27">
        <v>32540</v>
      </c>
      <c r="R74" s="27">
        <v>598228</v>
      </c>
      <c r="S74" s="27">
        <v>2895438</v>
      </c>
      <c r="T74" s="28">
        <v>2287562</v>
      </c>
      <c r="U74" s="10"/>
      <c r="V74" s="28">
        <v>6055473</v>
      </c>
      <c r="W74" s="28">
        <v>36923631</v>
      </c>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45"/>
    </row>
    <row r="75" spans="1:57" x14ac:dyDescent="0.25">
      <c r="A75" s="44">
        <v>44166</v>
      </c>
      <c r="B75" s="25">
        <v>2020</v>
      </c>
      <c r="C75" s="26">
        <v>36743</v>
      </c>
      <c r="D75" s="29">
        <v>5693</v>
      </c>
      <c r="E75" s="29">
        <v>21388</v>
      </c>
      <c r="F75" s="29">
        <v>36548</v>
      </c>
      <c r="G75" s="29">
        <v>0</v>
      </c>
      <c r="H75" s="28">
        <v>8864</v>
      </c>
      <c r="I75" s="26">
        <v>251978</v>
      </c>
      <c r="J75" s="27">
        <v>87532</v>
      </c>
      <c r="K75" s="27">
        <v>8899</v>
      </c>
      <c r="L75" s="27">
        <v>40216</v>
      </c>
      <c r="M75" s="27">
        <v>290395</v>
      </c>
      <c r="N75" s="28">
        <v>387365</v>
      </c>
      <c r="O75" s="26">
        <v>3641415</v>
      </c>
      <c r="P75" s="27">
        <v>19525</v>
      </c>
      <c r="Q75" s="27">
        <v>187285</v>
      </c>
      <c r="R75" s="27">
        <v>971733</v>
      </c>
      <c r="S75" s="27">
        <v>2465242</v>
      </c>
      <c r="T75" s="28">
        <v>2474847</v>
      </c>
      <c r="U75" s="10"/>
      <c r="V75" s="28">
        <v>5013232</v>
      </c>
      <c r="W75" s="28">
        <v>32181136</v>
      </c>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D75" s="45"/>
      <c r="BE75" s="45"/>
    </row>
    <row r="76" spans="1:57" x14ac:dyDescent="0.25">
      <c r="A76" s="44">
        <v>44197</v>
      </c>
      <c r="B76" s="25">
        <v>2021</v>
      </c>
      <c r="C76" s="26">
        <v>28834</v>
      </c>
      <c r="D76" s="29">
        <v>51101</v>
      </c>
      <c r="E76" s="29">
        <v>20619</v>
      </c>
      <c r="F76" s="29">
        <v>32635</v>
      </c>
      <c r="G76" s="29">
        <v>0</v>
      </c>
      <c r="H76" s="28">
        <v>7598</v>
      </c>
      <c r="I76" s="26">
        <v>288603</v>
      </c>
      <c r="J76" s="27">
        <v>69711</v>
      </c>
      <c r="K76" s="27">
        <v>-11127</v>
      </c>
      <c r="L76" s="27">
        <v>55202</v>
      </c>
      <c r="M76" s="27">
        <v>314239</v>
      </c>
      <c r="N76" s="28">
        <v>376238</v>
      </c>
      <c r="O76" s="26">
        <v>3389892</v>
      </c>
      <c r="P76" s="27">
        <v>206222</v>
      </c>
      <c r="Q76" s="27">
        <v>169348</v>
      </c>
      <c r="R76" s="27">
        <v>818480</v>
      </c>
      <c r="S76" s="27">
        <v>2613701</v>
      </c>
      <c r="T76" s="28">
        <v>2644195</v>
      </c>
      <c r="U76" s="10"/>
      <c r="V76" s="28">
        <v>44995473</v>
      </c>
      <c r="W76" s="28">
        <v>28735879</v>
      </c>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row>
    <row r="77" spans="1:57" x14ac:dyDescent="0.25">
      <c r="A77" s="44">
        <v>44228</v>
      </c>
      <c r="B77" s="25">
        <v>2021</v>
      </c>
      <c r="C77" s="26">
        <v>30932</v>
      </c>
      <c r="D77" s="29">
        <v>9794</v>
      </c>
      <c r="E77" s="29">
        <v>-28100</v>
      </c>
      <c r="F77" s="29">
        <v>32339</v>
      </c>
      <c r="G77" s="29">
        <v>0</v>
      </c>
      <c r="H77" s="28">
        <v>6380</v>
      </c>
      <c r="I77" s="26">
        <v>184736</v>
      </c>
      <c r="J77" s="27">
        <v>65629</v>
      </c>
      <c r="K77" s="27">
        <v>14410</v>
      </c>
      <c r="L77" s="27">
        <v>53021</v>
      </c>
      <c r="M77" s="27">
        <v>182934</v>
      </c>
      <c r="N77" s="28">
        <v>390648</v>
      </c>
      <c r="O77" s="26">
        <v>3101778</v>
      </c>
      <c r="P77" s="27">
        <v>20290</v>
      </c>
      <c r="Q77" s="27">
        <v>-62510</v>
      </c>
      <c r="R77" s="27">
        <v>905728</v>
      </c>
      <c r="S77" s="27">
        <v>2294721</v>
      </c>
      <c r="T77" s="28">
        <v>2581685</v>
      </c>
      <c r="U77" s="10"/>
      <c r="V77" s="28">
        <v>8623730</v>
      </c>
      <c r="W77" s="28">
        <v>28475288</v>
      </c>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row>
    <row r="78" spans="1:57" x14ac:dyDescent="0.25">
      <c r="A78" s="44">
        <v>44256</v>
      </c>
      <c r="B78" s="25">
        <v>2021</v>
      </c>
      <c r="C78" s="26">
        <v>35518</v>
      </c>
      <c r="D78" s="29">
        <v>34234</v>
      </c>
      <c r="E78" s="29">
        <v>1207</v>
      </c>
      <c r="F78" s="29">
        <v>37680</v>
      </c>
      <c r="G78" s="29">
        <v>0</v>
      </c>
      <c r="H78" s="28">
        <v>5187</v>
      </c>
      <c r="I78" s="26">
        <v>233421</v>
      </c>
      <c r="J78" s="27">
        <v>57733</v>
      </c>
      <c r="K78" s="27">
        <v>-2428</v>
      </c>
      <c r="L78" s="27">
        <v>36763</v>
      </c>
      <c r="M78" s="27">
        <v>256819</v>
      </c>
      <c r="N78" s="28">
        <v>388220</v>
      </c>
      <c r="O78" s="26">
        <v>3522047</v>
      </c>
      <c r="P78" s="27">
        <v>46516</v>
      </c>
      <c r="Q78" s="27">
        <v>-31381</v>
      </c>
      <c r="R78" s="27">
        <v>979058</v>
      </c>
      <c r="S78" s="27">
        <v>2590658</v>
      </c>
      <c r="T78" s="28">
        <v>2550304</v>
      </c>
      <c r="U78" s="10"/>
      <c r="V78" s="28">
        <v>30144144</v>
      </c>
      <c r="W78" s="28">
        <v>33178472</v>
      </c>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row>
    <row r="79" spans="1:57" x14ac:dyDescent="0.25">
      <c r="A79" s="44">
        <v>44287</v>
      </c>
      <c r="B79" s="25">
        <v>2021</v>
      </c>
      <c r="C79" s="26">
        <v>35393</v>
      </c>
      <c r="D79" s="29">
        <v>68885</v>
      </c>
      <c r="E79" s="29">
        <v>12097</v>
      </c>
      <c r="F79" s="29">
        <v>36169</v>
      </c>
      <c r="G79" s="29">
        <v>0</v>
      </c>
      <c r="H79" s="28">
        <v>6175</v>
      </c>
      <c r="I79" s="26">
        <v>211068</v>
      </c>
      <c r="J79" s="27">
        <v>11827</v>
      </c>
      <c r="K79" s="27">
        <v>-17636</v>
      </c>
      <c r="L79" s="27">
        <v>29655</v>
      </c>
      <c r="M79" s="27">
        <v>210876</v>
      </c>
      <c r="N79" s="28">
        <v>370584</v>
      </c>
      <c r="O79" s="26">
        <v>2957501</v>
      </c>
      <c r="P79" s="27">
        <v>169092</v>
      </c>
      <c r="Q79" s="27">
        <v>57588</v>
      </c>
      <c r="R79" s="27">
        <v>630401</v>
      </c>
      <c r="S79" s="27">
        <v>2401385</v>
      </c>
      <c r="T79" s="28">
        <v>2607892</v>
      </c>
      <c r="U79" s="10"/>
      <c r="V79" s="28">
        <v>60654587</v>
      </c>
      <c r="W79" s="28">
        <v>31848900</v>
      </c>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row>
    <row r="80" spans="1:57" x14ac:dyDescent="0.25">
      <c r="A80" s="44">
        <v>44317</v>
      </c>
      <c r="B80" s="25">
        <v>2021</v>
      </c>
      <c r="C80" s="26">
        <v>28879</v>
      </c>
      <c r="D80" s="29">
        <v>80201</v>
      </c>
      <c r="E80" s="29">
        <v>-15183</v>
      </c>
      <c r="F80" s="29">
        <v>32937</v>
      </c>
      <c r="G80" s="29">
        <v>0</v>
      </c>
      <c r="H80" s="28">
        <v>4432</v>
      </c>
      <c r="I80" s="26">
        <v>219906</v>
      </c>
      <c r="J80" s="27">
        <v>74743</v>
      </c>
      <c r="K80" s="27">
        <v>25325</v>
      </c>
      <c r="L80" s="27">
        <v>16518</v>
      </c>
      <c r="M80" s="27">
        <v>252806</v>
      </c>
      <c r="N80" s="28">
        <v>395909</v>
      </c>
      <c r="O80" s="26">
        <v>2682983</v>
      </c>
      <c r="P80" s="27">
        <v>61823</v>
      </c>
      <c r="Q80" s="27">
        <v>-390565</v>
      </c>
      <c r="R80" s="27">
        <v>545338</v>
      </c>
      <c r="S80" s="27">
        <v>2569083</v>
      </c>
      <c r="T80" s="28">
        <v>2217327</v>
      </c>
      <c r="U80" s="10"/>
      <c r="V80" s="28">
        <v>70618824</v>
      </c>
      <c r="W80" s="28">
        <v>29002725</v>
      </c>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row>
    <row r="81" spans="1:57" x14ac:dyDescent="0.25">
      <c r="A81" s="44">
        <v>44348</v>
      </c>
      <c r="B81" s="25">
        <v>2021</v>
      </c>
      <c r="C81" s="26">
        <v>40898</v>
      </c>
      <c r="D81" s="29">
        <v>94506</v>
      </c>
      <c r="E81" s="29">
        <v>-17488</v>
      </c>
      <c r="F81" s="29">
        <v>34367</v>
      </c>
      <c r="G81" s="29">
        <v>0</v>
      </c>
      <c r="H81" s="28">
        <v>5739</v>
      </c>
      <c r="I81" s="26">
        <v>342723</v>
      </c>
      <c r="J81" s="27">
        <v>43311</v>
      </c>
      <c r="K81" s="27">
        <v>40898</v>
      </c>
      <c r="L81" s="27">
        <v>66358</v>
      </c>
      <c r="M81" s="27">
        <v>278778</v>
      </c>
      <c r="N81" s="28">
        <v>436807</v>
      </c>
      <c r="O81" s="26">
        <v>3320272</v>
      </c>
      <c r="P81" s="27">
        <v>143081</v>
      </c>
      <c r="Q81" s="27">
        <v>109212</v>
      </c>
      <c r="R81" s="27">
        <v>680736</v>
      </c>
      <c r="S81" s="27">
        <v>2692281</v>
      </c>
      <c r="T81" s="28">
        <v>2326539</v>
      </c>
      <c r="U81" s="10"/>
      <c r="V81" s="28">
        <v>83215966</v>
      </c>
      <c r="W81" s="28">
        <v>30260451</v>
      </c>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row>
    <row r="82" spans="1:57" x14ac:dyDescent="0.25">
      <c r="A82" s="44">
        <v>44378</v>
      </c>
      <c r="B82" s="25">
        <v>2021</v>
      </c>
      <c r="C82" s="26">
        <v>37886</v>
      </c>
      <c r="D82" s="29">
        <v>64808</v>
      </c>
      <c r="E82" s="29">
        <v>4491</v>
      </c>
      <c r="F82" s="29">
        <v>38969</v>
      </c>
      <c r="G82" s="29">
        <v>0</v>
      </c>
      <c r="H82" s="28">
        <v>5181</v>
      </c>
      <c r="I82" s="26">
        <v>399005</v>
      </c>
      <c r="J82" s="27">
        <v>46837</v>
      </c>
      <c r="K82" s="27">
        <v>-21931</v>
      </c>
      <c r="L82" s="27">
        <v>68987</v>
      </c>
      <c r="M82" s="27">
        <v>398786</v>
      </c>
      <c r="N82" s="28">
        <v>414876</v>
      </c>
      <c r="O82" s="26">
        <v>3445829</v>
      </c>
      <c r="P82" s="27">
        <v>94302</v>
      </c>
      <c r="Q82" s="27">
        <v>240304</v>
      </c>
      <c r="R82" s="27">
        <v>725181</v>
      </c>
      <c r="S82" s="27">
        <v>2533072</v>
      </c>
      <c r="T82" s="28">
        <v>2566843</v>
      </c>
      <c r="U82" s="10"/>
      <c r="V82" s="28">
        <v>57065615</v>
      </c>
      <c r="W82" s="28">
        <v>34314010</v>
      </c>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row>
    <row r="83" spans="1:57" x14ac:dyDescent="0.25">
      <c r="A83" s="44">
        <v>44409</v>
      </c>
      <c r="B83" s="25">
        <v>2021</v>
      </c>
      <c r="C83" s="26">
        <v>37246</v>
      </c>
      <c r="D83" s="29">
        <v>79545</v>
      </c>
      <c r="E83" s="29">
        <v>25679</v>
      </c>
      <c r="F83" s="29">
        <v>42835</v>
      </c>
      <c r="G83" s="29">
        <v>0</v>
      </c>
      <c r="H83" s="28">
        <v>4898</v>
      </c>
      <c r="I83" s="26">
        <v>492134</v>
      </c>
      <c r="J83" s="27">
        <v>116851</v>
      </c>
      <c r="K83" s="27">
        <v>11353</v>
      </c>
      <c r="L83" s="27">
        <v>37260</v>
      </c>
      <c r="M83" s="27">
        <v>560372</v>
      </c>
      <c r="N83" s="28">
        <v>426229</v>
      </c>
      <c r="O83" s="26">
        <v>3448446</v>
      </c>
      <c r="P83" s="27">
        <v>66695</v>
      </c>
      <c r="Q83" s="27">
        <v>-6119</v>
      </c>
      <c r="R83" s="27">
        <v>691439</v>
      </c>
      <c r="S83" s="27">
        <v>2795079</v>
      </c>
      <c r="T83" s="28">
        <v>2560724</v>
      </c>
      <c r="U83" s="10"/>
      <c r="V83" s="28">
        <v>70041696</v>
      </c>
      <c r="W83" s="28">
        <v>37716942</v>
      </c>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row>
    <row r="84" spans="1:57" x14ac:dyDescent="0.25">
      <c r="A84" s="44">
        <v>44440</v>
      </c>
      <c r="B84" s="25">
        <v>2021</v>
      </c>
      <c r="C84" s="26">
        <v>37541</v>
      </c>
      <c r="D84" s="29">
        <v>40482</v>
      </c>
      <c r="E84" s="29">
        <v>-32194</v>
      </c>
      <c r="F84" s="29">
        <v>35421</v>
      </c>
      <c r="G84" s="29">
        <v>0</v>
      </c>
      <c r="H84" s="28">
        <v>3907</v>
      </c>
      <c r="I84" s="26">
        <v>305536</v>
      </c>
      <c r="J84" s="27">
        <v>85024</v>
      </c>
      <c r="K84" s="27">
        <v>-33913</v>
      </c>
      <c r="L84" s="27">
        <v>24986</v>
      </c>
      <c r="M84" s="27">
        <v>399487</v>
      </c>
      <c r="N84" s="28">
        <v>392316</v>
      </c>
      <c r="O84" s="26">
        <v>2904604</v>
      </c>
      <c r="P84" s="27">
        <v>106108</v>
      </c>
      <c r="Q84" s="27">
        <v>-344132</v>
      </c>
      <c r="R84" s="27">
        <v>540234</v>
      </c>
      <c r="S84" s="27">
        <v>2806982</v>
      </c>
      <c r="T84" s="28">
        <v>2216592</v>
      </c>
      <c r="U84" s="10"/>
      <c r="V84" s="28">
        <v>35644982</v>
      </c>
      <c r="W84" s="28">
        <v>31189542</v>
      </c>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row>
    <row r="85" spans="1:57" x14ac:dyDescent="0.25">
      <c r="A85" s="44">
        <v>44470</v>
      </c>
      <c r="B85" s="25">
        <v>2021</v>
      </c>
      <c r="C85" s="26">
        <v>35477</v>
      </c>
      <c r="D85" s="29">
        <v>28143</v>
      </c>
      <c r="E85" s="29">
        <v>-10630</v>
      </c>
      <c r="F85" s="29">
        <v>38903</v>
      </c>
      <c r="G85" s="29">
        <v>0</v>
      </c>
      <c r="H85" s="28">
        <v>4263</v>
      </c>
      <c r="I85" s="26">
        <v>286606</v>
      </c>
      <c r="J85" s="27">
        <v>172288</v>
      </c>
      <c r="K85" s="27">
        <v>-36658</v>
      </c>
      <c r="L85" s="27">
        <v>14581</v>
      </c>
      <c r="M85" s="27">
        <v>480971</v>
      </c>
      <c r="N85" s="28">
        <v>355658</v>
      </c>
      <c r="O85" s="26">
        <v>3074532</v>
      </c>
      <c r="P85" s="27">
        <v>126803</v>
      </c>
      <c r="Q85" s="27">
        <v>-57187</v>
      </c>
      <c r="R85" s="27">
        <v>443511</v>
      </c>
      <c r="S85" s="27">
        <v>2803977</v>
      </c>
      <c r="T85" s="28">
        <v>2159405</v>
      </c>
      <c r="U85" s="10"/>
      <c r="V85" s="28">
        <v>24780584</v>
      </c>
      <c r="W85" s="28">
        <v>34255882</v>
      </c>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row>
    <row r="86" spans="1:57" x14ac:dyDescent="0.25">
      <c r="A86" s="44">
        <v>44501</v>
      </c>
      <c r="B86" s="25">
        <v>2021</v>
      </c>
      <c r="C86" s="26">
        <v>39602</v>
      </c>
      <c r="D86" s="29">
        <v>11158</v>
      </c>
      <c r="E86" s="29">
        <v>11739</v>
      </c>
      <c r="F86" s="29">
        <v>38606</v>
      </c>
      <c r="G86" s="29">
        <v>0</v>
      </c>
      <c r="H86" s="28">
        <v>4516</v>
      </c>
      <c r="I86" s="26">
        <v>354922</v>
      </c>
      <c r="J86" s="27">
        <v>184802</v>
      </c>
      <c r="K86" s="27">
        <v>62358</v>
      </c>
      <c r="L86" s="27">
        <v>37841</v>
      </c>
      <c r="M86" s="27">
        <v>439525</v>
      </c>
      <c r="N86" s="28">
        <v>418016</v>
      </c>
      <c r="O86" s="26">
        <v>3338576</v>
      </c>
      <c r="P86" s="27">
        <v>131927</v>
      </c>
      <c r="Q86" s="27">
        <v>69008</v>
      </c>
      <c r="R86" s="27">
        <v>678469</v>
      </c>
      <c r="S86" s="27">
        <v>2690731</v>
      </c>
      <c r="T86" s="28">
        <v>2228413</v>
      </c>
      <c r="U86" s="10"/>
      <c r="V86" s="28">
        <v>9825719</v>
      </c>
      <c r="W86" s="28">
        <v>33993316</v>
      </c>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row>
    <row r="87" spans="1:57" x14ac:dyDescent="0.25">
      <c r="A87" s="44">
        <v>44531</v>
      </c>
      <c r="B87" s="25">
        <v>2021</v>
      </c>
      <c r="C87" s="26">
        <v>42536</v>
      </c>
      <c r="D87" s="29">
        <v>10623</v>
      </c>
      <c r="E87" s="29">
        <v>-13795</v>
      </c>
      <c r="F87" s="29">
        <v>39633</v>
      </c>
      <c r="G87" s="29">
        <v>0</v>
      </c>
      <c r="H87" s="28">
        <v>6926</v>
      </c>
      <c r="I87" s="26">
        <v>422236</v>
      </c>
      <c r="J87" s="27">
        <v>199297</v>
      </c>
      <c r="K87" s="27">
        <v>-29251</v>
      </c>
      <c r="L87" s="27">
        <v>56613</v>
      </c>
      <c r="M87" s="27">
        <v>594171</v>
      </c>
      <c r="N87" s="28">
        <v>388765</v>
      </c>
      <c r="O87" s="26">
        <v>3552321</v>
      </c>
      <c r="P87" s="27">
        <v>39149</v>
      </c>
      <c r="Q87" s="27">
        <v>126965</v>
      </c>
      <c r="R87" s="27">
        <v>1005240</v>
      </c>
      <c r="S87" s="27">
        <v>2447647</v>
      </c>
      <c r="T87" s="28">
        <v>2355378</v>
      </c>
      <c r="U87" s="10"/>
      <c r="V87" s="28">
        <v>9353982</v>
      </c>
      <c r="W87" s="28">
        <v>34897332</v>
      </c>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row>
    <row r="88" spans="1:57" x14ac:dyDescent="0.25">
      <c r="A88" s="44">
        <v>44562</v>
      </c>
      <c r="B88" s="25">
        <v>2022</v>
      </c>
      <c r="C88" s="26">
        <v>22151</v>
      </c>
      <c r="D88" s="29">
        <v>30520</v>
      </c>
      <c r="E88" s="29">
        <v>7336</v>
      </c>
      <c r="F88" s="29">
        <v>26748</v>
      </c>
      <c r="G88" s="29">
        <v>0</v>
      </c>
      <c r="H88" s="28">
        <v>3344</v>
      </c>
      <c r="I88" s="26">
        <v>375398</v>
      </c>
      <c r="J88" s="27">
        <v>56363</v>
      </c>
      <c r="K88" s="27">
        <v>19984</v>
      </c>
      <c r="L88" s="27">
        <v>41715</v>
      </c>
      <c r="M88" s="27">
        <v>370062</v>
      </c>
      <c r="N88" s="28">
        <v>408749</v>
      </c>
      <c r="O88" s="26">
        <v>3543683</v>
      </c>
      <c r="P88" s="27">
        <v>119298</v>
      </c>
      <c r="Q88" s="27">
        <v>3621</v>
      </c>
      <c r="R88" s="27">
        <v>932069</v>
      </c>
      <c r="S88" s="27">
        <v>2706334</v>
      </c>
      <c r="T88" s="28">
        <v>2358999</v>
      </c>
      <c r="U88" s="10">
        <v>87</v>
      </c>
      <c r="V88" s="28">
        <v>26840769</v>
      </c>
      <c r="W88" s="28">
        <v>23551938</v>
      </c>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row>
    <row r="89" spans="1:57" x14ac:dyDescent="0.25">
      <c r="A89" s="44">
        <v>44593</v>
      </c>
      <c r="B89" s="25">
        <v>2022</v>
      </c>
      <c r="C89" s="26">
        <v>21290</v>
      </c>
      <c r="D89" s="29">
        <v>13070</v>
      </c>
      <c r="E89" s="29">
        <v>10013</v>
      </c>
      <c r="F89" s="29">
        <v>20441</v>
      </c>
      <c r="G89" s="29">
        <v>0</v>
      </c>
      <c r="H89" s="28">
        <v>5583</v>
      </c>
      <c r="I89" s="26">
        <v>293739</v>
      </c>
      <c r="J89" s="27">
        <v>188049</v>
      </c>
      <c r="K89" s="27">
        <v>9145</v>
      </c>
      <c r="L89" s="27">
        <v>32055</v>
      </c>
      <c r="M89" s="27">
        <v>440588</v>
      </c>
      <c r="N89" s="28">
        <v>417894</v>
      </c>
      <c r="O89" s="26">
        <v>3330914</v>
      </c>
      <c r="P89" s="27">
        <v>45670</v>
      </c>
      <c r="Q89" s="27">
        <v>-151564</v>
      </c>
      <c r="R89" s="27">
        <v>794402</v>
      </c>
      <c r="S89" s="27">
        <v>2698771</v>
      </c>
      <c r="T89" s="28">
        <v>2207435</v>
      </c>
      <c r="U89" s="10">
        <v>15</v>
      </c>
      <c r="V89" s="28">
        <v>11503063</v>
      </c>
      <c r="W89" s="28">
        <v>17998945</v>
      </c>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row>
    <row r="90" spans="1:57" x14ac:dyDescent="0.25">
      <c r="A90" s="44">
        <v>44621</v>
      </c>
      <c r="B90" s="25">
        <v>2022</v>
      </c>
      <c r="C90" s="26">
        <v>27876</v>
      </c>
      <c r="D90" s="29">
        <v>24073</v>
      </c>
      <c r="E90" s="29">
        <v>-16095</v>
      </c>
      <c r="F90" s="29">
        <v>28340</v>
      </c>
      <c r="G90" s="29">
        <v>0</v>
      </c>
      <c r="H90" s="28">
        <v>4479</v>
      </c>
      <c r="I90" s="26">
        <v>354064</v>
      </c>
      <c r="J90" s="27">
        <v>177776</v>
      </c>
      <c r="K90" s="27">
        <v>-76147</v>
      </c>
      <c r="L90" s="27">
        <v>76785</v>
      </c>
      <c r="M90" s="27">
        <v>531202</v>
      </c>
      <c r="N90" s="28">
        <v>341747</v>
      </c>
      <c r="O90" s="26">
        <v>3584002</v>
      </c>
      <c r="P90" s="27">
        <v>75058</v>
      </c>
      <c r="Q90" s="27">
        <v>82497</v>
      </c>
      <c r="R90" s="27">
        <v>801009</v>
      </c>
      <c r="S90" s="27">
        <v>2768939</v>
      </c>
      <c r="T90" s="28">
        <v>2289932</v>
      </c>
      <c r="U90" s="10">
        <v>1236</v>
      </c>
      <c r="V90" s="28">
        <v>20688141</v>
      </c>
      <c r="W90" s="28">
        <v>24954524</v>
      </c>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row>
    <row r="91" spans="1:57" x14ac:dyDescent="0.25">
      <c r="A91" s="44">
        <v>44652</v>
      </c>
      <c r="B91" s="25">
        <v>2022</v>
      </c>
      <c r="C91" s="26">
        <v>27449</v>
      </c>
      <c r="D91" s="29">
        <v>68235</v>
      </c>
      <c r="E91" s="29">
        <v>40189</v>
      </c>
      <c r="F91" s="29">
        <v>30549</v>
      </c>
      <c r="G91" s="29">
        <v>0</v>
      </c>
      <c r="H91" s="28">
        <v>3956</v>
      </c>
      <c r="I91" s="26">
        <v>503523</v>
      </c>
      <c r="J91" s="27">
        <v>80271</v>
      </c>
      <c r="K91" s="27">
        <v>-8880</v>
      </c>
      <c r="L91" s="27">
        <v>56347</v>
      </c>
      <c r="M91" s="27">
        <v>536327</v>
      </c>
      <c r="N91" s="28">
        <v>332867</v>
      </c>
      <c r="O91" s="26">
        <v>3130606</v>
      </c>
      <c r="P91" s="27">
        <v>86060</v>
      </c>
      <c r="Q91" s="27">
        <v>352</v>
      </c>
      <c r="R91" s="27">
        <v>690022</v>
      </c>
      <c r="S91" s="27">
        <v>2491568</v>
      </c>
      <c r="T91" s="28">
        <v>2290284</v>
      </c>
      <c r="U91" s="10">
        <v>12676</v>
      </c>
      <c r="V91" s="28">
        <v>60606235</v>
      </c>
      <c r="W91" s="28">
        <v>26900098</v>
      </c>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row>
    <row r="92" spans="1:57" x14ac:dyDescent="0.25">
      <c r="A92" s="44">
        <v>44682</v>
      </c>
      <c r="B92" s="25">
        <v>2022</v>
      </c>
      <c r="C92" s="26">
        <v>27184</v>
      </c>
      <c r="D92" s="29">
        <v>82339</v>
      </c>
      <c r="E92" s="29">
        <v>9416</v>
      </c>
      <c r="F92" s="29">
        <v>26544</v>
      </c>
      <c r="G92" s="29">
        <v>0</v>
      </c>
      <c r="H92" s="28">
        <v>4560</v>
      </c>
      <c r="I92" s="26">
        <v>551912</v>
      </c>
      <c r="J92" s="27">
        <v>67931</v>
      </c>
      <c r="K92" s="27">
        <v>20366</v>
      </c>
      <c r="L92" s="27">
        <v>67886</v>
      </c>
      <c r="M92" s="27">
        <v>531591</v>
      </c>
      <c r="N92" s="28">
        <v>353233</v>
      </c>
      <c r="O92" s="26">
        <v>2933655</v>
      </c>
      <c r="P92" s="27">
        <v>155543</v>
      </c>
      <c r="Q92" s="27">
        <v>-232670</v>
      </c>
      <c r="R92" s="27">
        <v>723417</v>
      </c>
      <c r="S92" s="27">
        <v>2608770</v>
      </c>
      <c r="T92" s="28">
        <v>2057614</v>
      </c>
      <c r="U92" s="10">
        <v>16107</v>
      </c>
      <c r="V92" s="28">
        <v>69376476</v>
      </c>
      <c r="W92" s="28">
        <v>23372835</v>
      </c>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row>
    <row r="93" spans="1:57" x14ac:dyDescent="0.25">
      <c r="A93" s="44">
        <v>44713</v>
      </c>
      <c r="B93" s="25">
        <v>2022</v>
      </c>
      <c r="C93" s="26">
        <v>28041</v>
      </c>
      <c r="D93" s="29">
        <v>85183</v>
      </c>
      <c r="E93" s="29">
        <v>-433</v>
      </c>
      <c r="F93" s="29">
        <v>28437</v>
      </c>
      <c r="G93" s="29">
        <v>0</v>
      </c>
      <c r="H93" s="28">
        <v>4341</v>
      </c>
      <c r="I93" s="26">
        <v>504674</v>
      </c>
      <c r="J93" s="27">
        <v>202464</v>
      </c>
      <c r="K93" s="27">
        <v>-31541</v>
      </c>
      <c r="L93" s="27">
        <v>23827</v>
      </c>
      <c r="M93" s="27">
        <v>714852</v>
      </c>
      <c r="N93" s="28">
        <v>321692</v>
      </c>
      <c r="O93" s="26">
        <v>3171199</v>
      </c>
      <c r="P93" s="27">
        <v>59249</v>
      </c>
      <c r="Q93" s="27">
        <v>-92758</v>
      </c>
      <c r="R93" s="27">
        <v>580910</v>
      </c>
      <c r="S93" s="27">
        <v>2717449</v>
      </c>
      <c r="T93" s="28">
        <v>1964856</v>
      </c>
      <c r="U93" s="10">
        <v>7903</v>
      </c>
      <c r="V93" s="28">
        <v>68050970</v>
      </c>
      <c r="W93" s="28">
        <v>25040172</v>
      </c>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row>
    <row r="94" spans="1:57" x14ac:dyDescent="0.25">
      <c r="A94" s="44">
        <v>44743</v>
      </c>
      <c r="B94" s="25">
        <v>2022</v>
      </c>
      <c r="C94" s="26">
        <v>26862</v>
      </c>
      <c r="D94" s="29">
        <v>89918</v>
      </c>
      <c r="E94" s="29">
        <v>-41147</v>
      </c>
      <c r="F94" s="29">
        <v>30612</v>
      </c>
      <c r="G94" s="29">
        <v>0</v>
      </c>
      <c r="H94" s="28">
        <v>3591</v>
      </c>
      <c r="I94" s="26">
        <v>596198</v>
      </c>
      <c r="J94" s="27">
        <v>269696</v>
      </c>
      <c r="K94" s="27">
        <v>12391</v>
      </c>
      <c r="L94" s="27">
        <v>27811</v>
      </c>
      <c r="M94" s="27">
        <v>825692</v>
      </c>
      <c r="N94" s="28">
        <v>334083</v>
      </c>
      <c r="O94" s="26">
        <v>3633269</v>
      </c>
      <c r="P94" s="27">
        <v>94364</v>
      </c>
      <c r="Q94" s="27">
        <v>180935</v>
      </c>
      <c r="R94" s="27">
        <v>833760</v>
      </c>
      <c r="S94" s="27">
        <v>2721408</v>
      </c>
      <c r="T94" s="28">
        <v>2145791</v>
      </c>
      <c r="U94" s="10">
        <v>8259</v>
      </c>
      <c r="V94" s="28">
        <v>71959435</v>
      </c>
      <c r="W94" s="28">
        <v>26954958</v>
      </c>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row>
    <row r="95" spans="1:57" x14ac:dyDescent="0.25">
      <c r="A95" s="44">
        <v>44774</v>
      </c>
      <c r="B95" s="25">
        <v>2022</v>
      </c>
      <c r="C95" s="26">
        <v>28279</v>
      </c>
      <c r="D95" s="29">
        <v>109886</v>
      </c>
      <c r="E95" s="29">
        <v>18362</v>
      </c>
      <c r="F95" s="29">
        <v>30591</v>
      </c>
      <c r="G95" s="29">
        <v>0</v>
      </c>
      <c r="H95" s="28">
        <v>1947</v>
      </c>
      <c r="I95" s="26">
        <v>570305</v>
      </c>
      <c r="J95" s="27">
        <v>251199</v>
      </c>
      <c r="K95" s="27">
        <v>-11551</v>
      </c>
      <c r="L95" s="27">
        <v>36144</v>
      </c>
      <c r="M95" s="27">
        <v>796911</v>
      </c>
      <c r="N95" s="28">
        <v>322532</v>
      </c>
      <c r="O95" s="26">
        <v>3609624</v>
      </c>
      <c r="P95" s="27">
        <v>96521</v>
      </c>
      <c r="Q95" s="27">
        <v>33035</v>
      </c>
      <c r="R95" s="27">
        <v>883243</v>
      </c>
      <c r="S95" s="27">
        <v>2758356</v>
      </c>
      <c r="T95" s="28">
        <v>2178826</v>
      </c>
      <c r="U95" s="10">
        <v>30365</v>
      </c>
      <c r="V95" s="28">
        <v>81241984</v>
      </c>
      <c r="W95" s="28">
        <v>26935829</v>
      </c>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row>
    <row r="96" spans="1:57" x14ac:dyDescent="0.25">
      <c r="A96" s="44">
        <v>44805</v>
      </c>
      <c r="B96" s="25">
        <v>2022</v>
      </c>
      <c r="C96" s="26">
        <v>36601</v>
      </c>
      <c r="D96" s="29">
        <v>118559</v>
      </c>
      <c r="E96" s="29">
        <v>-52010</v>
      </c>
      <c r="F96" s="29">
        <v>30155</v>
      </c>
      <c r="G96" s="29">
        <v>0</v>
      </c>
      <c r="H96" s="28">
        <v>5049</v>
      </c>
      <c r="I96" s="26">
        <v>518209</v>
      </c>
      <c r="J96" s="27">
        <v>221764</v>
      </c>
      <c r="K96" s="27">
        <v>30929</v>
      </c>
      <c r="L96" s="27">
        <v>25839</v>
      </c>
      <c r="M96" s="27">
        <v>683205</v>
      </c>
      <c r="N96" s="28">
        <v>353461</v>
      </c>
      <c r="O96" s="26">
        <v>3375626</v>
      </c>
      <c r="P96" s="27">
        <v>43375</v>
      </c>
      <c r="Q96" s="27">
        <v>-88286</v>
      </c>
      <c r="R96" s="27">
        <v>686790</v>
      </c>
      <c r="S96" s="27">
        <v>2864540</v>
      </c>
      <c r="T96" s="28">
        <v>2090540</v>
      </c>
      <c r="U96" s="10">
        <v>23542</v>
      </c>
      <c r="V96" s="28">
        <v>89681622</v>
      </c>
      <c r="W96" s="28">
        <v>26552207</v>
      </c>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row>
    <row r="97" spans="1:57" x14ac:dyDescent="0.25">
      <c r="A97" s="44">
        <v>44835</v>
      </c>
      <c r="B97" s="25">
        <v>2022</v>
      </c>
      <c r="C97" s="26">
        <v>41883</v>
      </c>
      <c r="D97" s="29">
        <v>107510</v>
      </c>
      <c r="E97" s="29">
        <v>44180</v>
      </c>
      <c r="F97" s="29">
        <v>43595</v>
      </c>
      <c r="G97" s="29">
        <v>0</v>
      </c>
      <c r="H97" s="28">
        <v>5056</v>
      </c>
      <c r="I97" s="26">
        <v>426578</v>
      </c>
      <c r="J97" s="27">
        <v>272253</v>
      </c>
      <c r="K97" s="27">
        <v>-1362</v>
      </c>
      <c r="L97" s="27">
        <v>16518</v>
      </c>
      <c r="M97" s="27">
        <v>683675</v>
      </c>
      <c r="N97" s="28">
        <v>352099</v>
      </c>
      <c r="O97" s="26">
        <v>3323842</v>
      </c>
      <c r="P97" s="27">
        <v>71584</v>
      </c>
      <c r="Q97" s="27">
        <v>-32981</v>
      </c>
      <c r="R97" s="27">
        <v>622698</v>
      </c>
      <c r="S97" s="27">
        <v>2745126</v>
      </c>
      <c r="T97" s="28">
        <v>2057559</v>
      </c>
      <c r="U97" s="10">
        <v>12051</v>
      </c>
      <c r="V97" s="28">
        <v>88392393</v>
      </c>
      <c r="W97" s="28">
        <v>38385858</v>
      </c>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row>
    <row r="98" spans="1:57" x14ac:dyDescent="0.25">
      <c r="A98" s="44">
        <v>44866</v>
      </c>
      <c r="B98" s="25">
        <v>2022</v>
      </c>
      <c r="C98" s="26">
        <v>43833</v>
      </c>
      <c r="D98" s="29">
        <v>41832</v>
      </c>
      <c r="E98" s="29">
        <v>-11868</v>
      </c>
      <c r="F98" s="29">
        <v>45978</v>
      </c>
      <c r="G98" s="29">
        <v>0</v>
      </c>
      <c r="H98" s="28">
        <v>4342</v>
      </c>
      <c r="I98" s="26">
        <v>372743</v>
      </c>
      <c r="J98" s="27">
        <v>190115</v>
      </c>
      <c r="K98" s="27">
        <v>33665</v>
      </c>
      <c r="L98" s="27">
        <v>9684</v>
      </c>
      <c r="M98" s="27">
        <v>519509</v>
      </c>
      <c r="N98" s="28">
        <v>385764</v>
      </c>
      <c r="O98" s="26">
        <v>3331065</v>
      </c>
      <c r="P98" s="27">
        <v>42716</v>
      </c>
      <c r="Q98" s="27">
        <v>-92058</v>
      </c>
      <c r="R98" s="27">
        <v>606394</v>
      </c>
      <c r="S98" s="27">
        <v>2825858</v>
      </c>
      <c r="T98" s="28">
        <v>1965501</v>
      </c>
      <c r="U98" s="10">
        <v>12945</v>
      </c>
      <c r="V98" s="28">
        <v>25437529</v>
      </c>
      <c r="W98" s="28">
        <v>40485260</v>
      </c>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row>
    <row r="99" spans="1:57" x14ac:dyDescent="0.25">
      <c r="A99" s="44">
        <v>44896</v>
      </c>
      <c r="B99" s="25">
        <v>2022</v>
      </c>
      <c r="C99" s="26">
        <v>37743</v>
      </c>
      <c r="D99" s="29">
        <v>74906</v>
      </c>
      <c r="E99" s="29">
        <v>19448</v>
      </c>
      <c r="F99" s="29">
        <v>36833</v>
      </c>
      <c r="G99" s="29">
        <v>0</v>
      </c>
      <c r="H99" s="28">
        <v>5059</v>
      </c>
      <c r="I99" s="26">
        <v>365252</v>
      </c>
      <c r="J99" s="27">
        <v>353719</v>
      </c>
      <c r="K99" s="27">
        <v>-33255</v>
      </c>
      <c r="L99" s="27">
        <v>11784</v>
      </c>
      <c r="M99" s="27">
        <v>740442</v>
      </c>
      <c r="N99" s="28">
        <v>352509</v>
      </c>
      <c r="O99" s="26">
        <v>3713880</v>
      </c>
      <c r="P99" s="27">
        <v>194753</v>
      </c>
      <c r="Q99" s="27">
        <v>348606</v>
      </c>
      <c r="R99" s="27">
        <v>833714</v>
      </c>
      <c r="S99" s="27">
        <v>2668078</v>
      </c>
      <c r="T99" s="28">
        <v>2314107</v>
      </c>
      <c r="U99" s="10">
        <v>16894</v>
      </c>
      <c r="V99" s="28">
        <v>62311846</v>
      </c>
      <c r="W99" s="28">
        <v>32433363</v>
      </c>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row>
    <row r="100" spans="1:57" x14ac:dyDescent="0.25">
      <c r="A100" s="44">
        <v>44927</v>
      </c>
      <c r="B100" s="25">
        <v>2023</v>
      </c>
      <c r="C100" s="26">
        <v>36671</v>
      </c>
      <c r="D100" s="29">
        <v>13586</v>
      </c>
      <c r="E100" s="29">
        <v>-23765</v>
      </c>
      <c r="F100" s="29">
        <v>38550</v>
      </c>
      <c r="G100" s="29">
        <v>0</v>
      </c>
      <c r="H100" s="28">
        <v>4924</v>
      </c>
      <c r="I100" s="26">
        <v>451108</v>
      </c>
      <c r="J100" s="27">
        <v>258324</v>
      </c>
      <c r="K100" s="27">
        <v>53668</v>
      </c>
      <c r="L100" s="27">
        <v>16664</v>
      </c>
      <c r="M100" s="27">
        <v>639100</v>
      </c>
      <c r="N100" s="28">
        <v>406177</v>
      </c>
      <c r="O100" s="26">
        <v>3752288</v>
      </c>
      <c r="P100" s="27">
        <v>104213</v>
      </c>
      <c r="Q100" s="27">
        <v>368256</v>
      </c>
      <c r="R100" s="27">
        <v>947595</v>
      </c>
      <c r="S100" s="27">
        <v>2543133</v>
      </c>
      <c r="T100" s="28">
        <v>2681256</v>
      </c>
      <c r="U100" s="10">
        <v>1314</v>
      </c>
      <c r="V100" s="28">
        <v>10810404</v>
      </c>
      <c r="W100" s="28">
        <v>33944240</v>
      </c>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row>
    <row r="101" spans="1:57" x14ac:dyDescent="0.25">
      <c r="A101" s="44">
        <v>44958</v>
      </c>
      <c r="B101" s="25">
        <v>2023</v>
      </c>
      <c r="C101" s="26">
        <v>37187</v>
      </c>
      <c r="D101" s="29">
        <v>18601</v>
      </c>
      <c r="E101" s="29">
        <v>-27027</v>
      </c>
      <c r="F101" s="29">
        <v>40057</v>
      </c>
      <c r="G101" s="29">
        <v>0</v>
      </c>
      <c r="H101" s="28">
        <v>4246</v>
      </c>
      <c r="I101" s="26">
        <v>396703</v>
      </c>
      <c r="J101" s="27">
        <v>146035</v>
      </c>
      <c r="K101" s="27">
        <v>-2309</v>
      </c>
      <c r="L101" s="27">
        <v>25103</v>
      </c>
      <c r="M101" s="27">
        <v>519944</v>
      </c>
      <c r="N101" s="28">
        <v>403868</v>
      </c>
      <c r="O101" s="26">
        <v>3218085</v>
      </c>
      <c r="P101" s="27">
        <v>118358</v>
      </c>
      <c r="Q101" s="27">
        <v>-139023</v>
      </c>
      <c r="R101" s="27">
        <v>864983</v>
      </c>
      <c r="S101" s="27">
        <v>2599537</v>
      </c>
      <c r="T101" s="28">
        <v>2542233</v>
      </c>
      <c r="U101" s="10">
        <v>29200</v>
      </c>
      <c r="V101" s="28">
        <v>16379243</v>
      </c>
      <c r="W101" s="28">
        <v>35271111</v>
      </c>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row>
    <row r="102" spans="1:57" x14ac:dyDescent="0.25">
      <c r="A102" s="44">
        <v>44986</v>
      </c>
      <c r="B102" s="25">
        <v>2023</v>
      </c>
      <c r="C102" s="26">
        <v>42832</v>
      </c>
      <c r="D102" s="29">
        <v>48329</v>
      </c>
      <c r="E102" s="29">
        <v>40307</v>
      </c>
      <c r="F102" s="29">
        <v>46187</v>
      </c>
      <c r="G102" s="29">
        <v>0</v>
      </c>
      <c r="H102" s="28">
        <v>6156</v>
      </c>
      <c r="I102" s="26">
        <v>476788</v>
      </c>
      <c r="J102" s="27">
        <v>259463</v>
      </c>
      <c r="K102" s="27">
        <v>-3281</v>
      </c>
      <c r="L102" s="27">
        <v>52446</v>
      </c>
      <c r="M102" s="27">
        <v>687086</v>
      </c>
      <c r="N102" s="28">
        <v>400587</v>
      </c>
      <c r="O102" s="26">
        <v>3695009</v>
      </c>
      <c r="P102" s="27">
        <v>66015</v>
      </c>
      <c r="Q102" s="27">
        <v>24569</v>
      </c>
      <c r="R102" s="27">
        <v>816238</v>
      </c>
      <c r="S102" s="27">
        <v>2857362</v>
      </c>
      <c r="T102" s="28">
        <v>2566802</v>
      </c>
      <c r="U102" s="10">
        <v>12893</v>
      </c>
      <c r="V102" s="28">
        <v>31946762</v>
      </c>
      <c r="W102" s="28">
        <v>40770256</v>
      </c>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row>
    <row r="103" spans="1:57" x14ac:dyDescent="0.25">
      <c r="A103" s="44">
        <v>45017</v>
      </c>
      <c r="B103" s="25">
        <v>2023</v>
      </c>
      <c r="C103" s="26">
        <v>34504</v>
      </c>
      <c r="D103" s="29">
        <v>175311</v>
      </c>
      <c r="E103" s="29">
        <v>6308</v>
      </c>
      <c r="F103" s="29">
        <v>39073</v>
      </c>
      <c r="G103" s="29">
        <v>0</v>
      </c>
      <c r="H103" s="28">
        <v>5166</v>
      </c>
      <c r="I103" s="26">
        <v>590987</v>
      </c>
      <c r="J103" s="27">
        <v>103382</v>
      </c>
      <c r="K103" s="27">
        <v>16912</v>
      </c>
      <c r="L103" s="27">
        <v>46211</v>
      </c>
      <c r="M103" s="27">
        <v>631246</v>
      </c>
      <c r="N103" s="28">
        <v>417499</v>
      </c>
      <c r="O103" s="26">
        <v>3108028</v>
      </c>
      <c r="P103" s="27">
        <v>20124</v>
      </c>
      <c r="Q103" s="27">
        <v>91643</v>
      </c>
      <c r="R103" s="27">
        <v>817669</v>
      </c>
      <c r="S103" s="27">
        <v>2254217</v>
      </c>
      <c r="T103" s="28">
        <v>2658445</v>
      </c>
      <c r="U103" s="10">
        <v>25954</v>
      </c>
      <c r="V103" s="28">
        <v>132263756</v>
      </c>
      <c r="W103" s="28">
        <v>34406028</v>
      </c>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row>
    <row r="104" spans="1:57" x14ac:dyDescent="0.25">
      <c r="A104" s="44">
        <v>45047</v>
      </c>
      <c r="B104" s="25">
        <v>2023</v>
      </c>
      <c r="C104" s="26">
        <v>42519</v>
      </c>
      <c r="D104" s="29">
        <v>145528</v>
      </c>
      <c r="E104" s="29">
        <v>16639</v>
      </c>
      <c r="F104" s="29">
        <v>42268</v>
      </c>
      <c r="G104" s="29">
        <v>0</v>
      </c>
      <c r="H104" s="28">
        <v>5581</v>
      </c>
      <c r="I104" s="26">
        <v>629306</v>
      </c>
      <c r="J104" s="27">
        <v>156427</v>
      </c>
      <c r="K104" s="27">
        <v>33038</v>
      </c>
      <c r="L104" s="27">
        <v>66800</v>
      </c>
      <c r="M104" s="27">
        <v>685895</v>
      </c>
      <c r="N104" s="28">
        <v>450537</v>
      </c>
      <c r="O104" s="26">
        <v>3241058</v>
      </c>
      <c r="P104" s="27">
        <v>91601</v>
      </c>
      <c r="Q104" s="27">
        <v>-467846</v>
      </c>
      <c r="R104" s="27">
        <v>907741</v>
      </c>
      <c r="S104" s="27">
        <v>2875820</v>
      </c>
      <c r="T104" s="28">
        <v>2190599</v>
      </c>
      <c r="U104" s="10">
        <v>41327</v>
      </c>
      <c r="V104" s="28">
        <v>103060882</v>
      </c>
      <c r="W104" s="28">
        <v>37218445</v>
      </c>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row>
    <row r="105" spans="1:57" x14ac:dyDescent="0.25">
      <c r="A105" s="44">
        <v>45078</v>
      </c>
      <c r="B105" s="25">
        <v>2023</v>
      </c>
      <c r="C105" s="26">
        <v>47622</v>
      </c>
      <c r="D105" s="29">
        <v>179279</v>
      </c>
      <c r="E105" s="29">
        <v>-35485</v>
      </c>
      <c r="F105" s="29">
        <v>47666</v>
      </c>
      <c r="G105" s="29">
        <v>0</v>
      </c>
      <c r="H105" s="28">
        <v>6691</v>
      </c>
      <c r="I105" s="26">
        <v>594299</v>
      </c>
      <c r="J105" s="27">
        <v>133893</v>
      </c>
      <c r="K105" s="27">
        <v>-58734</v>
      </c>
      <c r="L105" s="27">
        <v>19337</v>
      </c>
      <c r="M105" s="27">
        <v>767589</v>
      </c>
      <c r="N105" s="28">
        <v>391803</v>
      </c>
      <c r="O105" s="26">
        <v>3189171</v>
      </c>
      <c r="P105" s="27">
        <v>17377</v>
      </c>
      <c r="Q105" s="27">
        <v>25697</v>
      </c>
      <c r="R105" s="27">
        <v>722880</v>
      </c>
      <c r="S105" s="27">
        <v>2550350</v>
      </c>
      <c r="T105" s="28">
        <v>2216296</v>
      </c>
      <c r="U105" s="10">
        <v>40647</v>
      </c>
      <c r="V105" s="28">
        <v>122072334</v>
      </c>
      <c r="W105" s="28">
        <v>41970925</v>
      </c>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row>
    <row r="106" spans="1:57" x14ac:dyDescent="0.25">
      <c r="A106" s="44">
        <v>45108</v>
      </c>
      <c r="B106" s="25">
        <v>2023</v>
      </c>
      <c r="C106" s="26">
        <v>46154</v>
      </c>
      <c r="D106" s="29">
        <v>132657</v>
      </c>
      <c r="E106" s="29">
        <v>37856</v>
      </c>
      <c r="F106" s="29">
        <v>50219</v>
      </c>
      <c r="G106" s="29">
        <v>0</v>
      </c>
      <c r="H106" s="28">
        <v>5498</v>
      </c>
      <c r="I106" s="26">
        <v>662865</v>
      </c>
      <c r="J106" s="27">
        <v>219882</v>
      </c>
      <c r="K106" s="27">
        <v>24861</v>
      </c>
      <c r="L106" s="27">
        <v>55358</v>
      </c>
      <c r="M106" s="27">
        <v>802528</v>
      </c>
      <c r="N106" s="28">
        <v>416664</v>
      </c>
      <c r="O106" s="26">
        <v>3448396</v>
      </c>
      <c r="P106" s="27">
        <v>138348</v>
      </c>
      <c r="Q106" s="27">
        <v>190788</v>
      </c>
      <c r="R106" s="27">
        <v>727120</v>
      </c>
      <c r="S106" s="27">
        <v>2621166</v>
      </c>
      <c r="T106" s="28">
        <v>2407084</v>
      </c>
      <c r="U106" s="10">
        <v>49837</v>
      </c>
      <c r="V106" s="28">
        <v>91154549</v>
      </c>
      <c r="W106" s="28">
        <v>44219158</v>
      </c>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row>
    <row r="107" spans="1:57" x14ac:dyDescent="0.25">
      <c r="A107" s="44">
        <v>45139</v>
      </c>
      <c r="B107" s="25">
        <v>2023</v>
      </c>
      <c r="C107" s="26">
        <v>41597</v>
      </c>
      <c r="D107" s="29">
        <v>120380</v>
      </c>
      <c r="E107" s="29">
        <v>-46279</v>
      </c>
      <c r="F107" s="29">
        <v>47983</v>
      </c>
      <c r="G107" s="29">
        <v>0</v>
      </c>
      <c r="H107" s="28">
        <v>2559</v>
      </c>
      <c r="I107" s="26">
        <v>679556</v>
      </c>
      <c r="J107" s="27">
        <v>308854</v>
      </c>
      <c r="K107" s="27">
        <v>44439</v>
      </c>
      <c r="L107" s="27">
        <v>32665</v>
      </c>
      <c r="M107" s="27">
        <v>911306</v>
      </c>
      <c r="N107" s="28">
        <v>461103</v>
      </c>
      <c r="O107" s="26">
        <v>3375937</v>
      </c>
      <c r="P107" s="27">
        <v>111271</v>
      </c>
      <c r="Q107" s="27">
        <v>58009</v>
      </c>
      <c r="R107" s="27">
        <v>743815</v>
      </c>
      <c r="S107" s="27">
        <v>2717286</v>
      </c>
      <c r="T107" s="28">
        <v>2465093</v>
      </c>
      <c r="U107" s="10">
        <v>30791</v>
      </c>
      <c r="V107" s="28">
        <v>78888653</v>
      </c>
      <c r="W107" s="28">
        <v>42251292</v>
      </c>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row>
    <row r="108" spans="1:57" x14ac:dyDescent="0.25">
      <c r="A108" s="44">
        <v>45170</v>
      </c>
      <c r="B108" s="25">
        <v>2023</v>
      </c>
      <c r="C108" s="26">
        <v>38275</v>
      </c>
      <c r="D108" s="29">
        <v>107318</v>
      </c>
      <c r="E108" s="29">
        <v>1209</v>
      </c>
      <c r="F108" s="29">
        <v>33458</v>
      </c>
      <c r="G108" s="29">
        <v>0</v>
      </c>
      <c r="H108" s="28">
        <v>5161</v>
      </c>
      <c r="I108" s="26">
        <v>533750</v>
      </c>
      <c r="J108" s="27">
        <v>245936</v>
      </c>
      <c r="K108" s="27">
        <v>-29613</v>
      </c>
      <c r="L108" s="27">
        <v>22835</v>
      </c>
      <c r="M108" s="27">
        <v>786464</v>
      </c>
      <c r="N108" s="28">
        <v>427921</v>
      </c>
      <c r="O108" s="26">
        <v>3114571</v>
      </c>
      <c r="P108" s="27">
        <v>79605</v>
      </c>
      <c r="Q108" s="27">
        <v>-152511</v>
      </c>
      <c r="R108" s="27">
        <v>533813</v>
      </c>
      <c r="S108" s="27">
        <v>2821372</v>
      </c>
      <c r="T108" s="28">
        <v>2312582</v>
      </c>
      <c r="U108" s="10">
        <v>64778</v>
      </c>
      <c r="V108" s="28">
        <v>55656155</v>
      </c>
      <c r="W108" s="28">
        <v>29459762</v>
      </c>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row>
    <row r="109" spans="1:57" x14ac:dyDescent="0.25">
      <c r="A109" s="44">
        <v>45200</v>
      </c>
      <c r="B109" s="25">
        <v>2023</v>
      </c>
      <c r="C109" s="26">
        <v>40733</v>
      </c>
      <c r="D109" s="29">
        <v>82378</v>
      </c>
      <c r="E109" s="29">
        <v>-6967</v>
      </c>
      <c r="F109" s="29">
        <v>45162</v>
      </c>
      <c r="G109" s="29">
        <v>0</v>
      </c>
      <c r="H109" s="28">
        <v>4046</v>
      </c>
      <c r="I109" s="26">
        <v>308787</v>
      </c>
      <c r="J109" s="27">
        <v>301824</v>
      </c>
      <c r="K109" s="27">
        <v>-2401</v>
      </c>
      <c r="L109" s="27">
        <v>14963</v>
      </c>
      <c r="M109" s="27">
        <v>598049</v>
      </c>
      <c r="N109" s="28">
        <v>425520</v>
      </c>
      <c r="O109" s="26">
        <v>3210725</v>
      </c>
      <c r="P109" s="27">
        <v>80930</v>
      </c>
      <c r="Q109" s="27">
        <v>-157047</v>
      </c>
      <c r="R109" s="27">
        <v>586161</v>
      </c>
      <c r="S109" s="27">
        <v>2845094</v>
      </c>
      <c r="T109" s="28">
        <v>2155535</v>
      </c>
      <c r="U109" s="10">
        <v>15787</v>
      </c>
      <c r="V109" s="28">
        <v>58635832</v>
      </c>
      <c r="W109" s="28">
        <v>39765930</v>
      </c>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row>
    <row r="110" spans="1:57" x14ac:dyDescent="0.25">
      <c r="A110" s="44">
        <v>45231</v>
      </c>
      <c r="B110" s="25">
        <v>2023</v>
      </c>
      <c r="C110" s="26">
        <v>53396</v>
      </c>
      <c r="D110" s="29">
        <v>99136</v>
      </c>
      <c r="E110" s="29">
        <v>58277</v>
      </c>
      <c r="F110" s="29">
        <v>41602</v>
      </c>
      <c r="G110" s="29">
        <v>0</v>
      </c>
      <c r="H110" s="28">
        <v>10385</v>
      </c>
      <c r="I110" s="26">
        <v>371443</v>
      </c>
      <c r="J110" s="27">
        <v>286956</v>
      </c>
      <c r="K110" s="27">
        <v>5009</v>
      </c>
      <c r="L110" s="27">
        <v>32130</v>
      </c>
      <c r="M110" s="27">
        <v>621260</v>
      </c>
      <c r="N110" s="28">
        <v>430529</v>
      </c>
      <c r="O110" s="26">
        <v>3488591</v>
      </c>
      <c r="P110" s="27">
        <v>85632</v>
      </c>
      <c r="Q110" s="27">
        <v>16486</v>
      </c>
      <c r="R110" s="27">
        <v>690565</v>
      </c>
      <c r="S110" s="27">
        <v>2857522</v>
      </c>
      <c r="T110" s="28">
        <v>2172021</v>
      </c>
      <c r="U110" s="10">
        <v>62699</v>
      </c>
      <c r="V110" s="28">
        <v>43351258</v>
      </c>
      <c r="W110" s="28">
        <v>36631610</v>
      </c>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row>
    <row r="111" spans="1:57" x14ac:dyDescent="0.25">
      <c r="A111" s="44">
        <v>45261</v>
      </c>
      <c r="B111" s="25">
        <v>2023</v>
      </c>
      <c r="C111" s="26">
        <v>46616</v>
      </c>
      <c r="D111" s="29">
        <v>99936</v>
      </c>
      <c r="E111" s="29">
        <v>26344</v>
      </c>
      <c r="F111" s="29">
        <v>45569</v>
      </c>
      <c r="G111" s="29">
        <v>0</v>
      </c>
      <c r="H111" s="28">
        <v>11139</v>
      </c>
      <c r="I111" s="26">
        <v>479842</v>
      </c>
      <c r="J111" s="27">
        <v>259285</v>
      </c>
      <c r="K111" s="27">
        <v>-30574</v>
      </c>
      <c r="L111" s="27">
        <v>41347</v>
      </c>
      <c r="M111" s="27">
        <v>728354</v>
      </c>
      <c r="N111" s="28">
        <v>399948</v>
      </c>
      <c r="O111" s="26">
        <v>3899436</v>
      </c>
      <c r="P111" s="27">
        <v>12707</v>
      </c>
      <c r="Q111" s="27">
        <v>326961</v>
      </c>
      <c r="R111" s="27">
        <v>989409</v>
      </c>
      <c r="S111" s="27">
        <v>2596118</v>
      </c>
      <c r="T111" s="28">
        <v>2539918</v>
      </c>
      <c r="U111" s="10">
        <v>43542</v>
      </c>
      <c r="V111" s="28">
        <v>49658362</v>
      </c>
      <c r="W111" s="28">
        <v>40124789</v>
      </c>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row>
    <row r="112" spans="1:57" x14ac:dyDescent="0.25">
      <c r="A112" s="44">
        <v>45292</v>
      </c>
      <c r="B112" s="25">
        <f>YEAR(A112)</f>
        <v>2024</v>
      </c>
      <c r="C112" s="26">
        <v>44804</v>
      </c>
      <c r="D112" s="29">
        <v>82831</v>
      </c>
      <c r="E112" s="29">
        <v>-32852</v>
      </c>
      <c r="F112" s="29">
        <v>41031</v>
      </c>
      <c r="G112" s="29">
        <v>0</v>
      </c>
      <c r="H112" s="28">
        <v>11831</v>
      </c>
      <c r="I112" s="26">
        <v>413689</v>
      </c>
      <c r="J112" s="27">
        <v>337773</v>
      </c>
      <c r="K112" s="27">
        <v>-20620</v>
      </c>
      <c r="L112" s="27">
        <v>21778</v>
      </c>
      <c r="M112" s="27">
        <v>750304</v>
      </c>
      <c r="N112" s="28">
        <v>379328</v>
      </c>
      <c r="O112" s="26">
        <v>3471071</v>
      </c>
      <c r="P112" s="27">
        <v>56400</v>
      </c>
      <c r="Q112" s="27">
        <v>-62044</v>
      </c>
      <c r="R112" s="27">
        <v>1159389</v>
      </c>
      <c r="S112" s="27">
        <v>2475754</v>
      </c>
      <c r="T112" s="28">
        <v>2477874</v>
      </c>
      <c r="U112" s="10">
        <v>81686</v>
      </c>
      <c r="V112" s="28">
        <v>12212335</v>
      </c>
      <c r="W112" s="28">
        <v>36076361</v>
      </c>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row>
    <row r="113" spans="1:57" x14ac:dyDescent="0.25">
      <c r="A113" s="44">
        <v>45323</v>
      </c>
      <c r="B113" s="25">
        <f>YEAR(A113)</f>
        <v>2024</v>
      </c>
      <c r="C113" s="26">
        <v>64489</v>
      </c>
      <c r="D113" s="29">
        <v>82275</v>
      </c>
      <c r="E113" s="29">
        <v>25251</v>
      </c>
      <c r="F113" s="29">
        <v>41100</v>
      </c>
      <c r="G113" s="29">
        <v>0</v>
      </c>
      <c r="H113" s="28">
        <v>27239</v>
      </c>
      <c r="I113" s="26">
        <v>433268</v>
      </c>
      <c r="J113" s="27">
        <v>276162</v>
      </c>
      <c r="K113" s="27">
        <v>12022</v>
      </c>
      <c r="L113" s="27">
        <v>39886</v>
      </c>
      <c r="M113" s="27">
        <v>657522</v>
      </c>
      <c r="N113" s="28">
        <v>391350</v>
      </c>
      <c r="O113" s="26">
        <v>3474058</v>
      </c>
      <c r="P113" s="27">
        <v>63960</v>
      </c>
      <c r="Q113" s="27">
        <v>45266</v>
      </c>
      <c r="R113" s="27">
        <v>1004488</v>
      </c>
      <c r="S113" s="27">
        <v>2483829</v>
      </c>
      <c r="T113" s="28">
        <v>2527322</v>
      </c>
      <c r="U113" s="10">
        <v>68813</v>
      </c>
      <c r="V113" s="28">
        <v>25853167</v>
      </c>
      <c r="W113" s="28">
        <v>36189489</v>
      </c>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row>
    <row r="114" spans="1:57" x14ac:dyDescent="0.25">
      <c r="A114" s="44">
        <v>45352</v>
      </c>
      <c r="B114" s="25">
        <f t="shared" ref="B114:B135" si="0">YEAR(A114)</f>
        <v>2024</v>
      </c>
      <c r="C114" s="26">
        <v>110724</v>
      </c>
      <c r="D114" s="29">
        <v>149752</v>
      </c>
      <c r="E114" s="29">
        <v>12409</v>
      </c>
      <c r="F114" s="29">
        <v>42638</v>
      </c>
      <c r="G114" s="29">
        <v>0</v>
      </c>
      <c r="H114" s="28">
        <v>30164</v>
      </c>
      <c r="I114" s="26">
        <v>470199</v>
      </c>
      <c r="J114" s="27">
        <v>209964</v>
      </c>
      <c r="K114" s="27">
        <v>11873</v>
      </c>
      <c r="L114" s="27">
        <v>48667</v>
      </c>
      <c r="M114" s="27">
        <v>619623</v>
      </c>
      <c r="N114" s="28">
        <v>403223</v>
      </c>
      <c r="O114" s="26">
        <v>3662168</v>
      </c>
      <c r="P114" s="27">
        <v>48306</v>
      </c>
      <c r="Q114" s="27">
        <v>84222</v>
      </c>
      <c r="R114" s="27">
        <v>1099591</v>
      </c>
      <c r="S114" s="27">
        <v>2619639</v>
      </c>
      <c r="T114" s="28">
        <v>2609928</v>
      </c>
      <c r="U114" s="10">
        <v>87600</v>
      </c>
      <c r="V114" s="28">
        <v>74413661</v>
      </c>
      <c r="W114" s="28">
        <v>37544410</v>
      </c>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row>
    <row r="115" spans="1:57" x14ac:dyDescent="0.25">
      <c r="A115" s="44">
        <v>45383</v>
      </c>
      <c r="B115" s="25">
        <f t="shared" si="0"/>
        <v>2024</v>
      </c>
      <c r="C115" s="26">
        <v>92393</v>
      </c>
      <c r="D115" s="29">
        <v>138790</v>
      </c>
      <c r="E115" s="29">
        <v>-513</v>
      </c>
      <c r="F115" s="29">
        <v>43314</v>
      </c>
      <c r="G115" s="29">
        <v>0</v>
      </c>
      <c r="H115" s="28">
        <v>65531</v>
      </c>
      <c r="I115" s="26">
        <v>409873</v>
      </c>
      <c r="J115" s="27">
        <v>359124</v>
      </c>
      <c r="K115" s="27">
        <v>16125</v>
      </c>
      <c r="L115" s="27">
        <v>24041</v>
      </c>
      <c r="M115" s="27">
        <v>728831</v>
      </c>
      <c r="N115" s="28">
        <v>419348</v>
      </c>
      <c r="O115" s="26">
        <v>2731671</v>
      </c>
      <c r="P115" s="27">
        <v>48474</v>
      </c>
      <c r="Q115" s="27">
        <v>-319076</v>
      </c>
      <c r="R115" s="27">
        <v>709631</v>
      </c>
      <c r="S115" s="27">
        <v>2436735</v>
      </c>
      <c r="T115" s="28">
        <v>2292435</v>
      </c>
      <c r="U115" s="10">
        <v>83096</v>
      </c>
      <c r="V115" s="28">
        <v>54441097</v>
      </c>
      <c r="W115" s="28">
        <v>38139108</v>
      </c>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row>
    <row r="116" spans="1:57" x14ac:dyDescent="0.25">
      <c r="A116" s="44">
        <v>45413</v>
      </c>
      <c r="B116" s="25">
        <f t="shared" si="0"/>
        <v>2024</v>
      </c>
      <c r="C116" s="26">
        <v>98861</v>
      </c>
      <c r="D116" s="29">
        <v>208103</v>
      </c>
      <c r="E116" s="29">
        <v>44174</v>
      </c>
      <c r="F116" s="29">
        <v>35114</v>
      </c>
      <c r="G116" s="29">
        <v>0</v>
      </c>
      <c r="H116" s="28">
        <v>62269</v>
      </c>
      <c r="I116" s="26">
        <v>572197</v>
      </c>
      <c r="J116" s="27">
        <v>104655</v>
      </c>
      <c r="K116" s="27">
        <v>-81362</v>
      </c>
      <c r="L116" s="27">
        <v>33341</v>
      </c>
      <c r="M116" s="27">
        <v>724873</v>
      </c>
      <c r="N116" s="28">
        <v>337986</v>
      </c>
      <c r="O116" s="26">
        <v>3131473</v>
      </c>
      <c r="P116" s="27">
        <v>61752</v>
      </c>
      <c r="Q116" s="27">
        <v>-222571</v>
      </c>
      <c r="R116" s="27">
        <v>829680</v>
      </c>
      <c r="S116" s="27">
        <v>2716229</v>
      </c>
      <c r="T116" s="28">
        <v>2069864</v>
      </c>
      <c r="U116" s="10">
        <v>158098</v>
      </c>
      <c r="V116" s="28">
        <v>81022949</v>
      </c>
      <c r="W116" s="28">
        <v>30918729</v>
      </c>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row>
    <row r="117" spans="1:57" x14ac:dyDescent="0.25">
      <c r="A117" s="44">
        <v>45444</v>
      </c>
      <c r="B117" s="25">
        <f t="shared" si="0"/>
        <v>2024</v>
      </c>
      <c r="C117" s="26">
        <v>131945</v>
      </c>
      <c r="D117" s="29">
        <v>158677</v>
      </c>
      <c r="E117" s="29">
        <v>-38683</v>
      </c>
      <c r="F117" s="29">
        <v>42182</v>
      </c>
      <c r="G117" s="29">
        <v>0</v>
      </c>
      <c r="H117" s="28">
        <v>47797</v>
      </c>
      <c r="I117" s="26">
        <v>710849</v>
      </c>
      <c r="J117" s="27">
        <v>317392</v>
      </c>
      <c r="K117" s="27">
        <v>51750</v>
      </c>
      <c r="L117" s="27">
        <v>29037</v>
      </c>
      <c r="M117" s="27">
        <v>947454</v>
      </c>
      <c r="N117" s="28">
        <v>400478</v>
      </c>
      <c r="O117" s="26">
        <v>3351151</v>
      </c>
      <c r="P117" s="27">
        <v>64053</v>
      </c>
      <c r="Q117" s="27">
        <v>152406</v>
      </c>
      <c r="R117" s="27">
        <v>682503</v>
      </c>
      <c r="S117" s="27">
        <v>2772098</v>
      </c>
      <c r="T117" s="28">
        <v>2294684</v>
      </c>
      <c r="U117" s="10">
        <v>105038</v>
      </c>
      <c r="V117" s="28">
        <v>66225500</v>
      </c>
      <c r="W117" s="28">
        <v>37141913</v>
      </c>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row>
    <row r="118" spans="1:57" x14ac:dyDescent="0.25">
      <c r="A118" s="44">
        <v>45474</v>
      </c>
      <c r="B118" s="25">
        <f t="shared" si="0"/>
        <v>2024</v>
      </c>
      <c r="C118" s="26">
        <v>106971</v>
      </c>
      <c r="D118" s="29">
        <v>182868</v>
      </c>
      <c r="E118" s="29">
        <v>2947</v>
      </c>
      <c r="F118" s="29">
        <v>48086</v>
      </c>
      <c r="G118" s="29">
        <v>0</v>
      </c>
      <c r="H118" s="28">
        <v>43412</v>
      </c>
      <c r="I118" s="26">
        <v>720367</v>
      </c>
      <c r="J118" s="27">
        <v>101883</v>
      </c>
      <c r="K118" s="27">
        <v>70300</v>
      </c>
      <c r="L118" s="27">
        <v>35914</v>
      </c>
      <c r="M118" s="27">
        <v>716036</v>
      </c>
      <c r="N118" s="28">
        <v>470778</v>
      </c>
      <c r="O118" s="26">
        <v>3609491</v>
      </c>
      <c r="P118" s="27">
        <v>98114</v>
      </c>
      <c r="Q118" s="27">
        <v>96928</v>
      </c>
      <c r="R118" s="27">
        <v>754468</v>
      </c>
      <c r="S118" s="27">
        <v>2987597</v>
      </c>
      <c r="T118" s="28">
        <v>2391612</v>
      </c>
      <c r="U118" s="10">
        <v>125737</v>
      </c>
      <c r="V118" s="28">
        <v>83318635</v>
      </c>
      <c r="W118" s="28">
        <v>42340596</v>
      </c>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row>
    <row r="119" spans="1:57" x14ac:dyDescent="0.25">
      <c r="A119" s="44">
        <v>45505</v>
      </c>
      <c r="B119" s="25">
        <f t="shared" si="0"/>
        <v>2024</v>
      </c>
      <c r="C119" s="26">
        <v>91506</v>
      </c>
      <c r="D119" s="29">
        <v>146368</v>
      </c>
      <c r="E119" s="29">
        <v>7897</v>
      </c>
      <c r="F119" s="29">
        <v>33441</v>
      </c>
      <c r="G119" s="29">
        <v>0</v>
      </c>
      <c r="H119" s="28">
        <v>61179</v>
      </c>
      <c r="I119" s="26">
        <v>705123</v>
      </c>
      <c r="J119" s="27">
        <v>250334</v>
      </c>
      <c r="K119" s="27">
        <v>-15433</v>
      </c>
      <c r="L119" s="27">
        <v>45978</v>
      </c>
      <c r="M119" s="27">
        <v>924912</v>
      </c>
      <c r="N119" s="28">
        <v>455345</v>
      </c>
      <c r="O119" s="26">
        <v>3502362</v>
      </c>
      <c r="P119" s="27">
        <v>75918</v>
      </c>
      <c r="Q119" s="27">
        <v>-132135</v>
      </c>
      <c r="R119" s="27">
        <v>825200</v>
      </c>
      <c r="S119" s="27">
        <v>2981898</v>
      </c>
      <c r="T119" s="28">
        <v>2259477</v>
      </c>
      <c r="U119" s="10">
        <v>75144</v>
      </c>
      <c r="V119" s="28">
        <v>84696133</v>
      </c>
      <c r="W119" s="28">
        <v>29446861</v>
      </c>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row>
    <row r="120" spans="1:57" x14ac:dyDescent="0.25">
      <c r="A120" s="44">
        <v>45536</v>
      </c>
      <c r="B120" s="25">
        <f t="shared" si="0"/>
        <v>2024</v>
      </c>
      <c r="C120" s="26">
        <v>105925</v>
      </c>
      <c r="D120" s="29">
        <v>145600</v>
      </c>
      <c r="E120" s="29">
        <v>-63204</v>
      </c>
      <c r="F120" s="29">
        <v>39847</v>
      </c>
      <c r="G120" s="29">
        <v>0</v>
      </c>
      <c r="H120" s="28">
        <v>28641</v>
      </c>
      <c r="I120" s="26">
        <v>522278</v>
      </c>
      <c r="J120" s="27">
        <v>142369</v>
      </c>
      <c r="K120" s="27">
        <v>-73115</v>
      </c>
      <c r="L120" s="27">
        <v>25508</v>
      </c>
      <c r="M120" s="27">
        <v>716813</v>
      </c>
      <c r="N120" s="28">
        <v>380650</v>
      </c>
      <c r="O120" s="26">
        <v>3378885</v>
      </c>
      <c r="P120" s="27">
        <v>97285</v>
      </c>
      <c r="Q120" s="27">
        <v>-69638</v>
      </c>
      <c r="R120" s="27">
        <v>947616</v>
      </c>
      <c r="S120" s="27">
        <v>2790141</v>
      </c>
      <c r="T120" s="28">
        <v>2176285</v>
      </c>
      <c r="U120" s="10">
        <v>111258</v>
      </c>
      <c r="V120" s="28">
        <v>62456814</v>
      </c>
      <c r="W120" s="28">
        <v>35085431</v>
      </c>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row>
    <row r="121" spans="1:57" x14ac:dyDescent="0.25">
      <c r="A121" s="44">
        <v>45566</v>
      </c>
      <c r="B121" s="25">
        <f t="shared" si="0"/>
        <v>2024</v>
      </c>
      <c r="C121" s="26">
        <v>68160</v>
      </c>
      <c r="D121" s="29">
        <v>34865</v>
      </c>
      <c r="E121" s="29">
        <v>38573</v>
      </c>
      <c r="F121" s="29">
        <v>45616</v>
      </c>
      <c r="G121" s="29">
        <v>0</v>
      </c>
      <c r="H121" s="28">
        <v>36752</v>
      </c>
      <c r="I121" s="26">
        <v>533191</v>
      </c>
      <c r="J121" s="27">
        <v>189946</v>
      </c>
      <c r="K121" s="27">
        <v>70382</v>
      </c>
      <c r="L121" s="27">
        <v>30416</v>
      </c>
      <c r="M121" s="27">
        <v>622339</v>
      </c>
      <c r="N121" s="28">
        <v>451032</v>
      </c>
      <c r="O121" s="26">
        <v>3659808</v>
      </c>
      <c r="P121" s="27">
        <v>109354</v>
      </c>
      <c r="Q121" s="27">
        <v>-131307</v>
      </c>
      <c r="R121" s="27">
        <v>881977</v>
      </c>
      <c r="S121" s="27">
        <v>3027616</v>
      </c>
      <c r="T121" s="28">
        <v>2044978</v>
      </c>
      <c r="U121" s="10">
        <v>94356</v>
      </c>
      <c r="V121" s="28">
        <v>13144355</v>
      </c>
      <c r="W121" s="28">
        <v>40165683</v>
      </c>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row>
    <row r="122" spans="1:57" x14ac:dyDescent="0.25">
      <c r="A122" s="44">
        <v>45597</v>
      </c>
      <c r="B122" s="25">
        <f t="shared" si="0"/>
        <v>2024</v>
      </c>
      <c r="C122" s="26">
        <v>94078</v>
      </c>
      <c r="D122" s="29">
        <v>21237</v>
      </c>
      <c r="E122" s="29">
        <v>-17734</v>
      </c>
      <c r="F122" s="29">
        <v>46051</v>
      </c>
      <c r="G122" s="29">
        <v>0</v>
      </c>
      <c r="H122" s="28">
        <v>32463</v>
      </c>
      <c r="I122" s="26">
        <v>482138</v>
      </c>
      <c r="J122" s="27">
        <v>204819</v>
      </c>
      <c r="K122" s="27">
        <v>-39626</v>
      </c>
      <c r="L122" s="27">
        <v>54872</v>
      </c>
      <c r="M122" s="27">
        <v>671711</v>
      </c>
      <c r="N122" s="28">
        <v>411406</v>
      </c>
      <c r="O122" s="26">
        <v>3562641</v>
      </c>
      <c r="P122" s="27">
        <v>44988</v>
      </c>
      <c r="Q122" s="27">
        <v>251082</v>
      </c>
      <c r="R122" s="27">
        <v>815921</v>
      </c>
      <c r="S122" s="27">
        <v>2580107</v>
      </c>
      <c r="T122" s="28">
        <v>2296060</v>
      </c>
      <c r="U122" s="10">
        <v>11161</v>
      </c>
      <c r="V122" s="28">
        <v>10423619</v>
      </c>
      <c r="W122" s="28">
        <v>40549451</v>
      </c>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row>
    <row r="123" spans="1:57" x14ac:dyDescent="0.25">
      <c r="A123" s="44">
        <v>45627</v>
      </c>
      <c r="B123" s="25">
        <f t="shared" si="0"/>
        <v>2024</v>
      </c>
      <c r="C123" s="26">
        <v>110448</v>
      </c>
      <c r="D123" s="29">
        <v>35993</v>
      </c>
      <c r="E123" s="29">
        <v>1110</v>
      </c>
      <c r="F123" s="29">
        <v>31949</v>
      </c>
      <c r="G123" s="29">
        <v>0</v>
      </c>
      <c r="H123" s="28">
        <v>49050</v>
      </c>
      <c r="I123" s="26">
        <v>482300</v>
      </c>
      <c r="J123" s="27">
        <v>214232</v>
      </c>
      <c r="K123" s="27">
        <v>-26532</v>
      </c>
      <c r="L123" s="27">
        <v>45199</v>
      </c>
      <c r="M123" s="27">
        <v>677865</v>
      </c>
      <c r="N123" s="28">
        <v>384874</v>
      </c>
      <c r="O123" s="26">
        <v>3895767</v>
      </c>
      <c r="P123" s="27">
        <v>33073</v>
      </c>
      <c r="Q123" s="27">
        <v>170559</v>
      </c>
      <c r="R123" s="27">
        <v>1079404</v>
      </c>
      <c r="S123" s="27">
        <v>2766488</v>
      </c>
      <c r="T123" s="28">
        <v>2466619</v>
      </c>
      <c r="U123" s="10">
        <v>31702</v>
      </c>
      <c r="V123" s="28">
        <v>13225977</v>
      </c>
      <c r="W123" s="28">
        <v>28132423</v>
      </c>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row>
    <row r="124" spans="1:57" x14ac:dyDescent="0.25">
      <c r="A124" s="44">
        <v>45658</v>
      </c>
      <c r="B124" s="25">
        <f t="shared" si="0"/>
        <v>2025</v>
      </c>
      <c r="C124" s="26">
        <v>38041</v>
      </c>
      <c r="D124" s="29"/>
      <c r="E124" s="29"/>
      <c r="F124" s="29"/>
      <c r="G124" s="29"/>
      <c r="H124" s="28">
        <v>22684</v>
      </c>
      <c r="I124" s="26"/>
      <c r="J124" s="27"/>
      <c r="K124" s="27"/>
      <c r="L124" s="27"/>
      <c r="M124" s="27"/>
      <c r="N124" s="28"/>
      <c r="O124" s="26"/>
      <c r="P124" s="27"/>
      <c r="Q124" s="27"/>
      <c r="R124" s="27"/>
      <c r="S124" s="27"/>
      <c r="T124" s="28"/>
      <c r="U124" s="10"/>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row>
    <row r="125" spans="1:57" x14ac:dyDescent="0.25">
      <c r="A125" s="44">
        <v>45689</v>
      </c>
      <c r="B125" s="25">
        <f t="shared" si="0"/>
        <v>2025</v>
      </c>
      <c r="C125" s="26">
        <v>38294</v>
      </c>
      <c r="D125" s="29"/>
      <c r="E125" s="29"/>
      <c r="F125" s="29"/>
      <c r="G125" s="29"/>
      <c r="H125" s="28">
        <v>8924</v>
      </c>
      <c r="I125" s="26"/>
      <c r="J125" s="27"/>
      <c r="K125" s="27"/>
      <c r="L125" s="27"/>
      <c r="M125" s="27"/>
      <c r="N125" s="28"/>
      <c r="O125" s="26"/>
      <c r="P125" s="27"/>
      <c r="Q125" s="27"/>
      <c r="R125" s="27"/>
      <c r="S125" s="27"/>
      <c r="T125" s="28"/>
      <c r="U125" s="10"/>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row>
    <row r="126" spans="1:57" x14ac:dyDescent="0.25">
      <c r="A126" s="44">
        <v>45717</v>
      </c>
      <c r="B126" s="25">
        <f t="shared" si="0"/>
        <v>2025</v>
      </c>
      <c r="C126" s="26"/>
      <c r="D126" s="29"/>
      <c r="E126" s="29"/>
      <c r="F126" s="29"/>
      <c r="G126" s="29"/>
      <c r="H126" s="28"/>
      <c r="U126" s="10"/>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row>
    <row r="127" spans="1:57" x14ac:dyDescent="0.25">
      <c r="A127" s="44">
        <v>45748</v>
      </c>
      <c r="B127" s="25">
        <f t="shared" si="0"/>
        <v>2025</v>
      </c>
      <c r="C127" s="36"/>
      <c r="D127" s="5"/>
      <c r="E127" s="5"/>
      <c r="F127" s="5"/>
      <c r="G127" s="5"/>
      <c r="H127" s="35"/>
      <c r="U127" s="10"/>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row>
    <row r="128" spans="1:57" x14ac:dyDescent="0.25">
      <c r="A128" s="44">
        <v>45778</v>
      </c>
      <c r="B128" s="25">
        <f t="shared" si="0"/>
        <v>2025</v>
      </c>
      <c r="C128" s="36"/>
      <c r="D128" s="5"/>
      <c r="E128" s="5"/>
      <c r="F128" s="5"/>
      <c r="G128" s="5"/>
      <c r="H128" s="35"/>
      <c r="U128" s="10"/>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row>
    <row r="129" spans="1:57" x14ac:dyDescent="0.25">
      <c r="A129" s="44">
        <v>45809</v>
      </c>
      <c r="B129" s="25">
        <f t="shared" si="0"/>
        <v>2025</v>
      </c>
      <c r="C129" s="36"/>
      <c r="D129" s="5"/>
      <c r="E129" s="5"/>
      <c r="F129" s="5"/>
      <c r="G129" s="5"/>
      <c r="H129" s="35"/>
      <c r="U129" s="10"/>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row>
    <row r="130" spans="1:57" x14ac:dyDescent="0.25">
      <c r="A130" s="44">
        <v>45839</v>
      </c>
      <c r="B130" s="25">
        <f t="shared" si="0"/>
        <v>2025</v>
      </c>
      <c r="C130" s="36"/>
      <c r="D130" s="5"/>
      <c r="E130" s="5"/>
      <c r="F130" s="5"/>
      <c r="G130" s="5"/>
      <c r="H130" s="3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row>
    <row r="131" spans="1:57" x14ac:dyDescent="0.25">
      <c r="A131" s="44">
        <v>45870</v>
      </c>
      <c r="B131" s="25">
        <f t="shared" si="0"/>
        <v>2025</v>
      </c>
      <c r="C131" s="36"/>
      <c r="D131" s="5"/>
      <c r="E131" s="5"/>
      <c r="F131" s="5"/>
      <c r="G131" s="5"/>
      <c r="H131" s="3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row>
    <row r="132" spans="1:57" x14ac:dyDescent="0.25">
      <c r="A132" s="44">
        <v>45901</v>
      </c>
      <c r="B132" s="25">
        <f t="shared" si="0"/>
        <v>2025</v>
      </c>
      <c r="C132" s="36"/>
      <c r="D132" s="5"/>
      <c r="E132" s="5"/>
      <c r="F132" s="5"/>
      <c r="G132" s="5"/>
      <c r="H132" s="3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row>
    <row r="133" spans="1:57" x14ac:dyDescent="0.25">
      <c r="A133" s="44">
        <v>45931</v>
      </c>
      <c r="B133" s="25">
        <f t="shared" si="0"/>
        <v>2025</v>
      </c>
      <c r="C133" s="36"/>
      <c r="D133" s="5"/>
      <c r="E133" s="5"/>
      <c r="F133" s="5"/>
      <c r="G133" s="5"/>
      <c r="H133" s="3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row>
    <row r="134" spans="1:57" x14ac:dyDescent="0.25">
      <c r="A134" s="44">
        <v>45962</v>
      </c>
      <c r="B134" s="25">
        <f t="shared" si="0"/>
        <v>2025</v>
      </c>
      <c r="C134" s="36"/>
      <c r="D134" s="5"/>
      <c r="E134" s="5"/>
      <c r="F134" s="5"/>
      <c r="G134" s="5"/>
      <c r="H134" s="3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row>
    <row r="135" spans="1:57" x14ac:dyDescent="0.25">
      <c r="A135" s="44">
        <v>45992</v>
      </c>
      <c r="B135" s="25">
        <f t="shared" si="0"/>
        <v>2025</v>
      </c>
      <c r="C135" s="36"/>
      <c r="D135" s="5"/>
      <c r="E135" s="5"/>
      <c r="F135" s="5"/>
      <c r="G135" s="5"/>
      <c r="H135" s="3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DFC7-07E8-40C2-A8E3-524502F75175}">
  <sheetPr>
    <pageSetUpPr fitToPage="1"/>
  </sheetPr>
  <dimension ref="A1:AK130"/>
  <sheetViews>
    <sheetView showGridLines="0" zoomScaleNormal="100" workbookViewId="0">
      <pane xSplit="1" ySplit="2" topLeftCell="B3"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1.25" x14ac:dyDescent="0.2"/>
  <cols>
    <col min="1" max="1" width="53.42578125" style="53" bestFit="1" customWidth="1"/>
    <col min="2" max="9" width="9.28515625" style="53" customWidth="1"/>
    <col min="10" max="10" width="9.28515625" style="81" customWidth="1"/>
    <col min="11" max="37" width="9.28515625" style="53" customWidth="1"/>
    <col min="38" max="16384" width="8.85546875" style="53"/>
  </cols>
  <sheetData>
    <row r="1" spans="1:37" s="50" customFormat="1" ht="12" thickBot="1" x14ac:dyDescent="0.25">
      <c r="A1" s="47" t="s">
        <v>73</v>
      </c>
      <c r="B1" s="48"/>
      <c r="C1" s="48"/>
      <c r="D1" s="48"/>
      <c r="E1" s="48"/>
      <c r="F1" s="48"/>
      <c r="G1" s="48"/>
      <c r="H1" s="48"/>
      <c r="I1" s="48"/>
      <c r="J1" s="49"/>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7" ht="12" thickTop="1" x14ac:dyDescent="0.2">
      <c r="A2" s="51" t="s">
        <v>74</v>
      </c>
      <c r="B2" s="52">
        <v>2015</v>
      </c>
      <c r="C2" s="52">
        <v>2016</v>
      </c>
      <c r="D2" s="52">
        <v>2017</v>
      </c>
      <c r="E2" s="52">
        <v>2018</v>
      </c>
      <c r="F2" s="52">
        <v>2019</v>
      </c>
      <c r="G2" s="52">
        <v>2020</v>
      </c>
      <c r="H2" s="52">
        <v>2021</v>
      </c>
      <c r="I2" s="52">
        <v>2022</v>
      </c>
      <c r="J2" s="52">
        <v>2023</v>
      </c>
      <c r="K2" s="52">
        <v>2024</v>
      </c>
      <c r="L2" s="52">
        <v>2025</v>
      </c>
      <c r="M2" s="52">
        <v>2026</v>
      </c>
      <c r="N2" s="52">
        <v>2027</v>
      </c>
      <c r="O2" s="52">
        <v>2028</v>
      </c>
      <c r="P2" s="52">
        <v>2029</v>
      </c>
      <c r="Q2" s="52">
        <v>2030</v>
      </c>
      <c r="R2" s="52">
        <v>2031</v>
      </c>
      <c r="S2" s="52">
        <v>2032</v>
      </c>
      <c r="T2" s="52">
        <v>2033</v>
      </c>
      <c r="U2" s="52">
        <v>2034</v>
      </c>
      <c r="V2" s="52">
        <v>2035</v>
      </c>
      <c r="W2" s="52">
        <v>2036</v>
      </c>
      <c r="X2" s="52">
        <v>2037</v>
      </c>
      <c r="Y2" s="52">
        <v>2038</v>
      </c>
      <c r="Z2" s="52">
        <v>2039</v>
      </c>
      <c r="AA2" s="52">
        <v>2040</v>
      </c>
      <c r="AB2" s="52">
        <v>2041</v>
      </c>
      <c r="AC2" s="52">
        <v>2042</v>
      </c>
      <c r="AD2" s="52">
        <v>2043</v>
      </c>
      <c r="AE2" s="52">
        <v>2044</v>
      </c>
      <c r="AF2" s="52">
        <v>2045</v>
      </c>
      <c r="AG2" s="52">
        <v>2046</v>
      </c>
      <c r="AH2" s="52">
        <v>2047</v>
      </c>
      <c r="AI2" s="52">
        <v>2048</v>
      </c>
      <c r="AJ2" s="52">
        <v>2049</v>
      </c>
      <c r="AK2" s="52">
        <v>2050</v>
      </c>
    </row>
    <row r="3" spans="1:37" x14ac:dyDescent="0.2">
      <c r="A3" s="51" t="s">
        <v>75</v>
      </c>
      <c r="B3" s="54">
        <v>0</v>
      </c>
      <c r="C3" s="54">
        <f t="shared" ref="C3:AK3" si="0">B10</f>
        <v>0</v>
      </c>
      <c r="D3" s="54">
        <f t="shared" si="0"/>
        <v>0</v>
      </c>
      <c r="E3" s="54">
        <f t="shared" si="0"/>
        <v>0</v>
      </c>
      <c r="F3" s="54">
        <f t="shared" si="0"/>
        <v>0</v>
      </c>
      <c r="G3" s="54">
        <f t="shared" si="0"/>
        <v>0</v>
      </c>
      <c r="H3" s="54">
        <f t="shared" si="0"/>
        <v>2.3416206079999999</v>
      </c>
      <c r="I3" s="54">
        <f t="shared" si="0"/>
        <v>1.8296552720000001</v>
      </c>
      <c r="J3" s="54">
        <f t="shared" si="0"/>
        <v>1.3364461480000001</v>
      </c>
      <c r="K3" s="54">
        <f t="shared" si="0"/>
        <v>2.9426119080000004</v>
      </c>
      <c r="L3" s="54">
        <f t="shared" si="0"/>
        <v>12.957636600000001</v>
      </c>
      <c r="M3" s="55">
        <f t="shared" si="0"/>
        <v>0</v>
      </c>
      <c r="N3" s="55">
        <f t="shared" si="0"/>
        <v>0</v>
      </c>
      <c r="O3" s="55">
        <f t="shared" si="0"/>
        <v>0</v>
      </c>
      <c r="P3" s="55">
        <f t="shared" si="0"/>
        <v>0</v>
      </c>
      <c r="Q3" s="55">
        <f t="shared" si="0"/>
        <v>0</v>
      </c>
      <c r="R3" s="55">
        <f t="shared" si="0"/>
        <v>0</v>
      </c>
      <c r="S3" s="55">
        <f t="shared" si="0"/>
        <v>0</v>
      </c>
      <c r="T3" s="55">
        <f t="shared" si="0"/>
        <v>0</v>
      </c>
      <c r="U3" s="55">
        <f t="shared" si="0"/>
        <v>0</v>
      </c>
      <c r="V3" s="55">
        <f t="shared" si="0"/>
        <v>0</v>
      </c>
      <c r="W3" s="55">
        <f t="shared" si="0"/>
        <v>0</v>
      </c>
      <c r="X3" s="55">
        <f t="shared" si="0"/>
        <v>0</v>
      </c>
      <c r="Y3" s="55">
        <f t="shared" si="0"/>
        <v>0</v>
      </c>
      <c r="Z3" s="55">
        <f t="shared" si="0"/>
        <v>0</v>
      </c>
      <c r="AA3" s="55">
        <f t="shared" si="0"/>
        <v>0</v>
      </c>
      <c r="AB3" s="55">
        <f t="shared" si="0"/>
        <v>0</v>
      </c>
      <c r="AC3" s="55">
        <f t="shared" si="0"/>
        <v>0</v>
      </c>
      <c r="AD3" s="55">
        <f t="shared" si="0"/>
        <v>0</v>
      </c>
      <c r="AE3" s="55">
        <f t="shared" si="0"/>
        <v>0</v>
      </c>
      <c r="AF3" s="55">
        <f t="shared" si="0"/>
        <v>0</v>
      </c>
      <c r="AG3" s="55">
        <f t="shared" si="0"/>
        <v>0</v>
      </c>
      <c r="AH3" s="55">
        <f t="shared" si="0"/>
        <v>0</v>
      </c>
      <c r="AI3" s="55">
        <f t="shared" si="0"/>
        <v>0</v>
      </c>
      <c r="AJ3" s="55">
        <f t="shared" si="0"/>
        <v>0</v>
      </c>
      <c r="AK3" s="55">
        <f t="shared" si="0"/>
        <v>0</v>
      </c>
    </row>
    <row r="4" spans="1:37" x14ac:dyDescent="0.2">
      <c r="A4" s="51" t="s">
        <v>76</v>
      </c>
      <c r="B4" s="54">
        <f>annual_data!$B5*0.26417</f>
        <v>104.87549000000001</v>
      </c>
      <c r="C4" s="54">
        <f>annual_data!$B6*0.26417</f>
        <v>122.57488000000001</v>
      </c>
      <c r="D4" s="54">
        <f>annual_data!$B7*0.26417</f>
        <v>104.87549000000001</v>
      </c>
      <c r="E4" s="54">
        <f>annual_data!$B8*0.26417</f>
        <v>81.364360000000005</v>
      </c>
      <c r="F4" s="54">
        <f>annual_data!$B9*0.26417</f>
        <v>94.837029999999999</v>
      </c>
      <c r="G4" s="54">
        <f>annual_data!$B10*0.26417</f>
        <v>120.98986000000001</v>
      </c>
      <c r="H4" s="54">
        <f>annual_data!$B11*0.26417</f>
        <v>113.85727</v>
      </c>
      <c r="I4" s="56">
        <f>I35</f>
        <v>97.530189024000009</v>
      </c>
      <c r="J4" s="56">
        <f>J35</f>
        <v>130.52737823199999</v>
      </c>
      <c r="K4" s="56">
        <f>K35</f>
        <v>158</v>
      </c>
      <c r="L4" s="57">
        <f>AVERAGE(G4:K4)*1.35</f>
        <v>167.64426825912</v>
      </c>
      <c r="M4" s="57">
        <f>AVERAGE(H4:L4)+20</f>
        <v>153.511821103024</v>
      </c>
      <c r="N4" s="57">
        <f>AVERAGE(I4:M4)+20</f>
        <v>161.44273132362878</v>
      </c>
      <c r="O4" s="57">
        <f>AVERAGE(J4:N4)</f>
        <v>154.22523978355454</v>
      </c>
      <c r="P4" s="57">
        <f>AVERAGE(K4:O4)+20</f>
        <v>178.96481209386548</v>
      </c>
      <c r="Q4" s="57">
        <f>AVERAGE(L4:P4)</f>
        <v>163.15777451263858</v>
      </c>
      <c r="R4" s="57">
        <f>AVERAGE(M4:Q4)</f>
        <v>162.26047576334227</v>
      </c>
      <c r="S4" s="57">
        <f>AVERAGE(N4:R4)</f>
        <v>164.01020669540591</v>
      </c>
      <c r="T4" s="57">
        <f>AVERAGE(O4:S4)+5</f>
        <v>169.52370176976137</v>
      </c>
      <c r="U4" s="57">
        <f>AVERAGE(P4:T4)+10</f>
        <v>177.58339416700272</v>
      </c>
      <c r="V4" s="57">
        <f>AVERAGE(Q4:U4)+11</f>
        <v>178.30711058163018</v>
      </c>
      <c r="W4" s="57">
        <f t="shared" ref="W4:AJ4" si="1">AVERAGE(R4:V4)+11</f>
        <v>181.33697779542848</v>
      </c>
      <c r="X4" s="57">
        <f t="shared" si="1"/>
        <v>185.15227820184572</v>
      </c>
      <c r="Y4" s="57">
        <f t="shared" si="1"/>
        <v>189.3806925031337</v>
      </c>
      <c r="Z4" s="57">
        <f t="shared" si="1"/>
        <v>193.35209064980816</v>
      </c>
      <c r="AA4" s="57">
        <f t="shared" si="1"/>
        <v>196.50582994636923</v>
      </c>
      <c r="AB4" s="57">
        <f t="shared" si="1"/>
        <v>200.14557381931704</v>
      </c>
      <c r="AC4" s="57">
        <f t="shared" si="1"/>
        <v>203.90729302409477</v>
      </c>
      <c r="AD4" s="57">
        <f t="shared" si="1"/>
        <v>207.65829598854458</v>
      </c>
      <c r="AE4" s="57">
        <f t="shared" si="1"/>
        <v>211.31381668562676</v>
      </c>
      <c r="AF4" s="57">
        <f t="shared" si="1"/>
        <v>214.90616189279049</v>
      </c>
      <c r="AG4" s="57">
        <f t="shared" si="1"/>
        <v>218.58622828207476</v>
      </c>
      <c r="AH4" s="57">
        <f t="shared" si="1"/>
        <v>222.27435917462626</v>
      </c>
      <c r="AI4" s="57">
        <f t="shared" si="1"/>
        <v>225.94777240473258</v>
      </c>
      <c r="AJ4" s="57">
        <f t="shared" si="1"/>
        <v>229.60566768797017</v>
      </c>
      <c r="AK4" s="57">
        <f>AVERAGE(AF4:AJ4)+11</f>
        <v>233.26403788843885</v>
      </c>
    </row>
    <row r="5" spans="1:37" s="61" customFormat="1" x14ac:dyDescent="0.2">
      <c r="A5" s="58" t="s">
        <v>77</v>
      </c>
      <c r="B5" s="59">
        <f>B114</f>
        <v>102.30823836858008</v>
      </c>
      <c r="C5" s="59">
        <f t="shared" ref="C5:J5" si="2">C114</f>
        <v>102.9724093655589</v>
      </c>
      <c r="D5" s="59">
        <f t="shared" si="2"/>
        <v>126.50259335347432</v>
      </c>
      <c r="E5" s="59">
        <f t="shared" si="2"/>
        <v>155.33055861027191</v>
      </c>
      <c r="F5" s="59">
        <f t="shared" si="2"/>
        <v>151.86331238670692</v>
      </c>
      <c r="G5" s="59">
        <f t="shared" si="2"/>
        <v>156.01296948640481</v>
      </c>
      <c r="H5" s="59">
        <f t="shared" si="2"/>
        <v>152.5574930513595</v>
      </c>
      <c r="I5" s="59">
        <f t="shared" si="2"/>
        <v>204.25693746223567</v>
      </c>
      <c r="J5" s="59">
        <f t="shared" si="2"/>
        <v>239.84235347432028</v>
      </c>
      <c r="K5" s="59">
        <f>K114</f>
        <v>175.65989184290032</v>
      </c>
      <c r="L5" s="60">
        <f>AVERAGE(G5:K5)</f>
        <v>185.66592906344414</v>
      </c>
      <c r="M5" s="60">
        <f>AVERAGE(H5:L5)</f>
        <v>191.59652097885197</v>
      </c>
      <c r="N5" s="60">
        <f>AVERAGE(I5:M5)</f>
        <v>199.40432656435047</v>
      </c>
      <c r="O5" s="60">
        <f>AVERAGE(J5:N5)</f>
        <v>198.43380438477342</v>
      </c>
      <c r="P5" s="60">
        <f>AVERAGE(K5:O5)</f>
        <v>190.15209456686404</v>
      </c>
      <c r="Q5" s="60">
        <f>AVERAGE(L5:P5)+10</f>
        <v>203.05053511165684</v>
      </c>
      <c r="R5" s="60">
        <f>AVERAGE(M5:Q5)+20</f>
        <v>216.52745632129933</v>
      </c>
      <c r="S5" s="60">
        <f>AVERAGE(N5:R5)</f>
        <v>201.51364338978883</v>
      </c>
      <c r="T5" s="60">
        <f>AVERAGE(O5:S5)</f>
        <v>201.93550675487649</v>
      </c>
      <c r="U5" s="60">
        <f>AVERAGE(P5:T5)</f>
        <v>202.63584722889709</v>
      </c>
      <c r="V5" s="60">
        <f>AVERAGE(Q5:U5)-10</f>
        <v>195.13259776130371</v>
      </c>
      <c r="W5" s="60">
        <f t="shared" ref="W5:AJ5" si="3">AVERAGE(R5:V5)-10</f>
        <v>193.54901029123306</v>
      </c>
      <c r="X5" s="60">
        <f t="shared" si="3"/>
        <v>188.95332108521984</v>
      </c>
      <c r="Y5" s="60">
        <f t="shared" si="3"/>
        <v>186.44125662430605</v>
      </c>
      <c r="Z5" s="60">
        <f t="shared" si="3"/>
        <v>183.34240659819199</v>
      </c>
      <c r="AA5" s="60">
        <f t="shared" si="3"/>
        <v>179.48371847205095</v>
      </c>
      <c r="AB5" s="60">
        <f t="shared" si="3"/>
        <v>176.35394261420038</v>
      </c>
      <c r="AC5" s="60">
        <f t="shared" si="3"/>
        <v>172.91492907879382</v>
      </c>
      <c r="AD5" s="60">
        <f t="shared" si="3"/>
        <v>169.70725067750863</v>
      </c>
      <c r="AE5" s="60">
        <f t="shared" si="3"/>
        <v>166.36044948814916</v>
      </c>
      <c r="AF5" s="60">
        <f t="shared" si="3"/>
        <v>162.96405806614058</v>
      </c>
      <c r="AG5" s="60">
        <f t="shared" si="3"/>
        <v>159.66012598495848</v>
      </c>
      <c r="AH5" s="60">
        <f t="shared" si="3"/>
        <v>156.32136265911012</v>
      </c>
      <c r="AI5" s="60">
        <f t="shared" si="3"/>
        <v>153.00264937517341</v>
      </c>
      <c r="AJ5" s="60">
        <f t="shared" si="3"/>
        <v>149.66172911470636</v>
      </c>
      <c r="AK5" s="60">
        <f>AVERAGE(AF5:AJ5)-10</f>
        <v>146.32198504001781</v>
      </c>
    </row>
    <row r="6" spans="1:37" x14ac:dyDescent="0.2">
      <c r="A6" s="62" t="s">
        <v>78</v>
      </c>
      <c r="B6" s="63">
        <f>B4+B5</f>
        <v>207.18372836858009</v>
      </c>
      <c r="C6" s="63">
        <f t="shared" ref="C6:AJ6" si="4">C3+C4+C5</f>
        <v>225.54728936555892</v>
      </c>
      <c r="D6" s="63">
        <f t="shared" si="4"/>
        <v>231.37808335347432</v>
      </c>
      <c r="E6" s="63">
        <f t="shared" si="4"/>
        <v>236.69491861027191</v>
      </c>
      <c r="F6" s="63">
        <f t="shared" si="4"/>
        <v>246.70034238670692</v>
      </c>
      <c r="G6" s="63">
        <f t="shared" si="4"/>
        <v>277.00282948640483</v>
      </c>
      <c r="H6" s="63">
        <f t="shared" si="4"/>
        <v>268.75638365935947</v>
      </c>
      <c r="I6" s="63">
        <f t="shared" si="4"/>
        <v>303.61678175823567</v>
      </c>
      <c r="J6" s="63">
        <f>J3+J4+J5</f>
        <v>371.70617785432023</v>
      </c>
      <c r="K6" s="63">
        <f t="shared" si="4"/>
        <v>336.60250375090033</v>
      </c>
      <c r="L6" s="64">
        <f t="shared" si="4"/>
        <v>366.26783392256414</v>
      </c>
      <c r="M6" s="64">
        <f t="shared" si="4"/>
        <v>345.108342081876</v>
      </c>
      <c r="N6" s="64">
        <f t="shared" si="4"/>
        <v>360.84705788797925</v>
      </c>
      <c r="O6" s="64">
        <f t="shared" si="4"/>
        <v>352.65904416832797</v>
      </c>
      <c r="P6" s="64">
        <f t="shared" si="4"/>
        <v>369.11690666072951</v>
      </c>
      <c r="Q6" s="64">
        <f t="shared" si="4"/>
        <v>366.20830962429545</v>
      </c>
      <c r="R6" s="64">
        <f t="shared" si="4"/>
        <v>378.78793208464162</v>
      </c>
      <c r="S6" s="64">
        <f t="shared" si="4"/>
        <v>365.52385008519474</v>
      </c>
      <c r="T6" s="64">
        <f t="shared" si="4"/>
        <v>371.45920852463786</v>
      </c>
      <c r="U6" s="64">
        <f t="shared" si="4"/>
        <v>380.21924139589981</v>
      </c>
      <c r="V6" s="64">
        <f t="shared" si="4"/>
        <v>373.4397083429339</v>
      </c>
      <c r="W6" s="64">
        <f t="shared" si="4"/>
        <v>374.88598808666154</v>
      </c>
      <c r="X6" s="64">
        <f t="shared" si="4"/>
        <v>374.10559928706556</v>
      </c>
      <c r="Y6" s="64">
        <f t="shared" si="4"/>
        <v>375.82194912743978</v>
      </c>
      <c r="Z6" s="64">
        <f t="shared" si="4"/>
        <v>376.69449724800018</v>
      </c>
      <c r="AA6" s="64">
        <f t="shared" si="4"/>
        <v>375.98954841842021</v>
      </c>
      <c r="AB6" s="64">
        <f t="shared" si="4"/>
        <v>376.49951643351744</v>
      </c>
      <c r="AC6" s="64">
        <f t="shared" si="4"/>
        <v>376.82222210288859</v>
      </c>
      <c r="AD6" s="64">
        <f t="shared" si="4"/>
        <v>377.36554666605321</v>
      </c>
      <c r="AE6" s="64">
        <f t="shared" si="4"/>
        <v>377.67426617377589</v>
      </c>
      <c r="AF6" s="64">
        <f t="shared" si="4"/>
        <v>377.8702199589311</v>
      </c>
      <c r="AG6" s="64">
        <f t="shared" si="4"/>
        <v>378.24635426703321</v>
      </c>
      <c r="AH6" s="64">
        <f t="shared" si="4"/>
        <v>378.59572183373638</v>
      </c>
      <c r="AI6" s="64">
        <f t="shared" si="4"/>
        <v>378.95042177990598</v>
      </c>
      <c r="AJ6" s="64">
        <f t="shared" si="4"/>
        <v>379.26739680267656</v>
      </c>
      <c r="AK6" s="64">
        <f>AK3+AK4+AK5</f>
        <v>379.58602292845666</v>
      </c>
    </row>
    <row r="7" spans="1:37" x14ac:dyDescent="0.2">
      <c r="A7" s="65" t="s">
        <v>79</v>
      </c>
      <c r="B7" s="54">
        <f t="shared" ref="B7:K7" si="5">B6-B8</f>
        <v>143.59520631419943</v>
      </c>
      <c r="C7" s="54">
        <f t="shared" si="5"/>
        <v>112.70641806646525</v>
      </c>
      <c r="D7" s="54">
        <f t="shared" si="5"/>
        <v>144.37364287009063</v>
      </c>
      <c r="E7" s="54">
        <f t="shared" si="5"/>
        <v>157.21372042296076</v>
      </c>
      <c r="F7" s="54">
        <f t="shared" si="5"/>
        <v>156.2973091540785</v>
      </c>
      <c r="G7" s="54">
        <f t="shared" si="5"/>
        <v>157.05651709969788</v>
      </c>
      <c r="H7" s="54">
        <f t="shared" si="5"/>
        <v>151.57549574395162</v>
      </c>
      <c r="I7" s="54">
        <f t="shared" si="5"/>
        <v>202.84155909962539</v>
      </c>
      <c r="J7" s="54">
        <f t="shared" si="5"/>
        <v>233.9316926579456</v>
      </c>
      <c r="K7" s="54">
        <f t="shared" si="5"/>
        <v>206.17034211948038</v>
      </c>
      <c r="L7" s="55">
        <f>L9-L8</f>
        <v>251.26783392256414</v>
      </c>
      <c r="M7" s="55">
        <f t="shared" ref="M7:AK7" si="6">M9-M8</f>
        <v>218.17247572500185</v>
      </c>
      <c r="N7" s="55">
        <f t="shared" si="6"/>
        <v>229.98611277842039</v>
      </c>
      <c r="O7" s="55">
        <f t="shared" si="6"/>
        <v>225.118291889094</v>
      </c>
      <c r="P7" s="55">
        <f t="shared" si="6"/>
        <v>232.90538161977346</v>
      </c>
      <c r="Q7" s="55">
        <f t="shared" si="6"/>
        <v>236.70363774315456</v>
      </c>
      <c r="R7" s="55">
        <f t="shared" si="6"/>
        <v>249.58656469354619</v>
      </c>
      <c r="S7" s="55">
        <f t="shared" si="6"/>
        <v>235.84881142841601</v>
      </c>
      <c r="T7" s="55">
        <f t="shared" si="6"/>
        <v>243.60374585582338</v>
      </c>
      <c r="U7" s="55">
        <f t="shared" si="6"/>
        <v>250.02087499128146</v>
      </c>
      <c r="V7" s="55">
        <f t="shared" si="6"/>
        <v>243.02079205774601</v>
      </c>
      <c r="W7" s="55">
        <f t="shared" si="6"/>
        <v>242.26331323912964</v>
      </c>
      <c r="X7" s="55">
        <f t="shared" si="6"/>
        <v>240.89334293116826</v>
      </c>
      <c r="Y7" s="55">
        <f t="shared" si="6"/>
        <v>241.70830140617949</v>
      </c>
      <c r="Z7" s="55">
        <f t="shared" si="6"/>
        <v>241.73031434629817</v>
      </c>
      <c r="AA7" s="55">
        <f t="shared" si="6"/>
        <v>240.99430065647471</v>
      </c>
      <c r="AB7" s="55">
        <f t="shared" si="6"/>
        <v>240.66946422055557</v>
      </c>
      <c r="AC7" s="55">
        <f t="shared" si="6"/>
        <v>239.98300241897712</v>
      </c>
      <c r="AD7" s="55">
        <f t="shared" si="6"/>
        <v>239.19350841284663</v>
      </c>
      <c r="AE7" s="55">
        <f t="shared" si="6"/>
        <v>238.81452375098999</v>
      </c>
      <c r="AF7" s="55">
        <f t="shared" si="6"/>
        <v>238.30310520044966</v>
      </c>
      <c r="AG7" s="55">
        <f t="shared" si="6"/>
        <v>238.07368993070614</v>
      </c>
      <c r="AH7" s="55">
        <f t="shared" si="6"/>
        <v>237.5674561080491</v>
      </c>
      <c r="AI7" s="55">
        <f t="shared" si="6"/>
        <v>237.07505137800777</v>
      </c>
      <c r="AJ7" s="55">
        <f t="shared" si="6"/>
        <v>236.51869526120979</v>
      </c>
      <c r="AK7" s="55">
        <f t="shared" si="6"/>
        <v>235.92781487187196</v>
      </c>
    </row>
    <row r="8" spans="1:37" x14ac:dyDescent="0.2">
      <c r="A8" s="51" t="s">
        <v>48</v>
      </c>
      <c r="B8" s="54">
        <f t="shared" ref="B8:J8" si="7">B130</f>
        <v>63.588522054380668</v>
      </c>
      <c r="C8" s="54">
        <f t="shared" si="7"/>
        <v>112.84087129909368</v>
      </c>
      <c r="D8" s="54">
        <f t="shared" si="7"/>
        <v>87.004440483383689</v>
      </c>
      <c r="E8" s="54">
        <f t="shared" si="7"/>
        <v>79.481198187311165</v>
      </c>
      <c r="F8" s="54">
        <f t="shared" si="7"/>
        <v>90.403033232628403</v>
      </c>
      <c r="G8" s="54">
        <f t="shared" si="7"/>
        <v>119.94631238670695</v>
      </c>
      <c r="H8" s="54">
        <f t="shared" si="7"/>
        <v>117.18088791540785</v>
      </c>
      <c r="I8" s="54">
        <f t="shared" si="7"/>
        <v>100.77522265861028</v>
      </c>
      <c r="J8" s="54">
        <f t="shared" si="7"/>
        <v>137.77448519637463</v>
      </c>
      <c r="K8" s="54">
        <f>K130</f>
        <v>130.43216163141994</v>
      </c>
      <c r="L8" s="55">
        <f>MROUND(FORECAST(L4,B8:K8,B4:K4)*0.75,5)</f>
        <v>115</v>
      </c>
      <c r="M8" s="55">
        <f>FORECAST(M4,C8:L8,C4:L4)</f>
        <v>126.93586635687416</v>
      </c>
      <c r="N8" s="55">
        <f t="shared" ref="N8:AK8" si="8">FORECAST(N4,D8:M8,D4:M4)</f>
        <v>130.86094510955886</v>
      </c>
      <c r="O8" s="55">
        <f t="shared" si="8"/>
        <v>127.54075227923396</v>
      </c>
      <c r="P8" s="55">
        <f t="shared" si="8"/>
        <v>136.21152504095605</v>
      </c>
      <c r="Q8" s="55">
        <f t="shared" si="8"/>
        <v>129.50467188114089</v>
      </c>
      <c r="R8" s="55">
        <f t="shared" si="8"/>
        <v>129.20136739109543</v>
      </c>
      <c r="S8" s="55">
        <f t="shared" si="8"/>
        <v>129.67503865677872</v>
      </c>
      <c r="T8" s="55">
        <f t="shared" si="8"/>
        <v>127.85546266881447</v>
      </c>
      <c r="U8" s="55">
        <f t="shared" si="8"/>
        <v>130.19836640461835</v>
      </c>
      <c r="V8" s="55">
        <f t="shared" si="8"/>
        <v>130.41891628518789</v>
      </c>
      <c r="W8" s="55">
        <f t="shared" si="8"/>
        <v>132.6226748475319</v>
      </c>
      <c r="X8" s="55">
        <f t="shared" si="8"/>
        <v>133.2122563558973</v>
      </c>
      <c r="Y8" s="55">
        <f t="shared" si="8"/>
        <v>134.11364772126029</v>
      </c>
      <c r="Z8" s="55">
        <f t="shared" si="8"/>
        <v>134.964182901702</v>
      </c>
      <c r="AA8" s="55">
        <f t="shared" si="8"/>
        <v>134.99524776194551</v>
      </c>
      <c r="AB8" s="55">
        <f t="shared" si="8"/>
        <v>135.83005221296187</v>
      </c>
      <c r="AC8" s="55">
        <f t="shared" si="8"/>
        <v>136.83921968391147</v>
      </c>
      <c r="AD8" s="55">
        <f t="shared" si="8"/>
        <v>138.17203825320658</v>
      </c>
      <c r="AE8" s="55">
        <f t="shared" si="8"/>
        <v>138.8597424227859</v>
      </c>
      <c r="AF8" s="55">
        <f t="shared" si="8"/>
        <v>139.56711475848144</v>
      </c>
      <c r="AG8" s="55">
        <f t="shared" si="8"/>
        <v>140.17266433632707</v>
      </c>
      <c r="AH8" s="55">
        <f t="shared" si="8"/>
        <v>141.02826572568728</v>
      </c>
      <c r="AI8" s="55">
        <f t="shared" si="8"/>
        <v>141.87537040189821</v>
      </c>
      <c r="AJ8" s="55">
        <f t="shared" si="8"/>
        <v>142.74870154146677</v>
      </c>
      <c r="AK8" s="55">
        <f t="shared" si="8"/>
        <v>143.6582080565847</v>
      </c>
    </row>
    <row r="9" spans="1:37" x14ac:dyDescent="0.2">
      <c r="A9" s="66" t="s">
        <v>80</v>
      </c>
      <c r="B9" s="67">
        <f t="shared" ref="B9:J9" si="9">B6-B10</f>
        <v>207.18372836858009</v>
      </c>
      <c r="C9" s="67">
        <f t="shared" si="9"/>
        <v>225.54728936555892</v>
      </c>
      <c r="D9" s="67">
        <f t="shared" si="9"/>
        <v>231.37808335347432</v>
      </c>
      <c r="E9" s="67">
        <f t="shared" si="9"/>
        <v>236.69491861027191</v>
      </c>
      <c r="F9" s="67">
        <f t="shared" si="9"/>
        <v>246.70034238670692</v>
      </c>
      <c r="G9" s="67">
        <f t="shared" si="9"/>
        <v>274.66120887840481</v>
      </c>
      <c r="H9" s="67">
        <f t="shared" si="9"/>
        <v>266.92672838735945</v>
      </c>
      <c r="I9" s="67">
        <f t="shared" si="9"/>
        <v>302.28033561023568</v>
      </c>
      <c r="J9" s="67">
        <f t="shared" si="9"/>
        <v>368.76356594632023</v>
      </c>
      <c r="K9" s="67">
        <f>SUM(K7:K8)</f>
        <v>336.60250375090033</v>
      </c>
      <c r="L9" s="68">
        <f>L6-L10</f>
        <v>366.26783392256414</v>
      </c>
      <c r="M9" s="68">
        <f t="shared" ref="M9:AK9" si="10">M6-M10</f>
        <v>345.108342081876</v>
      </c>
      <c r="N9" s="68">
        <f t="shared" si="10"/>
        <v>360.84705788797925</v>
      </c>
      <c r="O9" s="68">
        <f t="shared" si="10"/>
        <v>352.65904416832797</v>
      </c>
      <c r="P9" s="68">
        <f t="shared" si="10"/>
        <v>369.11690666072951</v>
      </c>
      <c r="Q9" s="68">
        <f t="shared" si="10"/>
        <v>366.20830962429545</v>
      </c>
      <c r="R9" s="68">
        <f t="shared" si="10"/>
        <v>378.78793208464162</v>
      </c>
      <c r="S9" s="68">
        <f t="shared" si="10"/>
        <v>365.52385008519474</v>
      </c>
      <c r="T9" s="68">
        <f t="shared" si="10"/>
        <v>371.45920852463786</v>
      </c>
      <c r="U9" s="68">
        <f t="shared" si="10"/>
        <v>380.21924139589981</v>
      </c>
      <c r="V9" s="68">
        <f t="shared" si="10"/>
        <v>373.4397083429339</v>
      </c>
      <c r="W9" s="68">
        <f t="shared" si="10"/>
        <v>374.88598808666154</v>
      </c>
      <c r="X9" s="68">
        <f t="shared" si="10"/>
        <v>374.10559928706556</v>
      </c>
      <c r="Y9" s="68">
        <f t="shared" si="10"/>
        <v>375.82194912743978</v>
      </c>
      <c r="Z9" s="68">
        <f t="shared" si="10"/>
        <v>376.69449724800018</v>
      </c>
      <c r="AA9" s="68">
        <f t="shared" si="10"/>
        <v>375.98954841842021</v>
      </c>
      <c r="AB9" s="68">
        <f t="shared" si="10"/>
        <v>376.49951643351744</v>
      </c>
      <c r="AC9" s="68">
        <f t="shared" si="10"/>
        <v>376.82222210288859</v>
      </c>
      <c r="AD9" s="68">
        <f t="shared" si="10"/>
        <v>377.36554666605321</v>
      </c>
      <c r="AE9" s="68">
        <f t="shared" si="10"/>
        <v>377.67426617377589</v>
      </c>
      <c r="AF9" s="68">
        <f t="shared" si="10"/>
        <v>377.8702199589311</v>
      </c>
      <c r="AG9" s="68">
        <f t="shared" si="10"/>
        <v>378.24635426703321</v>
      </c>
      <c r="AH9" s="68">
        <f t="shared" si="10"/>
        <v>378.59572183373638</v>
      </c>
      <c r="AI9" s="68">
        <f t="shared" si="10"/>
        <v>378.95042177990598</v>
      </c>
      <c r="AJ9" s="68">
        <f t="shared" si="10"/>
        <v>379.26739680267656</v>
      </c>
      <c r="AK9" s="68">
        <f t="shared" si="10"/>
        <v>379.58602292845666</v>
      </c>
    </row>
    <row r="10" spans="1:37" x14ac:dyDescent="0.2">
      <c r="A10" s="65" t="s">
        <v>81</v>
      </c>
      <c r="B10" s="54">
        <f t="shared" ref="B10:I10" si="11">B98</f>
        <v>0</v>
      </c>
      <c r="C10" s="54">
        <f t="shared" si="11"/>
        <v>0</v>
      </c>
      <c r="D10" s="54">
        <f t="shared" si="11"/>
        <v>0</v>
      </c>
      <c r="E10" s="54">
        <f t="shared" si="11"/>
        <v>0</v>
      </c>
      <c r="F10" s="54">
        <f t="shared" si="11"/>
        <v>0</v>
      </c>
      <c r="G10" s="54">
        <f t="shared" si="11"/>
        <v>2.3416206079999999</v>
      </c>
      <c r="H10" s="54">
        <f t="shared" si="11"/>
        <v>1.8296552720000001</v>
      </c>
      <c r="I10" s="54">
        <f t="shared" si="11"/>
        <v>1.3364461480000001</v>
      </c>
      <c r="J10" s="54">
        <f>J98</f>
        <v>2.9426119080000004</v>
      </c>
      <c r="K10" s="54">
        <f>K98</f>
        <v>12.957636600000001</v>
      </c>
      <c r="L10" s="55">
        <f>L98</f>
        <v>0</v>
      </c>
      <c r="M10" s="55">
        <f t="shared" ref="M10:AK10" si="12">M98</f>
        <v>0</v>
      </c>
      <c r="N10" s="55">
        <f t="shared" si="12"/>
        <v>0</v>
      </c>
      <c r="O10" s="55">
        <f t="shared" si="12"/>
        <v>0</v>
      </c>
      <c r="P10" s="55">
        <f t="shared" si="12"/>
        <v>0</v>
      </c>
      <c r="Q10" s="55">
        <f t="shared" si="12"/>
        <v>0</v>
      </c>
      <c r="R10" s="55">
        <f t="shared" si="12"/>
        <v>0</v>
      </c>
      <c r="S10" s="55">
        <f t="shared" si="12"/>
        <v>0</v>
      </c>
      <c r="T10" s="55">
        <f t="shared" si="12"/>
        <v>0</v>
      </c>
      <c r="U10" s="55">
        <f t="shared" si="12"/>
        <v>0</v>
      </c>
      <c r="V10" s="55">
        <f t="shared" si="12"/>
        <v>0</v>
      </c>
      <c r="W10" s="55">
        <f t="shared" si="12"/>
        <v>0</v>
      </c>
      <c r="X10" s="55">
        <f t="shared" si="12"/>
        <v>0</v>
      </c>
      <c r="Y10" s="55">
        <f t="shared" si="12"/>
        <v>0</v>
      </c>
      <c r="Z10" s="55">
        <f t="shared" si="12"/>
        <v>0</v>
      </c>
      <c r="AA10" s="55">
        <f t="shared" si="12"/>
        <v>0</v>
      </c>
      <c r="AB10" s="55">
        <f t="shared" si="12"/>
        <v>0</v>
      </c>
      <c r="AC10" s="55">
        <f t="shared" si="12"/>
        <v>0</v>
      </c>
      <c r="AD10" s="55">
        <f t="shared" si="12"/>
        <v>0</v>
      </c>
      <c r="AE10" s="55">
        <f t="shared" si="12"/>
        <v>0</v>
      </c>
      <c r="AF10" s="55">
        <f t="shared" si="12"/>
        <v>0</v>
      </c>
      <c r="AG10" s="55">
        <f t="shared" si="12"/>
        <v>0</v>
      </c>
      <c r="AH10" s="55">
        <f t="shared" si="12"/>
        <v>0</v>
      </c>
      <c r="AI10" s="55">
        <f t="shared" si="12"/>
        <v>0</v>
      </c>
      <c r="AJ10" s="55">
        <f t="shared" si="12"/>
        <v>0</v>
      </c>
      <c r="AK10" s="55">
        <f t="shared" si="12"/>
        <v>0</v>
      </c>
    </row>
    <row r="11" spans="1:37" s="61" customFormat="1" x14ac:dyDescent="0.2">
      <c r="A11" s="69"/>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row>
    <row r="12" spans="1:37" x14ac:dyDescent="0.2">
      <c r="A12" s="71" t="s">
        <v>82</v>
      </c>
      <c r="B12" s="67">
        <f>SUM(Capacity!$B50:$B61)</f>
        <v>105.66800000000001</v>
      </c>
      <c r="C12" s="67">
        <f>SUM(Capacity!$B62:$B73)</f>
        <v>145.29350000000002</v>
      </c>
      <c r="D12" s="67">
        <f>SUM(Capacity!$B74:$B85)</f>
        <v>156.12446999999997</v>
      </c>
      <c r="E12" s="67">
        <f>SUM(Capacity!$B86:$B97)</f>
        <v>179.10726</v>
      </c>
      <c r="F12" s="67">
        <f>SUM(Capacity!$B98:$B109)</f>
        <v>185.97568000000001</v>
      </c>
      <c r="G12" s="67">
        <f>SUM(Capacity!$B110:$B121)</f>
        <v>181.22062000000003</v>
      </c>
      <c r="H12" s="67">
        <f>SUM(Capacity!$B122:$B133)</f>
        <v>181.22062000000003</v>
      </c>
      <c r="I12" s="67">
        <f>SUM(Capacity!$B134:$B145)</f>
        <v>181.22062000000003</v>
      </c>
      <c r="J12" s="67">
        <f>SUM(Capacity!$B146:$B157)</f>
        <v>177.25806999999998</v>
      </c>
      <c r="K12" s="67">
        <f>SUM(Capacity!$B158:$B169)</f>
        <v>177.25806999999998</v>
      </c>
      <c r="L12" s="67">
        <f>SUM(Capacity!$B170:$B181)</f>
        <v>177.25806999999998</v>
      </c>
      <c r="M12" s="67">
        <f>L12</f>
        <v>177.25806999999998</v>
      </c>
      <c r="N12" s="67">
        <f t="shared" ref="N12:AK12" si="13">M12</f>
        <v>177.25806999999998</v>
      </c>
      <c r="O12" s="67">
        <f t="shared" si="13"/>
        <v>177.25806999999998</v>
      </c>
      <c r="P12" s="67">
        <f t="shared" si="13"/>
        <v>177.25806999999998</v>
      </c>
      <c r="Q12" s="67">
        <f t="shared" si="13"/>
        <v>177.25806999999998</v>
      </c>
      <c r="R12" s="67">
        <f t="shared" si="13"/>
        <v>177.25806999999998</v>
      </c>
      <c r="S12" s="67">
        <f t="shared" si="13"/>
        <v>177.25806999999998</v>
      </c>
      <c r="T12" s="67">
        <f t="shared" si="13"/>
        <v>177.25806999999998</v>
      </c>
      <c r="U12" s="67">
        <f t="shared" si="13"/>
        <v>177.25806999999998</v>
      </c>
      <c r="V12" s="67">
        <f t="shared" si="13"/>
        <v>177.25806999999998</v>
      </c>
      <c r="W12" s="67">
        <f t="shared" si="13"/>
        <v>177.25806999999998</v>
      </c>
      <c r="X12" s="67">
        <f t="shared" si="13"/>
        <v>177.25806999999998</v>
      </c>
      <c r="Y12" s="67">
        <f t="shared" si="13"/>
        <v>177.25806999999998</v>
      </c>
      <c r="Z12" s="67">
        <f t="shared" si="13"/>
        <v>177.25806999999998</v>
      </c>
      <c r="AA12" s="67">
        <f t="shared" si="13"/>
        <v>177.25806999999998</v>
      </c>
      <c r="AB12" s="67">
        <f t="shared" si="13"/>
        <v>177.25806999999998</v>
      </c>
      <c r="AC12" s="67">
        <f t="shared" si="13"/>
        <v>177.25806999999998</v>
      </c>
      <c r="AD12" s="67">
        <f t="shared" si="13"/>
        <v>177.25806999999998</v>
      </c>
      <c r="AE12" s="67">
        <f t="shared" si="13"/>
        <v>177.25806999999998</v>
      </c>
      <c r="AF12" s="67">
        <f t="shared" si="13"/>
        <v>177.25806999999998</v>
      </c>
      <c r="AG12" s="67">
        <f t="shared" si="13"/>
        <v>177.25806999999998</v>
      </c>
      <c r="AH12" s="67">
        <f t="shared" si="13"/>
        <v>177.25806999999998</v>
      </c>
      <c r="AI12" s="67">
        <f t="shared" si="13"/>
        <v>177.25806999999998</v>
      </c>
      <c r="AJ12" s="67">
        <f t="shared" si="13"/>
        <v>177.25806999999998</v>
      </c>
      <c r="AK12" s="67">
        <f t="shared" si="13"/>
        <v>177.25806999999998</v>
      </c>
    </row>
    <row r="13" spans="1:37" x14ac:dyDescent="0.2">
      <c r="G13" s="72"/>
      <c r="H13" s="72"/>
      <c r="I13" s="72"/>
      <c r="J13" s="72"/>
      <c r="K13" s="72"/>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x14ac:dyDescent="0.2">
      <c r="A14" s="65" t="s">
        <v>83</v>
      </c>
      <c r="B14" s="74">
        <f>Diesel!B7</f>
        <v>7741.8246319999989</v>
      </c>
      <c r="C14" s="74">
        <f>Diesel!C7</f>
        <v>7632.7215960000012</v>
      </c>
      <c r="D14" s="74">
        <f>Diesel!D7</f>
        <v>8242.1664000000001</v>
      </c>
      <c r="E14" s="74">
        <f>Diesel!E7</f>
        <v>8978.9421080000011</v>
      </c>
      <c r="F14" s="74">
        <f>Diesel!F7</f>
        <v>8597.6230345999993</v>
      </c>
      <c r="G14" s="74">
        <f>Diesel!G7</f>
        <v>8197.7582942839999</v>
      </c>
      <c r="H14" s="74">
        <f>Diesel!H7</f>
        <v>8252.552850524</v>
      </c>
      <c r="I14" s="74">
        <f>Diesel!I7</f>
        <v>8605.4549418840015</v>
      </c>
      <c r="J14" s="74">
        <f>Diesel!J7</f>
        <v>8490.2178320439998</v>
      </c>
      <c r="K14" s="74">
        <f>Diesel!K7</f>
        <v>8622.0803425320009</v>
      </c>
      <c r="L14" s="74">
        <f>Diesel!L7</f>
        <v>8732.7203660604246</v>
      </c>
      <c r="M14" s="74">
        <f>Diesel!M7</f>
        <v>8834.5609047794242</v>
      </c>
      <c r="N14" s="74">
        <f>Diesel!N7</f>
        <v>8938.2345731953646</v>
      </c>
      <c r="O14" s="74">
        <f>Diesel!O7</f>
        <v>9043.7743676427926</v>
      </c>
      <c r="P14" s="74">
        <f>Diesel!P7</f>
        <v>9151.2138783902774</v>
      </c>
      <c r="Q14" s="74">
        <f>Diesel!Q7</f>
        <v>9260.5873003312136</v>
      </c>
      <c r="R14" s="74">
        <f>Diesel!R7</f>
        <v>9371.9294438670859</v>
      </c>
      <c r="S14" s="74">
        <f>Diesel!S7</f>
        <v>9485.2757459866043</v>
      </c>
      <c r="T14" s="74">
        <f>Diesel!T7</f>
        <v>9600.6622815442752</v>
      </c>
      <c r="U14" s="74">
        <f>Diesel!U7</f>
        <v>9718.1257747419841</v>
      </c>
      <c r="V14" s="74">
        <f>Diesel!V7</f>
        <v>9837.7036108172524</v>
      </c>
      <c r="W14" s="74">
        <f>Diesel!W7</f>
        <v>9959.433847941873</v>
      </c>
      <c r="X14" s="74">
        <f>Diesel!X7</f>
        <v>10083.355229334738</v>
      </c>
      <c r="Y14" s="74">
        <f>Diesel!Y7</f>
        <v>10209.507195592676</v>
      </c>
      <c r="Z14" s="74">
        <f>Diesel!Z7</f>
        <v>10337.929897243255</v>
      </c>
      <c r="AA14" s="74">
        <f>Diesel!AA7</f>
        <v>10468.664207523545</v>
      </c>
      <c r="AB14" s="74">
        <f>Diesel!AB7</f>
        <v>10601.75173538888</v>
      </c>
      <c r="AC14" s="74">
        <f>Diesel!AC7</f>
        <v>10737.234838755794</v>
      </c>
      <c r="AD14" s="74">
        <f>Diesel!AD7</f>
        <v>10875.156637983308</v>
      </c>
      <c r="AE14" s="74">
        <f>Diesel!AE7</f>
        <v>11015.56102959692</v>
      </c>
      <c r="AF14" s="74">
        <f>Diesel!AF7</f>
        <v>11158.492700259576</v>
      </c>
      <c r="AG14" s="74">
        <f>Diesel!AG7</f>
        <v>11303.997140994161</v>
      </c>
      <c r="AH14" s="74">
        <f>Diesel!AH7</f>
        <v>11452.120661661964</v>
      </c>
      <c r="AI14" s="74">
        <f>Diesel!AI7</f>
        <v>11602.910405701792</v>
      </c>
      <c r="AJ14" s="74">
        <f>Diesel!AJ7</f>
        <v>11756.414365134337</v>
      </c>
      <c r="AK14" s="74">
        <f>Diesel!AK7</f>
        <v>11912.681395836664</v>
      </c>
    </row>
    <row r="15" spans="1:37" x14ac:dyDescent="0.2">
      <c r="A15" s="65" t="s">
        <v>84</v>
      </c>
      <c r="B15" s="75">
        <f>B7/B14</f>
        <v>1.8547979725692068E-2</v>
      </c>
      <c r="C15" s="75">
        <f t="shared" ref="C15:AJ15" si="14">C7/C14</f>
        <v>1.476621630291482E-2</v>
      </c>
      <c r="D15" s="75">
        <f t="shared" si="14"/>
        <v>1.7516467863363038E-2</v>
      </c>
      <c r="E15" s="75">
        <f t="shared" si="14"/>
        <v>1.7509158487934506E-2</v>
      </c>
      <c r="F15" s="75">
        <f t="shared" si="14"/>
        <v>1.8179130269503629E-2</v>
      </c>
      <c r="G15" s="75">
        <f t="shared" si="14"/>
        <v>1.9158471311505696E-2</v>
      </c>
      <c r="H15" s="75">
        <f t="shared" si="14"/>
        <v>1.836710391189161E-2</v>
      </c>
      <c r="I15" s="75">
        <f t="shared" si="14"/>
        <v>2.3571276645975567E-2</v>
      </c>
      <c r="J15" s="75">
        <f t="shared" si="14"/>
        <v>2.7553084889652014E-2</v>
      </c>
      <c r="K15" s="75">
        <f t="shared" si="14"/>
        <v>2.3911902224160373E-2</v>
      </c>
      <c r="L15" s="75">
        <f>L7/L14</f>
        <v>2.8773145525088892E-2</v>
      </c>
      <c r="M15" s="75">
        <f t="shared" si="14"/>
        <v>2.4695338916841055E-2</v>
      </c>
      <c r="N15" s="75">
        <f t="shared" si="14"/>
        <v>2.5730597121283845E-2</v>
      </c>
      <c r="O15" s="75">
        <f t="shared" si="14"/>
        <v>2.4892073014839023E-2</v>
      </c>
      <c r="P15" s="75">
        <f t="shared" si="14"/>
        <v>2.5450763659863464E-2</v>
      </c>
      <c r="Q15" s="75">
        <f t="shared" si="14"/>
        <v>2.5560326798570177E-2</v>
      </c>
      <c r="R15" s="75">
        <f t="shared" si="14"/>
        <v>2.6631289339984692E-2</v>
      </c>
      <c r="S15" s="75">
        <f t="shared" si="14"/>
        <v>2.4864729054208889E-2</v>
      </c>
      <c r="T15" s="75">
        <f t="shared" si="14"/>
        <v>2.5373639725262735E-2</v>
      </c>
      <c r="U15" s="75">
        <f t="shared" si="14"/>
        <v>2.5727273014010718E-2</v>
      </c>
      <c r="V15" s="75">
        <f t="shared" si="14"/>
        <v>2.4702999975576356E-2</v>
      </c>
      <c r="W15" s="75">
        <f t="shared" si="14"/>
        <v>2.4325008523370391E-2</v>
      </c>
      <c r="X15" s="75">
        <f t="shared" si="14"/>
        <v>2.3890197008070845E-2</v>
      </c>
      <c r="Y15" s="75">
        <f t="shared" si="14"/>
        <v>2.3674825510728092E-2</v>
      </c>
      <c r="Z15" s="75">
        <f t="shared" si="14"/>
        <v>2.3382854860600162E-2</v>
      </c>
      <c r="AA15" s="75">
        <f t="shared" si="14"/>
        <v>2.3020539763160867E-2</v>
      </c>
      <c r="AB15" s="75">
        <f t="shared" si="14"/>
        <v>2.2700914926841346E-2</v>
      </c>
      <c r="AC15" s="75">
        <f t="shared" si="14"/>
        <v>2.2350540527693794E-2</v>
      </c>
      <c r="AD15" s="75">
        <f t="shared" si="14"/>
        <v>2.1994488573840232E-2</v>
      </c>
      <c r="AE15" s="75">
        <f t="shared" si="14"/>
        <v>2.1679742240030844E-2</v>
      </c>
      <c r="AF15" s="75">
        <f t="shared" si="14"/>
        <v>2.1356209266051328E-2</v>
      </c>
      <c r="AG15" s="75">
        <f t="shared" si="14"/>
        <v>2.1061018236401295E-2</v>
      </c>
      <c r="AH15" s="75">
        <f t="shared" si="14"/>
        <v>2.0744407357088799E-2</v>
      </c>
      <c r="AI15" s="75">
        <f t="shared" si="14"/>
        <v>2.043237800591019E-2</v>
      </c>
      <c r="AJ15" s="75">
        <f t="shared" si="14"/>
        <v>2.0118268029293569E-2</v>
      </c>
      <c r="AK15" s="75">
        <f>AK7/AK14</f>
        <v>1.9804761584098593E-2</v>
      </c>
    </row>
    <row r="16" spans="1:37" x14ac:dyDescent="0.2">
      <c r="A16" s="65" t="s">
        <v>85</v>
      </c>
      <c r="B16" s="75">
        <f>RD!B7/BD!B14</f>
        <v>7.6434281080729099E-3</v>
      </c>
      <c r="C16" s="75">
        <f>RD!C7/BD!C14</f>
        <v>9.0332614825271561E-3</v>
      </c>
      <c r="D16" s="75">
        <f>RD!D7/BD!D14</f>
        <v>1.3172977192015925E-2</v>
      </c>
      <c r="E16" s="75">
        <f>RD!E7/BD!E14</f>
        <v>1.0532739699450571E-2</v>
      </c>
      <c r="F16" s="75">
        <f>RD!F7/BD!F14</f>
        <v>1.1675855012020814E-2</v>
      </c>
      <c r="G16" s="75">
        <f>RD!G7/BD!G14</f>
        <v>1.6112331598273407E-2</v>
      </c>
      <c r="H16" s="75">
        <f>RD!H7/BD!H14</f>
        <v>1.5429157777755416E-2</v>
      </c>
      <c r="I16" s="75">
        <f>RD!I7/BD!I14</f>
        <v>1.1665228704111104E-2</v>
      </c>
      <c r="J16" s="75">
        <f>RD!J7/BD!J14</f>
        <v>2.6914156329130072E-2</v>
      </c>
      <c r="K16" s="75">
        <f>RD!K7/BD!K14</f>
        <v>4.7670928023073517E-2</v>
      </c>
      <c r="L16" s="75">
        <f>RD!L7/BD!L14</f>
        <v>4.2041287957858296E-2</v>
      </c>
      <c r="M16" s="75">
        <f>RD!M7/BD!M14</f>
        <v>4.7321934724574528E-2</v>
      </c>
      <c r="N16" s="75">
        <f>RD!N7/BD!N14</f>
        <v>4.7540125009093881E-2</v>
      </c>
      <c r="O16" s="75">
        <f>RD!O7/BD!O14</f>
        <v>4.7510560469931837E-2</v>
      </c>
      <c r="P16" s="75">
        <f>RD!P7/BD!P14</f>
        <v>5.064978390603489E-2</v>
      </c>
      <c r="Q16" s="75">
        <f>RD!Q7/BD!Q14</f>
        <v>5.493679454410566E-2</v>
      </c>
      <c r="R16" s="75">
        <f>RD!R7/BD!R14</f>
        <v>5.4520203669432603E-2</v>
      </c>
      <c r="S16" s="75">
        <f>RD!S7/BD!S14</f>
        <v>5.5561174002805781E-2</v>
      </c>
      <c r="T16" s="75">
        <f>RD!T7/BD!T14</f>
        <v>5.6104606229420526E-2</v>
      </c>
      <c r="U16" s="75">
        <f>RD!U7/BD!U14</f>
        <v>5.6680792597548456E-2</v>
      </c>
      <c r="V16" s="75">
        <f>RD!V7/BD!V14</f>
        <v>5.7384055105892305E-2</v>
      </c>
      <c r="W16" s="75">
        <f>RD!W7/BD!W14</f>
        <v>5.7081289971412159E-2</v>
      </c>
      <c r="X16" s="75">
        <f>RD!X7/BD!X14</f>
        <v>5.6653784593330814E-2</v>
      </c>
      <c r="Y16" s="75">
        <f>RD!Y7/BD!Y14</f>
        <v>5.6229241211351692E-2</v>
      </c>
      <c r="Z16" s="75">
        <f>RD!Z7/BD!Z14</f>
        <v>5.5870272732579877E-2</v>
      </c>
      <c r="AA16" s="75">
        <f>RD!AA7/BD!AA14</f>
        <v>5.5453563484473847E-2</v>
      </c>
      <c r="AB16" s="75">
        <f>RD!AB7/BD!AB14</f>
        <v>5.5033277342483387E-2</v>
      </c>
      <c r="AC16" s="75">
        <f>RD!AC7/BD!AC14</f>
        <v>5.460190820226643E-2</v>
      </c>
      <c r="AD16" s="75">
        <f>RD!AD7/BD!AD14</f>
        <v>5.419509147990742E-2</v>
      </c>
      <c r="AE16" s="75">
        <f>RD!AE7/BD!AE14</f>
        <v>5.377514238090883E-2</v>
      </c>
      <c r="AF16" s="75">
        <f>RD!AF7/BD!AF14</f>
        <v>5.3356498165481277E-2</v>
      </c>
      <c r="AG16" s="75">
        <f>RD!AG7/BD!AG14</f>
        <v>5.2938946757744215E-2</v>
      </c>
      <c r="AH16" s="75">
        <f>RD!AH7/BD!AH14</f>
        <v>5.2514174746666559E-2</v>
      </c>
      <c r="AI16" s="75">
        <f>RD!AI7/BD!AI14</f>
        <v>5.2088711760540918E-2</v>
      </c>
      <c r="AJ16" s="75">
        <f>RD!AJ7/BD!AJ14</f>
        <v>5.1662935046479556E-2</v>
      </c>
      <c r="AK16" s="75">
        <f>RD!AK7/BD!AK14</f>
        <v>5.1238235970292589E-2</v>
      </c>
    </row>
    <row r="17" spans="1:37" x14ac:dyDescent="0.2">
      <c r="A17" s="65" t="s">
        <v>86</v>
      </c>
      <c r="B17" s="76">
        <f>SUM(B15:B16)</f>
        <v>2.6191407833764977E-2</v>
      </c>
      <c r="C17" s="76">
        <f t="shared" ref="C17:AJ17" si="15">SUM(C15:C16)</f>
        <v>2.3799477785441975E-2</v>
      </c>
      <c r="D17" s="76">
        <f t="shared" si="15"/>
        <v>3.0689445055378961E-2</v>
      </c>
      <c r="E17" s="76">
        <f t="shared" si="15"/>
        <v>2.8041898187385075E-2</v>
      </c>
      <c r="F17" s="76">
        <f t="shared" si="15"/>
        <v>2.9854985281524443E-2</v>
      </c>
      <c r="G17" s="76">
        <f t="shared" si="15"/>
        <v>3.5270802909779103E-2</v>
      </c>
      <c r="H17" s="75">
        <f t="shared" si="15"/>
        <v>3.3796261689647028E-2</v>
      </c>
      <c r="I17" s="75">
        <f t="shared" si="15"/>
        <v>3.5236505350086669E-2</v>
      </c>
      <c r="J17" s="75">
        <f t="shared" si="15"/>
        <v>5.4467241218782089E-2</v>
      </c>
      <c r="K17" s="75">
        <f t="shared" si="15"/>
        <v>7.1582830247233886E-2</v>
      </c>
      <c r="L17" s="75">
        <f t="shared" si="15"/>
        <v>7.0814433482947192E-2</v>
      </c>
      <c r="M17" s="75">
        <f t="shared" si="15"/>
        <v>7.201727364141558E-2</v>
      </c>
      <c r="N17" s="75">
        <f t="shared" si="15"/>
        <v>7.3270722130377719E-2</v>
      </c>
      <c r="O17" s="75">
        <f t="shared" si="15"/>
        <v>7.2402633484770856E-2</v>
      </c>
      <c r="P17" s="75">
        <f t="shared" si="15"/>
        <v>7.6100547565898347E-2</v>
      </c>
      <c r="Q17" s="75">
        <f t="shared" si="15"/>
        <v>8.0497121342675837E-2</v>
      </c>
      <c r="R17" s="75">
        <f t="shared" si="15"/>
        <v>8.1151493009417291E-2</v>
      </c>
      <c r="S17" s="75">
        <f t="shared" si="15"/>
        <v>8.0425903057014664E-2</v>
      </c>
      <c r="T17" s="75">
        <f t="shared" si="15"/>
        <v>8.1478245954683254E-2</v>
      </c>
      <c r="U17" s="75">
        <f t="shared" si="15"/>
        <v>8.2408065611559167E-2</v>
      </c>
      <c r="V17" s="75">
        <f t="shared" si="15"/>
        <v>8.2087055081468657E-2</v>
      </c>
      <c r="W17" s="75">
        <f t="shared" si="15"/>
        <v>8.140629849478255E-2</v>
      </c>
      <c r="X17" s="75">
        <f t="shared" si="15"/>
        <v>8.0543981601401665E-2</v>
      </c>
      <c r="Y17" s="75">
        <f t="shared" si="15"/>
        <v>7.9904066722079781E-2</v>
      </c>
      <c r="Z17" s="75">
        <f t="shared" si="15"/>
        <v>7.9253127593180039E-2</v>
      </c>
      <c r="AA17" s="75">
        <f t="shared" si="15"/>
        <v>7.8474103247634708E-2</v>
      </c>
      <c r="AB17" s="75">
        <f t="shared" si="15"/>
        <v>7.7734192269324737E-2</v>
      </c>
      <c r="AC17" s="75">
        <f t="shared" si="15"/>
        <v>7.6952448729960224E-2</v>
      </c>
      <c r="AD17" s="75">
        <f t="shared" si="15"/>
        <v>7.6189580053747652E-2</v>
      </c>
      <c r="AE17" s="75">
        <f t="shared" si="15"/>
        <v>7.5454884620939675E-2</v>
      </c>
      <c r="AF17" s="75">
        <f t="shared" si="15"/>
        <v>7.4712707431532605E-2</v>
      </c>
      <c r="AG17" s="75">
        <f t="shared" si="15"/>
        <v>7.3999964994145517E-2</v>
      </c>
      <c r="AH17" s="75">
        <f t="shared" si="15"/>
        <v>7.3258582103755354E-2</v>
      </c>
      <c r="AI17" s="75">
        <f t="shared" si="15"/>
        <v>7.2521089766451108E-2</v>
      </c>
      <c r="AJ17" s="75">
        <f t="shared" si="15"/>
        <v>7.1781203075773126E-2</v>
      </c>
      <c r="AK17" s="75">
        <f>SUM(AK15:AK16)</f>
        <v>7.1042997554391182E-2</v>
      </c>
    </row>
    <row r="18" spans="1:37" x14ac:dyDescent="0.2">
      <c r="A18" s="77" t="s">
        <v>87</v>
      </c>
      <c r="B18" s="76"/>
      <c r="C18" s="76"/>
      <c r="D18" s="76"/>
      <c r="E18" s="76"/>
      <c r="F18" s="76"/>
      <c r="G18" s="76"/>
      <c r="H18" s="76"/>
      <c r="I18" s="76"/>
      <c r="J18" s="78"/>
      <c r="K18" s="79"/>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row>
    <row r="19" spans="1:37" x14ac:dyDescent="0.2">
      <c r="A19" s="65"/>
      <c r="B19" s="76"/>
      <c r="C19" s="76"/>
      <c r="D19" s="54"/>
      <c r="E19" s="54"/>
      <c r="F19" s="54"/>
      <c r="G19" s="54"/>
      <c r="H19" s="54"/>
      <c r="I19" s="54"/>
      <c r="J19" s="55"/>
      <c r="K19" s="79"/>
      <c r="L19" s="75"/>
      <c r="M19" s="55"/>
      <c r="N19" s="55"/>
      <c r="O19" s="55"/>
      <c r="P19" s="80"/>
      <c r="Q19" s="80"/>
      <c r="R19" s="80"/>
      <c r="S19" s="80"/>
      <c r="T19" s="80"/>
      <c r="U19" s="80"/>
      <c r="V19" s="80"/>
      <c r="W19" s="80"/>
      <c r="X19" s="80"/>
      <c r="Y19" s="80"/>
      <c r="Z19" s="80"/>
      <c r="AA19" s="80"/>
      <c r="AB19" s="80"/>
      <c r="AC19" s="80"/>
      <c r="AD19" s="80"/>
      <c r="AE19" s="80"/>
      <c r="AF19" s="80"/>
      <c r="AG19" s="80"/>
      <c r="AH19" s="80"/>
      <c r="AI19" s="80"/>
      <c r="AJ19" s="80"/>
      <c r="AK19" s="80"/>
    </row>
    <row r="20" spans="1:37" x14ac:dyDescent="0.2">
      <c r="A20" s="65"/>
      <c r="B20" s="76"/>
      <c r="C20" s="76"/>
      <c r="D20" s="54"/>
      <c r="E20" s="54"/>
      <c r="F20" s="54"/>
      <c r="G20" s="54"/>
      <c r="H20" s="54"/>
      <c r="I20" s="54"/>
      <c r="J20" s="55"/>
      <c r="K20" s="78"/>
      <c r="L20" s="55"/>
      <c r="M20" s="55"/>
      <c r="N20" s="55"/>
      <c r="O20" s="55"/>
      <c r="P20" s="80"/>
      <c r="Q20" s="80"/>
      <c r="R20" s="80"/>
      <c r="S20" s="80"/>
      <c r="T20" s="80"/>
      <c r="U20" s="80"/>
      <c r="V20" s="80"/>
      <c r="W20" s="80"/>
      <c r="X20" s="80"/>
      <c r="Y20" s="80"/>
      <c r="Z20" s="80"/>
      <c r="AA20" s="80"/>
      <c r="AB20" s="80"/>
      <c r="AC20" s="80"/>
      <c r="AD20" s="80"/>
      <c r="AE20" s="80"/>
      <c r="AF20" s="80"/>
      <c r="AG20" s="80"/>
      <c r="AH20" s="80"/>
      <c r="AI20" s="80"/>
      <c r="AJ20" s="80"/>
      <c r="AK20" s="80"/>
    </row>
    <row r="21" spans="1:37" ht="12" thickBot="1" x14ac:dyDescent="0.25">
      <c r="A21" s="81" t="s">
        <v>88</v>
      </c>
    </row>
    <row r="22" spans="1:37" ht="12" thickBot="1" x14ac:dyDescent="0.25">
      <c r="A22" s="82"/>
      <c r="B22" s="82">
        <f t="shared" ref="B22:AJ22" si="16">B2</f>
        <v>2015</v>
      </c>
      <c r="C22" s="82">
        <f t="shared" si="16"/>
        <v>2016</v>
      </c>
      <c r="D22" s="82">
        <f t="shared" si="16"/>
        <v>2017</v>
      </c>
      <c r="E22" s="82">
        <f t="shared" si="16"/>
        <v>2018</v>
      </c>
      <c r="F22" s="82">
        <f t="shared" si="16"/>
        <v>2019</v>
      </c>
      <c r="G22" s="82">
        <f t="shared" si="16"/>
        <v>2020</v>
      </c>
      <c r="H22" s="82">
        <f t="shared" si="16"/>
        <v>2021</v>
      </c>
      <c r="I22" s="82">
        <f t="shared" si="16"/>
        <v>2022</v>
      </c>
      <c r="J22" s="82">
        <f t="shared" si="16"/>
        <v>2023</v>
      </c>
      <c r="K22" s="82">
        <f t="shared" si="16"/>
        <v>2024</v>
      </c>
      <c r="L22" s="82">
        <f t="shared" si="16"/>
        <v>2025</v>
      </c>
      <c r="M22" s="82">
        <f t="shared" si="16"/>
        <v>2026</v>
      </c>
      <c r="N22" s="82">
        <f t="shared" si="16"/>
        <v>2027</v>
      </c>
      <c r="O22" s="82">
        <f t="shared" si="16"/>
        <v>2028</v>
      </c>
      <c r="P22" s="82">
        <f t="shared" si="16"/>
        <v>2029</v>
      </c>
      <c r="Q22" s="82">
        <f t="shared" si="16"/>
        <v>2030</v>
      </c>
      <c r="R22" s="82">
        <f t="shared" si="16"/>
        <v>2031</v>
      </c>
      <c r="S22" s="82">
        <f t="shared" si="16"/>
        <v>2032</v>
      </c>
      <c r="T22" s="82">
        <f t="shared" si="16"/>
        <v>2033</v>
      </c>
      <c r="U22" s="82">
        <f t="shared" si="16"/>
        <v>2034</v>
      </c>
      <c r="V22" s="82">
        <f t="shared" si="16"/>
        <v>2035</v>
      </c>
      <c r="W22" s="82">
        <f t="shared" si="16"/>
        <v>2036</v>
      </c>
      <c r="X22" s="82">
        <f t="shared" si="16"/>
        <v>2037</v>
      </c>
      <c r="Y22" s="82">
        <f t="shared" si="16"/>
        <v>2038</v>
      </c>
      <c r="Z22" s="82">
        <f t="shared" si="16"/>
        <v>2039</v>
      </c>
      <c r="AA22" s="82">
        <f t="shared" si="16"/>
        <v>2040</v>
      </c>
      <c r="AB22" s="82">
        <f t="shared" si="16"/>
        <v>2041</v>
      </c>
      <c r="AC22" s="82">
        <f t="shared" si="16"/>
        <v>2042</v>
      </c>
      <c r="AD22" s="82">
        <f t="shared" si="16"/>
        <v>2043</v>
      </c>
      <c r="AE22" s="82">
        <f t="shared" si="16"/>
        <v>2044</v>
      </c>
      <c r="AF22" s="82">
        <f t="shared" si="16"/>
        <v>2045</v>
      </c>
      <c r="AG22" s="82">
        <f t="shared" si="16"/>
        <v>2046</v>
      </c>
      <c r="AH22" s="82">
        <f t="shared" si="16"/>
        <v>2047</v>
      </c>
      <c r="AI22" s="82">
        <f t="shared" si="16"/>
        <v>2048</v>
      </c>
      <c r="AJ22" s="82">
        <f t="shared" si="16"/>
        <v>2049</v>
      </c>
      <c r="AK22" s="82">
        <f>AK2</f>
        <v>2050</v>
      </c>
    </row>
    <row r="23" spans="1:37" s="61" customFormat="1" x14ac:dyDescent="0.2">
      <c r="A23" s="61" t="s">
        <v>89</v>
      </c>
      <c r="B23" s="83"/>
      <c r="C23" s="83"/>
      <c r="D23" s="83"/>
      <c r="E23" s="83"/>
      <c r="F23" s="83"/>
      <c r="G23" s="84">
        <f>monthly_data!$C64*264.172/1000000</f>
        <v>10.200473436000001</v>
      </c>
      <c r="H23" s="84">
        <f>monthly_data!$C76*264.172/1000000</f>
        <v>7.6171354480000009</v>
      </c>
      <c r="I23" s="84">
        <f>monthly_data!$C88*264.172/1000000-RD!I24</f>
        <v>5.8516739720000013</v>
      </c>
      <c r="J23" s="84">
        <f>monthly_data!$C100*264.172/1000000-RD!J24</f>
        <v>9.6874514119999997</v>
      </c>
      <c r="K23" s="84">
        <f>monthly_data!$C112*264.172/1000000-RD!K24</f>
        <v>10</v>
      </c>
      <c r="L23" s="85">
        <f t="shared" ref="L23:L33" si="17">L$35*(SUM(G23:K23)/SUM(G$35:K$35))</f>
        <v>11.708516454649889</v>
      </c>
      <c r="M23" s="85">
        <f t="shared" ref="M23:M33" si="18">M$35*(SUM(H23:L23)/SUM(H$35:L$35))</f>
        <v>10.3181395632429</v>
      </c>
      <c r="N23" s="85">
        <f t="shared" ref="N23:AC33" si="19">N$35*(SUM(I23:M23)/SUM(I$35:M$35))</f>
        <v>10.858316429840313</v>
      </c>
      <c r="O23" s="85">
        <f t="shared" si="19"/>
        <v>10.51448477194662</v>
      </c>
      <c r="P23" s="85">
        <f t="shared" si="19"/>
        <v>12.023571382063345</v>
      </c>
      <c r="Q23" s="85">
        <f t="shared" si="19"/>
        <v>11.084605720348614</v>
      </c>
      <c r="R23" s="85">
        <f t="shared" si="19"/>
        <v>10.959823573488357</v>
      </c>
      <c r="S23" s="85">
        <f t="shared" si="19"/>
        <v>11.088160375537448</v>
      </c>
      <c r="T23" s="85">
        <f t="shared" si="19"/>
        <v>11.472503789272253</v>
      </c>
      <c r="U23" s="85">
        <f t="shared" si="19"/>
        <v>12.001559652786872</v>
      </c>
      <c r="V23" s="85">
        <f t="shared" si="19"/>
        <v>12.065678166226823</v>
      </c>
      <c r="W23" s="85">
        <f t="shared" si="19"/>
        <v>12.261323695923569</v>
      </c>
      <c r="X23" s="85">
        <f t="shared" si="19"/>
        <v>12.521770497323566</v>
      </c>
      <c r="Y23" s="85">
        <f t="shared" si="19"/>
        <v>12.808539150218257</v>
      </c>
      <c r="Z23" s="85">
        <f t="shared" si="19"/>
        <v>13.075662147759468</v>
      </c>
      <c r="AA23" s="85">
        <f t="shared" si="19"/>
        <v>13.2905742715743</v>
      </c>
      <c r="AB23" s="85">
        <f t="shared" si="19"/>
        <v>13.535484109360908</v>
      </c>
      <c r="AC23" s="85">
        <f t="shared" si="19"/>
        <v>13.790340928210599</v>
      </c>
      <c r="AD23" s="85">
        <f t="shared" ref="AD23:AK33" si="20">AD$35*(SUM(Y23:AC23)/SUM(Y$35:AC$35))</f>
        <v>14.044056809171627</v>
      </c>
      <c r="AE23" s="85">
        <f t="shared" si="20"/>
        <v>14.291153665887649</v>
      </c>
      <c r="AF23" s="85">
        <f t="shared" si="20"/>
        <v>14.534259953207252</v>
      </c>
      <c r="AG23" s="85">
        <f t="shared" si="20"/>
        <v>14.782989224288826</v>
      </c>
      <c r="AH23" s="85">
        <f t="shared" si="20"/>
        <v>15.032494031710705</v>
      </c>
      <c r="AI23" s="85">
        <f t="shared" si="20"/>
        <v>15.280924466970179</v>
      </c>
      <c r="AJ23" s="85">
        <f t="shared" si="20"/>
        <v>15.528297436626438</v>
      </c>
      <c r="AK23" s="85">
        <f t="shared" si="20"/>
        <v>15.775726790789806</v>
      </c>
    </row>
    <row r="24" spans="1:37" s="61" customFormat="1" x14ac:dyDescent="0.2">
      <c r="A24" s="61" t="s">
        <v>90</v>
      </c>
      <c r="B24" s="83"/>
      <c r="C24" s="83"/>
      <c r="D24" s="83"/>
      <c r="E24" s="83"/>
      <c r="F24" s="83"/>
      <c r="G24" s="84">
        <f>monthly_data!$C65*264.172/1000000</f>
        <v>9.506493592</v>
      </c>
      <c r="H24" s="84">
        <f>monthly_data!$C77*264.172/1000000</f>
        <v>8.1713683039999996</v>
      </c>
      <c r="I24" s="84">
        <f>monthly_data!$C89*264.172/1000000-RD!I25</f>
        <v>5.6242218800000012</v>
      </c>
      <c r="J24" s="84">
        <f>monthly_data!$C101*264.172/1000000-RD!J25</f>
        <v>9.823764164</v>
      </c>
      <c r="K24" s="84">
        <f>monthly_data!$C113*264.172/1000000-RD!K25</f>
        <v>15</v>
      </c>
      <c r="L24" s="85">
        <f t="shared" si="17"/>
        <v>12.996418941897888</v>
      </c>
      <c r="M24" s="85">
        <f t="shared" si="18"/>
        <v>11.870754401991592</v>
      </c>
      <c r="N24" s="85">
        <f t="shared" si="19"/>
        <v>12.627344412276489</v>
      </c>
      <c r="O24" s="85">
        <f t="shared" si="19"/>
        <v>12.463656384033193</v>
      </c>
      <c r="P24" s="85">
        <f t="shared" si="19"/>
        <v>14.626164464745665</v>
      </c>
      <c r="Q24" s="85">
        <f t="shared" si="19"/>
        <v>12.916867720988966</v>
      </c>
      <c r="R24" s="85">
        <f t="shared" si="19"/>
        <v>12.900957476807182</v>
      </c>
      <c r="S24" s="85">
        <f t="shared" si="19"/>
        <v>13.106998091770299</v>
      </c>
      <c r="T24" s="85">
        <f t="shared" si="19"/>
        <v>13.604175842100622</v>
      </c>
      <c r="U24" s="85">
        <f t="shared" si="19"/>
        <v>14.232486394692536</v>
      </c>
      <c r="V24" s="85">
        <f t="shared" si="19"/>
        <v>14.230175323641662</v>
      </c>
      <c r="W24" s="85">
        <f t="shared" si="19"/>
        <v>14.494183717277851</v>
      </c>
      <c r="X24" s="85">
        <f t="shared" si="19"/>
        <v>14.813693667698887</v>
      </c>
      <c r="Y24" s="85">
        <f t="shared" si="19"/>
        <v>15.155219720136861</v>
      </c>
      <c r="Z24" s="85">
        <f t="shared" si="19"/>
        <v>15.464969861865589</v>
      </c>
      <c r="AA24" s="85">
        <f t="shared" si="19"/>
        <v>15.711125577988991</v>
      </c>
      <c r="AB24" s="85">
        <f t="shared" si="19"/>
        <v>16.007617085033122</v>
      </c>
      <c r="AC24" s="85">
        <f t="shared" si="19"/>
        <v>16.310407816047775</v>
      </c>
      <c r="AD24" s="85">
        <f t="shared" si="20"/>
        <v>16.609711637750802</v>
      </c>
      <c r="AE24" s="85">
        <f t="shared" si="20"/>
        <v>16.900528127948085</v>
      </c>
      <c r="AF24" s="85">
        <f t="shared" si="20"/>
        <v>17.187629091655491</v>
      </c>
      <c r="AG24" s="85">
        <f t="shared" si="20"/>
        <v>17.482981654702311</v>
      </c>
      <c r="AH24" s="85">
        <f t="shared" si="20"/>
        <v>17.778059177748723</v>
      </c>
      <c r="AI24" s="85">
        <f t="shared" si="20"/>
        <v>18.071575197513873</v>
      </c>
      <c r="AJ24" s="85">
        <f t="shared" si="20"/>
        <v>18.363938340717038</v>
      </c>
      <c r="AK24" s="85">
        <f t="shared" si="20"/>
        <v>18.65662455862374</v>
      </c>
    </row>
    <row r="25" spans="1:37" s="61" customFormat="1" x14ac:dyDescent="0.2">
      <c r="A25" s="61" t="s">
        <v>91</v>
      </c>
      <c r="B25" s="83"/>
      <c r="C25" s="83"/>
      <c r="D25" s="83"/>
      <c r="E25" s="83"/>
      <c r="F25" s="83"/>
      <c r="G25" s="84">
        <f>monthly_data!$C66*264.172/1000000</f>
        <v>8.577400668000001</v>
      </c>
      <c r="H25" s="84">
        <f>monthly_data!$C78*264.172/1000000</f>
        <v>9.382861096000001</v>
      </c>
      <c r="I25" s="84">
        <f>monthly_data!$C90*264.172/1000000-RD!I26</f>
        <v>7.3640586720000005</v>
      </c>
      <c r="J25" s="84">
        <f>monthly_data!$C102*264.172/1000000-RD!J26</f>
        <v>11.315015104</v>
      </c>
      <c r="K25" s="84">
        <f>monthly_data!$C114*264.172/1000000-RD!K26</f>
        <v>14</v>
      </c>
      <c r="L25" s="85">
        <f t="shared" si="17"/>
        <v>13.675188028638793</v>
      </c>
      <c r="M25" s="85">
        <f t="shared" si="18"/>
        <v>12.818595069980269</v>
      </c>
      <c r="N25" s="85">
        <f t="shared" si="19"/>
        <v>13.507979582496622</v>
      </c>
      <c r="O25" s="85">
        <f t="shared" si="19"/>
        <v>13.063355557023137</v>
      </c>
      <c r="P25" s="85">
        <f t="shared" si="19"/>
        <v>15.100569900279911</v>
      </c>
      <c r="Q25" s="85">
        <f t="shared" si="19"/>
        <v>13.633137627683746</v>
      </c>
      <c r="R25" s="85">
        <f t="shared" si="19"/>
        <v>13.624727547492741</v>
      </c>
      <c r="S25" s="85">
        <f t="shared" si="19"/>
        <v>13.785954042995231</v>
      </c>
      <c r="T25" s="85">
        <f t="shared" si="19"/>
        <v>14.262204098642915</v>
      </c>
      <c r="U25" s="85">
        <f t="shared" si="19"/>
        <v>14.92157603964913</v>
      </c>
      <c r="V25" s="85">
        <f t="shared" si="19"/>
        <v>14.968975652981349</v>
      </c>
      <c r="W25" s="85">
        <f t="shared" si="19"/>
        <v>15.236970414076792</v>
      </c>
      <c r="X25" s="85">
        <f t="shared" si="19"/>
        <v>15.559536799452978</v>
      </c>
      <c r="Y25" s="85">
        <f t="shared" si="19"/>
        <v>15.914214852820768</v>
      </c>
      <c r="Z25" s="85">
        <f t="shared" si="19"/>
        <v>16.244416365020548</v>
      </c>
      <c r="AA25" s="85">
        <f t="shared" si="19"/>
        <v>16.50896116354745</v>
      </c>
      <c r="AB25" s="85">
        <f t="shared" si="19"/>
        <v>16.817086956159105</v>
      </c>
      <c r="AC25" s="85">
        <f t="shared" si="19"/>
        <v>17.133107275204374</v>
      </c>
      <c r="AD25" s="85">
        <f t="shared" si="20"/>
        <v>17.447795629581453</v>
      </c>
      <c r="AE25" s="85">
        <f t="shared" si="20"/>
        <v>17.754488348949028</v>
      </c>
      <c r="AF25" s="85">
        <f t="shared" si="20"/>
        <v>18.056512845980013</v>
      </c>
      <c r="AG25" s="85">
        <f t="shared" si="20"/>
        <v>18.36603958263137</v>
      </c>
      <c r="AH25" s="85">
        <f t="shared" si="20"/>
        <v>18.675825245168184</v>
      </c>
      <c r="AI25" s="85">
        <f t="shared" si="20"/>
        <v>18.984363614241104</v>
      </c>
      <c r="AJ25" s="85">
        <f t="shared" si="20"/>
        <v>19.291675876864971</v>
      </c>
      <c r="AK25" s="85">
        <f t="shared" si="20"/>
        <v>19.599116249560154</v>
      </c>
    </row>
    <row r="26" spans="1:37" s="61" customFormat="1" x14ac:dyDescent="0.2">
      <c r="A26" s="61" t="s">
        <v>92</v>
      </c>
      <c r="B26" s="83"/>
      <c r="C26" s="83"/>
      <c r="D26" s="83"/>
      <c r="E26" s="83"/>
      <c r="F26" s="83"/>
      <c r="G26" s="84">
        <f>monthly_data!$C67*264.172/1000000</f>
        <v>9.3165539240000008</v>
      </c>
      <c r="H26" s="84">
        <f>monthly_data!$C79*264.172/1000000</f>
        <v>9.3498395960000007</v>
      </c>
      <c r="I26" s="84">
        <f>monthly_data!$C91*264.172/1000000-RD!I27</f>
        <v>7.2512572280000009</v>
      </c>
      <c r="J26" s="84">
        <f>monthly_data!$C103*264.172/1000000-RD!J27</f>
        <v>9.1149906880000007</v>
      </c>
      <c r="K26" s="84">
        <f>monthly_data!$C115*264.172/1000000-RD!K27</f>
        <v>12</v>
      </c>
      <c r="L26" s="85">
        <f t="shared" si="17"/>
        <v>12.701197759848174</v>
      </c>
      <c r="M26" s="85">
        <f t="shared" si="18"/>
        <v>11.59512243894625</v>
      </c>
      <c r="N26" s="85">
        <f t="shared" si="19"/>
        <v>12.021810884740392</v>
      </c>
      <c r="O26" s="85">
        <f t="shared" si="19"/>
        <v>11.486624354306961</v>
      </c>
      <c r="P26" s="85">
        <f t="shared" si="19"/>
        <v>13.465806272815977</v>
      </c>
      <c r="Q26" s="85">
        <f t="shared" si="19"/>
        <v>12.254112342131551</v>
      </c>
      <c r="R26" s="85">
        <f t="shared" si="19"/>
        <v>12.164695258588226</v>
      </c>
      <c r="S26" s="85">
        <f t="shared" si="19"/>
        <v>12.27860982251662</v>
      </c>
      <c r="T26" s="85">
        <f t="shared" si="19"/>
        <v>12.704686732208065</v>
      </c>
      <c r="U26" s="85">
        <f t="shared" si="19"/>
        <v>13.323870152566528</v>
      </c>
      <c r="V26" s="85">
        <f t="shared" si="19"/>
        <v>13.370008242204419</v>
      </c>
      <c r="W26" s="85">
        <f t="shared" si="19"/>
        <v>13.592928499935651</v>
      </c>
      <c r="X26" s="85">
        <f t="shared" si="19"/>
        <v>13.878553271781744</v>
      </c>
      <c r="Y26" s="85">
        <f t="shared" si="19"/>
        <v>14.198729258963589</v>
      </c>
      <c r="Z26" s="85">
        <f t="shared" si="19"/>
        <v>14.497601391547832</v>
      </c>
      <c r="AA26" s="85">
        <f t="shared" si="19"/>
        <v>14.732245521638591</v>
      </c>
      <c r="AB26" s="85">
        <f t="shared" si="19"/>
        <v>15.004668091840848</v>
      </c>
      <c r="AC26" s="85">
        <f t="shared" si="19"/>
        <v>15.287035195070732</v>
      </c>
      <c r="AD26" s="85">
        <f t="shared" si="20"/>
        <v>15.568758526372838</v>
      </c>
      <c r="AE26" s="85">
        <f t="shared" si="20"/>
        <v>15.842761119164614</v>
      </c>
      <c r="AF26" s="85">
        <f t="shared" si="20"/>
        <v>16.111777109101897</v>
      </c>
      <c r="AG26" s="85">
        <f t="shared" si="20"/>
        <v>16.387683810834837</v>
      </c>
      <c r="AH26" s="85">
        <f t="shared" si="20"/>
        <v>16.664292126927673</v>
      </c>
      <c r="AI26" s="85">
        <f t="shared" si="20"/>
        <v>16.939746034187078</v>
      </c>
      <c r="AJ26" s="85">
        <f t="shared" si="20"/>
        <v>17.21394141954185</v>
      </c>
      <c r="AK26" s="85">
        <f t="shared" si="20"/>
        <v>17.488175579220925</v>
      </c>
    </row>
    <row r="27" spans="1:37" s="61" customFormat="1" x14ac:dyDescent="0.2">
      <c r="A27" s="61" t="s">
        <v>93</v>
      </c>
      <c r="B27" s="83"/>
      <c r="C27" s="83"/>
      <c r="D27" s="83"/>
      <c r="E27" s="83"/>
      <c r="F27" s="83"/>
      <c r="G27" s="84">
        <f>monthly_data!$C68*264.172/1000000</f>
        <v>10.687870776</v>
      </c>
      <c r="H27" s="84">
        <f>monthly_data!$C80*264.172/1000000</f>
        <v>7.6290231880000015</v>
      </c>
      <c r="I27" s="84">
        <f>monthly_data!$C92*264.172/1000000-RD!I28</f>
        <v>7.1812516480000008</v>
      </c>
      <c r="J27" s="84">
        <f>monthly_data!$C104*264.172/1000000-RD!J28</f>
        <v>11.232329268000001</v>
      </c>
      <c r="K27" s="84">
        <f>monthly_data!$C116*264.172/1000000-RD!K28</f>
        <v>14</v>
      </c>
      <c r="L27" s="85">
        <f t="shared" si="17"/>
        <v>13.699800271236676</v>
      </c>
      <c r="M27" s="85">
        <f t="shared" si="18"/>
        <v>12.359843564250417</v>
      </c>
      <c r="N27" s="85">
        <f t="shared" si="19"/>
        <v>13.348267563613534</v>
      </c>
      <c r="O27" s="85">
        <f t="shared" si="19"/>
        <v>12.928048133420125</v>
      </c>
      <c r="P27" s="85">
        <f t="shared" si="19"/>
        <v>14.936390483440805</v>
      </c>
      <c r="Q27" s="85">
        <f t="shared" si="19"/>
        <v>13.454470003192313</v>
      </c>
      <c r="R27" s="85">
        <f t="shared" si="19"/>
        <v>13.405403949583439</v>
      </c>
      <c r="S27" s="85">
        <f t="shared" si="19"/>
        <v>13.614516026650042</v>
      </c>
      <c r="T27" s="85">
        <f t="shared" si="19"/>
        <v>14.083139479154394</v>
      </c>
      <c r="U27" s="85">
        <f t="shared" si="19"/>
        <v>14.728149216235398</v>
      </c>
      <c r="V27" s="85">
        <f t="shared" si="19"/>
        <v>14.768205757956689</v>
      </c>
      <c r="W27" s="85">
        <f t="shared" si="19"/>
        <v>15.03171491296775</v>
      </c>
      <c r="X27" s="85">
        <f t="shared" si="19"/>
        <v>15.357545407231434</v>
      </c>
      <c r="Y27" s="85">
        <f t="shared" si="19"/>
        <v>15.706020428598197</v>
      </c>
      <c r="Z27" s="85">
        <f t="shared" si="19"/>
        <v>16.030307906638868</v>
      </c>
      <c r="AA27" s="85">
        <f t="shared" si="19"/>
        <v>16.290678188709947</v>
      </c>
      <c r="AB27" s="85">
        <f t="shared" si="19"/>
        <v>16.595332798305705</v>
      </c>
      <c r="AC27" s="85">
        <f t="shared" si="19"/>
        <v>16.908102888086521</v>
      </c>
      <c r="AD27" s="85">
        <f t="shared" si="20"/>
        <v>17.218162717709866</v>
      </c>
      <c r="AE27" s="85">
        <f t="shared" si="20"/>
        <v>17.520554266666093</v>
      </c>
      <c r="AF27" s="85">
        <f t="shared" si="20"/>
        <v>17.818614273652514</v>
      </c>
      <c r="AG27" s="85">
        <f t="shared" si="20"/>
        <v>18.124225874831776</v>
      </c>
      <c r="AH27" s="85">
        <f t="shared" si="20"/>
        <v>18.430003174580701</v>
      </c>
      <c r="AI27" s="85">
        <f t="shared" si="20"/>
        <v>18.734372840174601</v>
      </c>
      <c r="AJ27" s="85">
        <f t="shared" si="20"/>
        <v>19.037612300456995</v>
      </c>
      <c r="AK27" s="85">
        <f t="shared" si="20"/>
        <v>19.341027871335587</v>
      </c>
    </row>
    <row r="28" spans="1:37" s="61" customFormat="1" x14ac:dyDescent="0.2">
      <c r="A28" s="61" t="s">
        <v>94</v>
      </c>
      <c r="B28" s="83"/>
      <c r="C28" s="83"/>
      <c r="D28" s="83"/>
      <c r="E28" s="83"/>
      <c r="F28" s="83"/>
      <c r="G28" s="84">
        <f>monthly_data!$C69*264.172/1000000</f>
        <v>9.9220361480000001</v>
      </c>
      <c r="H28" s="84">
        <f>monthly_data!$C81*264.172/1000000</f>
        <v>10.804106456</v>
      </c>
      <c r="I28" s="84">
        <f>monthly_data!$C93*264.172/1000000-RD!I29</f>
        <v>7.4076470520000015</v>
      </c>
      <c r="J28" s="84">
        <f>monthly_data!$C105*264.172/1000000-RD!J29</f>
        <v>12.580398984</v>
      </c>
      <c r="K28" s="84">
        <f>monthly_data!$C117*264.172/1000000-RD!K29</f>
        <v>14</v>
      </c>
      <c r="L28" s="85">
        <f t="shared" si="17"/>
        <v>14.77560496218179</v>
      </c>
      <c r="M28" s="85">
        <f t="shared" si="18"/>
        <v>13.699576194364418</v>
      </c>
      <c r="N28" s="85">
        <f t="shared" si="19"/>
        <v>14.259105308394725</v>
      </c>
      <c r="O28" s="85">
        <f t="shared" si="19"/>
        <v>13.862937089788186</v>
      </c>
      <c r="P28" s="85">
        <f t="shared" si="19"/>
        <v>15.895868628285289</v>
      </c>
      <c r="Q28" s="85">
        <f t="shared" si="19"/>
        <v>14.498618436602881</v>
      </c>
      <c r="R28" s="85">
        <f t="shared" si="19"/>
        <v>14.443221131487098</v>
      </c>
      <c r="S28" s="85">
        <f t="shared" si="19"/>
        <v>14.591950118911633</v>
      </c>
      <c r="T28" s="85">
        <f t="shared" si="19"/>
        <v>15.104002586532312</v>
      </c>
      <c r="U28" s="85">
        <f t="shared" si="19"/>
        <v>15.796243474395085</v>
      </c>
      <c r="V28" s="85">
        <f t="shared" si="19"/>
        <v>15.865575344650331</v>
      </c>
      <c r="W28" s="85">
        <f t="shared" si="19"/>
        <v>16.139211931582295</v>
      </c>
      <c r="X28" s="85">
        <f t="shared" si="19"/>
        <v>16.478386833426267</v>
      </c>
      <c r="Y28" s="85">
        <f t="shared" si="19"/>
        <v>16.855733514891206</v>
      </c>
      <c r="Z28" s="85">
        <f t="shared" si="19"/>
        <v>17.205891124435688</v>
      </c>
      <c r="AA28" s="85">
        <f t="shared" si="19"/>
        <v>17.487896947082387</v>
      </c>
      <c r="AB28" s="85">
        <f t="shared" si="19"/>
        <v>17.812393131172101</v>
      </c>
      <c r="AC28" s="85">
        <f t="shared" si="19"/>
        <v>18.147021035074843</v>
      </c>
      <c r="AD28" s="85">
        <f t="shared" si="20"/>
        <v>18.480742336164798</v>
      </c>
      <c r="AE28" s="85">
        <f t="shared" si="20"/>
        <v>18.805726270716818</v>
      </c>
      <c r="AF28" s="85">
        <f t="shared" si="20"/>
        <v>19.125707798814567</v>
      </c>
      <c r="AG28" s="85">
        <f t="shared" si="20"/>
        <v>19.453272744182932</v>
      </c>
      <c r="AH28" s="85">
        <f t="shared" si="20"/>
        <v>19.781445932596576</v>
      </c>
      <c r="AI28" s="85">
        <f t="shared" si="20"/>
        <v>20.108329236947913</v>
      </c>
      <c r="AJ28" s="85">
        <f t="shared" si="20"/>
        <v>20.433845673797819</v>
      </c>
      <c r="AK28" s="85">
        <f t="shared" si="20"/>
        <v>20.759471821193213</v>
      </c>
    </row>
    <row r="29" spans="1:37" s="61" customFormat="1" x14ac:dyDescent="0.2">
      <c r="A29" s="61" t="s">
        <v>95</v>
      </c>
      <c r="B29" s="83"/>
      <c r="C29" s="83"/>
      <c r="D29" s="83"/>
      <c r="E29" s="83"/>
      <c r="F29" s="83"/>
      <c r="G29" s="84">
        <f>monthly_data!$C70*264.172/1000000</f>
        <v>12.294564880000001</v>
      </c>
      <c r="H29" s="84">
        <f>monthly_data!$C82*264.172/1000000</f>
        <v>10.008420392000001</v>
      </c>
      <c r="I29" s="84">
        <f>monthly_data!$C94*264.172/1000000-RD!I30</f>
        <v>7.0961882640000002</v>
      </c>
      <c r="J29" s="84">
        <f>monthly_data!$C106*264.172/1000000-RD!J30</f>
        <v>12.192594488000001</v>
      </c>
      <c r="K29" s="84">
        <f>monthly_data!$C118*264.172/1000000-RD!K30</f>
        <v>10</v>
      </c>
      <c r="L29" s="85">
        <f t="shared" si="17"/>
        <v>13.932393087994189</v>
      </c>
      <c r="M29" s="85">
        <f t="shared" si="18"/>
        <v>12.241906369168923</v>
      </c>
      <c r="N29" s="85">
        <f t="shared" si="19"/>
        <v>12.661112233454759</v>
      </c>
      <c r="O29" s="85">
        <f t="shared" si="19"/>
        <v>12.205601235723575</v>
      </c>
      <c r="P29" s="85">
        <f t="shared" si="19"/>
        <v>13.744165472207017</v>
      </c>
      <c r="Q29" s="85">
        <f t="shared" si="19"/>
        <v>12.957035679709694</v>
      </c>
      <c r="R29" s="85">
        <f t="shared" si="19"/>
        <v>12.761964198052794</v>
      </c>
      <c r="S29" s="85">
        <f t="shared" si="19"/>
        <v>12.865975763829567</v>
      </c>
      <c r="T29" s="85">
        <f t="shared" si="19"/>
        <v>13.299200416920856</v>
      </c>
      <c r="U29" s="85">
        <f t="shared" si="19"/>
        <v>13.908900342431769</v>
      </c>
      <c r="V29" s="85">
        <f t="shared" si="19"/>
        <v>14.023759430840297</v>
      </c>
      <c r="W29" s="85">
        <f t="shared" si="19"/>
        <v>14.235492789057867</v>
      </c>
      <c r="X29" s="85">
        <f t="shared" si="19"/>
        <v>14.529894899489063</v>
      </c>
      <c r="Y29" s="85">
        <f t="shared" si="19"/>
        <v>14.862737766707998</v>
      </c>
      <c r="Z29" s="85">
        <f t="shared" si="19"/>
        <v>15.175507320120939</v>
      </c>
      <c r="AA29" s="85">
        <f t="shared" si="19"/>
        <v>15.429172390376783</v>
      </c>
      <c r="AB29" s="85">
        <f t="shared" si="19"/>
        <v>15.709981561936791</v>
      </c>
      <c r="AC29" s="85">
        <f t="shared" si="19"/>
        <v>16.004858216819887</v>
      </c>
      <c r="AD29" s="85">
        <f t="shared" si="20"/>
        <v>16.29988294341393</v>
      </c>
      <c r="AE29" s="85">
        <f t="shared" si="20"/>
        <v>16.5873390747314</v>
      </c>
      <c r="AF29" s="85">
        <f t="shared" si="20"/>
        <v>16.869725967157521</v>
      </c>
      <c r="AG29" s="85">
        <f t="shared" si="20"/>
        <v>17.157796011924791</v>
      </c>
      <c r="AH29" s="85">
        <f t="shared" si="20"/>
        <v>17.447362299093282</v>
      </c>
      <c r="AI29" s="85">
        <f t="shared" si="20"/>
        <v>17.735871165143831</v>
      </c>
      <c r="AJ29" s="85">
        <f t="shared" si="20"/>
        <v>18.023072307796991</v>
      </c>
      <c r="AK29" s="85">
        <f t="shared" si="20"/>
        <v>18.310217968687777</v>
      </c>
    </row>
    <row r="30" spans="1:37" s="61" customFormat="1" x14ac:dyDescent="0.2">
      <c r="A30" s="61" t="s">
        <v>96</v>
      </c>
      <c r="B30" s="83"/>
      <c r="C30" s="83"/>
      <c r="D30" s="83"/>
      <c r="E30" s="83"/>
      <c r="F30" s="83"/>
      <c r="G30" s="84">
        <f>monthly_data!$C71*264.172/1000000</f>
        <v>9.9133184720000003</v>
      </c>
      <c r="H30" s="84">
        <f>monthly_data!$C83*264.172/1000000</f>
        <v>9.8393503120000005</v>
      </c>
      <c r="I30" s="84">
        <f>monthly_data!$C95*264.172/1000000-RD!I31</f>
        <v>7.4705199880000004</v>
      </c>
      <c r="J30" s="84">
        <f>monthly_data!$C107*264.172/1000000-RD!J31</f>
        <v>10.988762684000001</v>
      </c>
      <c r="K30" s="84">
        <f>monthly_data!$C119*264.172/1000000-RD!K31</f>
        <v>15</v>
      </c>
      <c r="L30" s="85">
        <f t="shared" si="17"/>
        <v>14.369924758526951</v>
      </c>
      <c r="M30" s="85">
        <f t="shared" si="18"/>
        <v>13.262792399403814</v>
      </c>
      <c r="N30" s="85">
        <f t="shared" si="19"/>
        <v>13.946081530340249</v>
      </c>
      <c r="O30" s="85">
        <f t="shared" si="19"/>
        <v>13.513512274454202</v>
      </c>
      <c r="P30" s="85">
        <f t="shared" si="19"/>
        <v>15.782181094595824</v>
      </c>
      <c r="Q30" s="85">
        <f t="shared" si="19"/>
        <v>14.174898411464207</v>
      </c>
      <c r="R30" s="85">
        <f t="shared" si="19"/>
        <v>14.13589314205166</v>
      </c>
      <c r="S30" s="85">
        <f t="shared" si="19"/>
        <v>14.310513290581229</v>
      </c>
      <c r="T30" s="85">
        <f t="shared" si="19"/>
        <v>14.82052205988326</v>
      </c>
      <c r="U30" s="85">
        <f t="shared" si="19"/>
        <v>15.51868302886932</v>
      </c>
      <c r="V30" s="85">
        <f t="shared" si="19"/>
        <v>15.551494096649762</v>
      </c>
      <c r="W30" s="85">
        <f t="shared" si="19"/>
        <v>15.827527581267036</v>
      </c>
      <c r="X30" s="85">
        <f t="shared" si="19"/>
        <v>16.166190388965791</v>
      </c>
      <c r="Y30" s="85">
        <f t="shared" si="19"/>
        <v>16.537445447890072</v>
      </c>
      <c r="Z30" s="85">
        <f t="shared" si="19"/>
        <v>16.880624244882171</v>
      </c>
      <c r="AA30" s="85">
        <f t="shared" si="19"/>
        <v>17.15283760296084</v>
      </c>
      <c r="AB30" s="85">
        <f t="shared" si="19"/>
        <v>17.473255088505773</v>
      </c>
      <c r="AC30" s="85">
        <f t="shared" si="19"/>
        <v>17.802442623507762</v>
      </c>
      <c r="AD30" s="85">
        <f t="shared" si="20"/>
        <v>18.129679831405369</v>
      </c>
      <c r="AE30" s="85">
        <f t="shared" si="20"/>
        <v>18.448088288714512</v>
      </c>
      <c r="AF30" s="85">
        <f t="shared" si="20"/>
        <v>18.761574322171093</v>
      </c>
      <c r="AG30" s="85">
        <f t="shared" si="20"/>
        <v>19.083346729575457</v>
      </c>
      <c r="AH30" s="85">
        <f t="shared" si="20"/>
        <v>19.405366699201593</v>
      </c>
      <c r="AI30" s="85">
        <f t="shared" si="20"/>
        <v>19.725945494532457</v>
      </c>
      <c r="AJ30" s="85">
        <f t="shared" si="20"/>
        <v>20.045193970728981</v>
      </c>
      <c r="AK30" s="85">
        <f t="shared" si="20"/>
        <v>20.36461686664023</v>
      </c>
    </row>
    <row r="31" spans="1:37" s="61" customFormat="1" x14ac:dyDescent="0.2">
      <c r="A31" s="61" t="s">
        <v>97</v>
      </c>
      <c r="B31" s="83"/>
      <c r="C31" s="83"/>
      <c r="D31" s="83"/>
      <c r="E31" s="83"/>
      <c r="F31" s="83"/>
      <c r="G31" s="84">
        <f>monthly_data!$C72*264.172/1000000</f>
        <v>9.4317329160000014</v>
      </c>
      <c r="H31" s="84">
        <f>monthly_data!$C84*264.172/1000000</f>
        <v>9.9172810520000017</v>
      </c>
      <c r="I31" s="84">
        <f>monthly_data!$C96*264.172/1000000-RD!I32</f>
        <v>9.6689593720000016</v>
      </c>
      <c r="J31" s="84">
        <f>monthly_data!$C108*264.172/1000000-RD!J32</f>
        <v>10.1111833</v>
      </c>
      <c r="K31" s="84">
        <f>monthly_data!$C120*264.172/1000000-RD!K32</f>
        <v>12</v>
      </c>
      <c r="L31" s="85">
        <f t="shared" si="17"/>
        <v>13.807464559747771</v>
      </c>
      <c r="M31" s="85">
        <f t="shared" si="18"/>
        <v>12.765185038026075</v>
      </c>
      <c r="N31" s="85">
        <f t="shared" si="19"/>
        <v>13.320775237064236</v>
      </c>
      <c r="O31" s="85">
        <f t="shared" si="19"/>
        <v>12.400921626967616</v>
      </c>
      <c r="P31" s="85">
        <f t="shared" si="19"/>
        <v>14.476695165016309</v>
      </c>
      <c r="Q31" s="85">
        <f t="shared" si="19"/>
        <v>13.354208325364404</v>
      </c>
      <c r="R31" s="85">
        <f t="shared" si="19"/>
        <v>13.263557078487731</v>
      </c>
      <c r="S31" s="85">
        <f t="shared" si="19"/>
        <v>13.363231486580061</v>
      </c>
      <c r="T31" s="85">
        <f t="shared" si="19"/>
        <v>13.778099525743533</v>
      </c>
      <c r="U31" s="85">
        <f t="shared" si="19"/>
        <v>14.461508591459502</v>
      </c>
      <c r="V31" s="85">
        <f t="shared" si="19"/>
        <v>14.541185869212807</v>
      </c>
      <c r="W31" s="85">
        <f t="shared" si="19"/>
        <v>14.777955343423436</v>
      </c>
      <c r="X31" s="85">
        <f t="shared" si="19"/>
        <v>15.080326778760988</v>
      </c>
      <c r="Y31" s="85">
        <f t="shared" si="19"/>
        <v>15.42368553815642</v>
      </c>
      <c r="Z31" s="85">
        <f t="shared" si="19"/>
        <v>15.753145108597215</v>
      </c>
      <c r="AA31" s="85">
        <f t="shared" si="19"/>
        <v>16.011554237899748</v>
      </c>
      <c r="AB31" s="85">
        <f t="shared" si="19"/>
        <v>16.305482668793516</v>
      </c>
      <c r="AC31" s="85">
        <f t="shared" si="19"/>
        <v>16.610933694278209</v>
      </c>
      <c r="AD31" s="85">
        <f t="shared" si="20"/>
        <v>16.917085998317198</v>
      </c>
      <c r="AE31" s="85">
        <f t="shared" si="20"/>
        <v>17.215814388518144</v>
      </c>
      <c r="AF31" s="85">
        <f t="shared" si="20"/>
        <v>17.508340916982291</v>
      </c>
      <c r="AG31" s="85">
        <f t="shared" si="20"/>
        <v>17.807674058855898</v>
      </c>
      <c r="AH31" s="85">
        <f t="shared" si="20"/>
        <v>18.108111059504626</v>
      </c>
      <c r="AI31" s="85">
        <f t="shared" si="20"/>
        <v>18.407555339743443</v>
      </c>
      <c r="AJ31" s="85">
        <f t="shared" si="20"/>
        <v>18.705653825890455</v>
      </c>
      <c r="AK31" s="85">
        <f t="shared" si="20"/>
        <v>19.003618029507088</v>
      </c>
    </row>
    <row r="32" spans="1:37" s="61" customFormat="1" x14ac:dyDescent="0.2">
      <c r="A32" s="61" t="s">
        <v>98</v>
      </c>
      <c r="B32" s="83"/>
      <c r="C32" s="83"/>
      <c r="D32" s="83"/>
      <c r="E32" s="83"/>
      <c r="F32" s="83"/>
      <c r="G32" s="84">
        <f>monthly_data!$C73*264.172/1000000</f>
        <v>9.7912710080000007</v>
      </c>
      <c r="H32" s="84">
        <f>monthly_data!$C85*264.172/1000000</f>
        <v>9.3720300440000024</v>
      </c>
      <c r="I32" s="84">
        <f>monthly_data!$C97*264.172/1000000-RD!I33</f>
        <v>11.064315876</v>
      </c>
      <c r="J32" s="84">
        <f>monthly_data!$C109*264.172/1000000-RD!J33</f>
        <v>10.760518076000002</v>
      </c>
      <c r="K32" s="84">
        <f>monthly_data!$C121*264.172/1000000-RD!K33</f>
        <v>12</v>
      </c>
      <c r="L32" s="85">
        <f t="shared" si="17"/>
        <v>14.309482968910951</v>
      </c>
      <c r="M32" s="85">
        <f t="shared" si="18"/>
        <v>13.225486665522412</v>
      </c>
      <c r="N32" s="85">
        <f t="shared" si="19"/>
        <v>14.00721577103811</v>
      </c>
      <c r="O32" s="85">
        <f t="shared" si="19"/>
        <v>12.860540696294292</v>
      </c>
      <c r="P32" s="85">
        <f t="shared" si="19"/>
        <v>14.951423831213431</v>
      </c>
      <c r="Q32" s="85">
        <f t="shared" si="19"/>
        <v>13.870829986595842</v>
      </c>
      <c r="R32" s="85">
        <f t="shared" si="19"/>
        <v>13.783099390132818</v>
      </c>
      <c r="S32" s="85">
        <f t="shared" si="19"/>
        <v>13.894621935054897</v>
      </c>
      <c r="T32" s="85">
        <f t="shared" si="19"/>
        <v>14.293686897698935</v>
      </c>
      <c r="U32" s="85">
        <f t="shared" si="19"/>
        <v>15.003609221770819</v>
      </c>
      <c r="V32" s="85">
        <f t="shared" si="19"/>
        <v>15.100754903074362</v>
      </c>
      <c r="W32" s="85">
        <f t="shared" si="19"/>
        <v>15.346054507912934</v>
      </c>
      <c r="X32" s="85">
        <f t="shared" si="19"/>
        <v>15.657995743612229</v>
      </c>
      <c r="Y32" s="85">
        <f t="shared" si="19"/>
        <v>16.010367439540918</v>
      </c>
      <c r="Z32" s="85">
        <f t="shared" si="19"/>
        <v>16.354161489827195</v>
      </c>
      <c r="AA32" s="85">
        <f t="shared" si="19"/>
        <v>16.624471181274352</v>
      </c>
      <c r="AB32" s="85">
        <f t="shared" si="19"/>
        <v>16.929029469743238</v>
      </c>
      <c r="AC32" s="85">
        <f t="shared" si="19"/>
        <v>17.245534099536389</v>
      </c>
      <c r="AD32" s="85">
        <f t="shared" si="20"/>
        <v>17.563056605670372</v>
      </c>
      <c r="AE32" s="85">
        <f t="shared" si="20"/>
        <v>17.87366944567659</v>
      </c>
      <c r="AF32" s="85">
        <f t="shared" si="20"/>
        <v>18.177573644474094</v>
      </c>
      <c r="AG32" s="85">
        <f t="shared" si="20"/>
        <v>18.488159513369961</v>
      </c>
      <c r="AH32" s="85">
        <f t="shared" si="20"/>
        <v>18.799979357477383</v>
      </c>
      <c r="AI32" s="85">
        <f t="shared" si="20"/>
        <v>19.110878210566241</v>
      </c>
      <c r="AJ32" s="85">
        <f t="shared" si="20"/>
        <v>19.4204513900503</v>
      </c>
      <c r="AK32" s="85">
        <f t="shared" si="20"/>
        <v>19.729804067123748</v>
      </c>
    </row>
    <row r="33" spans="1:37" s="61" customFormat="1" x14ac:dyDescent="0.2">
      <c r="A33" s="61" t="s">
        <v>99</v>
      </c>
      <c r="B33" s="83"/>
      <c r="C33" s="83"/>
      <c r="D33" s="83"/>
      <c r="E33" s="83"/>
      <c r="F33" s="83"/>
      <c r="G33" s="84">
        <f>monthly_data!$C74*264.172/1000000</f>
        <v>11.592395704000001</v>
      </c>
      <c r="H33" s="84">
        <f>monthly_data!$C86*264.172/1000000</f>
        <v>10.461739544000002</v>
      </c>
      <c r="I33" s="84">
        <f>monthly_data!$C98*264.172/1000000-RD!I34</f>
        <v>11.579451276</v>
      </c>
      <c r="J33" s="84">
        <f>monthly_data!$C110*264.172/1000000-RD!J34</f>
        <v>12.255728112000002</v>
      </c>
      <c r="K33" s="84">
        <f>monthly_data!$C122*264.172/1000000-RD!K34</f>
        <v>15</v>
      </c>
      <c r="L33" s="85">
        <f t="shared" si="17"/>
        <v>16.443202062249018</v>
      </c>
      <c r="M33" s="85">
        <f t="shared" si="18"/>
        <v>15.119115358340983</v>
      </c>
      <c r="N33" s="85">
        <f t="shared" si="19"/>
        <v>16.0703403515605</v>
      </c>
      <c r="O33" s="85">
        <f t="shared" si="19"/>
        <v>14.977677176830099</v>
      </c>
      <c r="P33" s="85">
        <f t="shared" si="19"/>
        <v>17.474960436508169</v>
      </c>
      <c r="Q33" s="85">
        <f t="shared" si="19"/>
        <v>16.017059077097752</v>
      </c>
      <c r="R33" s="85">
        <f t="shared" si="19"/>
        <v>15.9318304800675</v>
      </c>
      <c r="S33" s="85">
        <f t="shared" si="19"/>
        <v>16.094373504412804</v>
      </c>
      <c r="T33" s="85">
        <f t="shared" si="19"/>
        <v>16.588446421901391</v>
      </c>
      <c r="U33" s="85">
        <f t="shared" si="19"/>
        <v>17.401224268808981</v>
      </c>
      <c r="V33" s="85">
        <f t="shared" si="19"/>
        <v>17.485276434522138</v>
      </c>
      <c r="W33" s="85">
        <f t="shared" si="19"/>
        <v>17.77869559580866</v>
      </c>
      <c r="X33" s="85">
        <f t="shared" si="19"/>
        <v>18.147772521052691</v>
      </c>
      <c r="Y33" s="85">
        <f t="shared" si="19"/>
        <v>18.558219852197176</v>
      </c>
      <c r="Z33" s="85">
        <f t="shared" si="19"/>
        <v>18.952462910721415</v>
      </c>
      <c r="AA33" s="85">
        <f t="shared" si="19"/>
        <v>19.262776857525985</v>
      </c>
      <c r="AB33" s="85">
        <f t="shared" si="19"/>
        <v>19.618201848821155</v>
      </c>
      <c r="AC33" s="85">
        <f t="shared" si="19"/>
        <v>19.986056272727986</v>
      </c>
      <c r="AD33" s="85">
        <f t="shared" si="20"/>
        <v>20.353713060478398</v>
      </c>
      <c r="AE33" s="85">
        <f t="shared" si="20"/>
        <v>20.712855703551995</v>
      </c>
      <c r="AF33" s="85">
        <f t="shared" si="20"/>
        <v>21.064932050300285</v>
      </c>
      <c r="AG33" s="85">
        <f t="shared" si="20"/>
        <v>21.425347925287802</v>
      </c>
      <c r="AH33" s="85">
        <f t="shared" si="20"/>
        <v>21.786773320349578</v>
      </c>
      <c r="AI33" s="85">
        <f t="shared" si="20"/>
        <v>22.146921063855388</v>
      </c>
      <c r="AJ33" s="85">
        <f t="shared" si="20"/>
        <v>22.505567820665085</v>
      </c>
      <c r="AK33" s="85">
        <f t="shared" si="20"/>
        <v>22.864108018325854</v>
      </c>
    </row>
    <row r="34" spans="1:37" s="61" customFormat="1" x14ac:dyDescent="0.2">
      <c r="A34" s="61" t="s">
        <v>100</v>
      </c>
      <c r="B34" s="83"/>
      <c r="C34" s="83"/>
      <c r="D34" s="83"/>
      <c r="E34" s="83"/>
      <c r="F34" s="83"/>
      <c r="G34" s="84">
        <f>monthly_data!$C75*264.172/1000000</f>
        <v>9.7064717960000007</v>
      </c>
      <c r="H34" s="84">
        <f>monthly_data!$C87*264.172/1000000</f>
        <v>11.236820192000001</v>
      </c>
      <c r="I34" s="84">
        <f>monthly_data!$C99*264.172/1000000-RD!I35</f>
        <v>9.9706437960000009</v>
      </c>
      <c r="J34" s="84">
        <f>monthly_data!$C111*264.172/1000000-RD!J35</f>
        <v>10.464641952000003</v>
      </c>
      <c r="K34" s="84">
        <f>monthly_data!$C123*264.172/1000000-RD!K35</f>
        <v>15</v>
      </c>
      <c r="L34" s="85">
        <f t="shared" ref="L34:U34" si="21">L35-SUM(L23:L33)</f>
        <v>15.225074403237926</v>
      </c>
      <c r="M34" s="85">
        <f t="shared" si="21"/>
        <v>14.235304039785944</v>
      </c>
      <c r="N34" s="85">
        <f t="shared" si="21"/>
        <v>14.814382018808828</v>
      </c>
      <c r="O34" s="85">
        <f t="shared" si="21"/>
        <v>13.947880482766521</v>
      </c>
      <c r="P34" s="85">
        <f t="shared" si="21"/>
        <v>16.487014962693763</v>
      </c>
      <c r="Q34" s="85">
        <f t="shared" si="21"/>
        <v>14.941931181458614</v>
      </c>
      <c r="R34" s="85">
        <f t="shared" si="21"/>
        <v>14.885302537102717</v>
      </c>
      <c r="S34" s="85">
        <f t="shared" si="21"/>
        <v>15.0153022365661</v>
      </c>
      <c r="T34" s="85">
        <f t="shared" si="21"/>
        <v>15.513033919702849</v>
      </c>
      <c r="U34" s="85">
        <f t="shared" si="21"/>
        <v>16.285583783336762</v>
      </c>
      <c r="V34" s="85">
        <f t="shared" ref="V34:AJ34" si="22">V35-SUM(V23:V33)</f>
        <v>16.336021359669502</v>
      </c>
      <c r="W34" s="85">
        <f t="shared" si="22"/>
        <v>16.614918806194623</v>
      </c>
      <c r="X34" s="85">
        <f t="shared" si="22"/>
        <v>16.960611393050101</v>
      </c>
      <c r="Y34" s="85">
        <f t="shared" si="22"/>
        <v>17.349779533012253</v>
      </c>
      <c r="Z34" s="85">
        <f t="shared" si="22"/>
        <v>17.717340778391247</v>
      </c>
      <c r="AA34" s="85">
        <f t="shared" si="22"/>
        <v>18.003536005789869</v>
      </c>
      <c r="AB34" s="85">
        <f t="shared" si="22"/>
        <v>18.337041009644793</v>
      </c>
      <c r="AC34" s="85">
        <f t="shared" si="22"/>
        <v>18.681452979529695</v>
      </c>
      <c r="AD34" s="85">
        <f t="shared" si="22"/>
        <v>19.025649892507943</v>
      </c>
      <c r="AE34" s="85">
        <f t="shared" si="22"/>
        <v>19.360837985101796</v>
      </c>
      <c r="AF34" s="85">
        <f t="shared" si="22"/>
        <v>19.689513919293489</v>
      </c>
      <c r="AG34" s="85">
        <f t="shared" si="22"/>
        <v>20.026711151588785</v>
      </c>
      <c r="AH34" s="85">
        <f t="shared" si="22"/>
        <v>20.364646750267212</v>
      </c>
      <c r="AI34" s="85">
        <f t="shared" si="22"/>
        <v>20.701289740856481</v>
      </c>
      <c r="AJ34" s="85">
        <f t="shared" si="22"/>
        <v>21.036417324833252</v>
      </c>
      <c r="AK34" s="85">
        <f>AK35-SUM(AK23:AK33)</f>
        <v>21.371530067430712</v>
      </c>
    </row>
    <row r="35" spans="1:37" x14ac:dyDescent="0.2">
      <c r="A35" s="86" t="s">
        <v>101</v>
      </c>
      <c r="B35" s="87">
        <f t="shared" ref="B35:K35" si="23">SUM(B23:B34)</f>
        <v>0</v>
      </c>
      <c r="C35" s="87">
        <f t="shared" si="23"/>
        <v>0</v>
      </c>
      <c r="D35" s="87">
        <f t="shared" si="23"/>
        <v>0</v>
      </c>
      <c r="E35" s="87">
        <f t="shared" si="23"/>
        <v>0</v>
      </c>
      <c r="F35" s="87">
        <f t="shared" si="23"/>
        <v>0</v>
      </c>
      <c r="G35" s="87">
        <f t="shared" si="23"/>
        <v>120.94058332</v>
      </c>
      <c r="H35" s="87">
        <f t="shared" si="23"/>
        <v>113.78997562400002</v>
      </c>
      <c r="I35" s="87">
        <f t="shared" si="23"/>
        <v>97.530189024000009</v>
      </c>
      <c r="J35" s="87">
        <f t="shared" si="23"/>
        <v>130.52737823199999</v>
      </c>
      <c r="K35" s="87">
        <f t="shared" si="23"/>
        <v>158</v>
      </c>
      <c r="L35" s="88">
        <f>L4</f>
        <v>167.64426825912</v>
      </c>
      <c r="M35" s="88">
        <f t="shared" ref="M35:AJ35" si="24">M4</f>
        <v>153.511821103024</v>
      </c>
      <c r="N35" s="88">
        <f t="shared" si="24"/>
        <v>161.44273132362878</v>
      </c>
      <c r="O35" s="88">
        <f t="shared" si="24"/>
        <v>154.22523978355454</v>
      </c>
      <c r="P35" s="88">
        <f t="shared" si="24"/>
        <v>178.96481209386548</v>
      </c>
      <c r="Q35" s="88">
        <f t="shared" si="24"/>
        <v>163.15777451263858</v>
      </c>
      <c r="R35" s="88">
        <f t="shared" si="24"/>
        <v>162.26047576334227</v>
      </c>
      <c r="S35" s="88">
        <f t="shared" si="24"/>
        <v>164.01020669540591</v>
      </c>
      <c r="T35" s="88">
        <f t="shared" si="24"/>
        <v>169.52370176976137</v>
      </c>
      <c r="U35" s="88">
        <f t="shared" si="24"/>
        <v>177.58339416700272</v>
      </c>
      <c r="V35" s="88">
        <f t="shared" si="24"/>
        <v>178.30711058163018</v>
      </c>
      <c r="W35" s="88">
        <f t="shared" si="24"/>
        <v>181.33697779542848</v>
      </c>
      <c r="X35" s="88">
        <f t="shared" si="24"/>
        <v>185.15227820184572</v>
      </c>
      <c r="Y35" s="88">
        <f t="shared" si="24"/>
        <v>189.3806925031337</v>
      </c>
      <c r="Z35" s="88">
        <f t="shared" si="24"/>
        <v>193.35209064980816</v>
      </c>
      <c r="AA35" s="88">
        <f t="shared" si="24"/>
        <v>196.50582994636923</v>
      </c>
      <c r="AB35" s="88">
        <f t="shared" si="24"/>
        <v>200.14557381931704</v>
      </c>
      <c r="AC35" s="88">
        <f t="shared" si="24"/>
        <v>203.90729302409477</v>
      </c>
      <c r="AD35" s="88">
        <f t="shared" si="24"/>
        <v>207.65829598854458</v>
      </c>
      <c r="AE35" s="88">
        <f t="shared" si="24"/>
        <v>211.31381668562676</v>
      </c>
      <c r="AF35" s="88">
        <f t="shared" si="24"/>
        <v>214.90616189279049</v>
      </c>
      <c r="AG35" s="88">
        <f t="shared" si="24"/>
        <v>218.58622828207476</v>
      </c>
      <c r="AH35" s="88">
        <f t="shared" si="24"/>
        <v>222.27435917462626</v>
      </c>
      <c r="AI35" s="88">
        <f t="shared" si="24"/>
        <v>225.94777240473258</v>
      </c>
      <c r="AJ35" s="88">
        <f t="shared" si="24"/>
        <v>229.60566768797017</v>
      </c>
      <c r="AK35" s="88">
        <f>AK4</f>
        <v>233.26403788843885</v>
      </c>
    </row>
    <row r="36" spans="1:37" x14ac:dyDescent="0.2">
      <c r="G36" s="89"/>
      <c r="H36" s="89"/>
      <c r="I36" s="89"/>
      <c r="J36" s="89"/>
      <c r="K36" s="89"/>
      <c r="L36" s="89"/>
    </row>
    <row r="37" spans="1:37" ht="12" thickBot="1" x14ac:dyDescent="0.25">
      <c r="A37" s="81" t="s">
        <v>102</v>
      </c>
      <c r="B37" s="80"/>
      <c r="C37" s="80"/>
      <c r="D37" s="80"/>
      <c r="E37" s="80"/>
      <c r="F37" s="80"/>
      <c r="G37" s="80"/>
      <c r="H37" s="80"/>
      <c r="I37" s="80"/>
      <c r="J37" s="90"/>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row>
    <row r="38" spans="1:37" ht="12" thickBot="1" x14ac:dyDescent="0.25">
      <c r="A38" s="82"/>
      <c r="B38" s="92">
        <f t="shared" ref="B38:AJ38" si="25">B2</f>
        <v>2015</v>
      </c>
      <c r="C38" s="92">
        <f t="shared" si="25"/>
        <v>2016</v>
      </c>
      <c r="D38" s="92">
        <f t="shared" si="25"/>
        <v>2017</v>
      </c>
      <c r="E38" s="92">
        <f t="shared" si="25"/>
        <v>2018</v>
      </c>
      <c r="F38" s="92">
        <f t="shared" si="25"/>
        <v>2019</v>
      </c>
      <c r="G38" s="92">
        <f t="shared" si="25"/>
        <v>2020</v>
      </c>
      <c r="H38" s="92">
        <f t="shared" si="25"/>
        <v>2021</v>
      </c>
      <c r="I38" s="92">
        <f t="shared" si="25"/>
        <v>2022</v>
      </c>
      <c r="J38" s="92">
        <f t="shared" si="25"/>
        <v>2023</v>
      </c>
      <c r="K38" s="92">
        <f t="shared" si="25"/>
        <v>2024</v>
      </c>
      <c r="L38" s="92">
        <f t="shared" si="25"/>
        <v>2025</v>
      </c>
      <c r="M38" s="92">
        <f t="shared" si="25"/>
        <v>2026</v>
      </c>
      <c r="N38" s="92">
        <f t="shared" si="25"/>
        <v>2027</v>
      </c>
      <c r="O38" s="92">
        <f t="shared" si="25"/>
        <v>2028</v>
      </c>
      <c r="P38" s="92">
        <f t="shared" si="25"/>
        <v>2029</v>
      </c>
      <c r="Q38" s="92">
        <f t="shared" si="25"/>
        <v>2030</v>
      </c>
      <c r="R38" s="92">
        <f t="shared" si="25"/>
        <v>2031</v>
      </c>
      <c r="S38" s="92">
        <f t="shared" si="25"/>
        <v>2032</v>
      </c>
      <c r="T38" s="92">
        <f t="shared" si="25"/>
        <v>2033</v>
      </c>
      <c r="U38" s="92">
        <f t="shared" si="25"/>
        <v>2034</v>
      </c>
      <c r="V38" s="92">
        <f t="shared" si="25"/>
        <v>2035</v>
      </c>
      <c r="W38" s="92">
        <f t="shared" si="25"/>
        <v>2036</v>
      </c>
      <c r="X38" s="92">
        <f t="shared" si="25"/>
        <v>2037</v>
      </c>
      <c r="Y38" s="92">
        <f t="shared" si="25"/>
        <v>2038</v>
      </c>
      <c r="Z38" s="92">
        <f t="shared" si="25"/>
        <v>2039</v>
      </c>
      <c r="AA38" s="92">
        <f t="shared" si="25"/>
        <v>2040</v>
      </c>
      <c r="AB38" s="92">
        <f t="shared" si="25"/>
        <v>2041</v>
      </c>
      <c r="AC38" s="92">
        <f t="shared" si="25"/>
        <v>2042</v>
      </c>
      <c r="AD38" s="92">
        <f t="shared" si="25"/>
        <v>2043</v>
      </c>
      <c r="AE38" s="92">
        <f t="shared" si="25"/>
        <v>2044</v>
      </c>
      <c r="AF38" s="92">
        <f t="shared" si="25"/>
        <v>2045</v>
      </c>
      <c r="AG38" s="92">
        <f t="shared" si="25"/>
        <v>2046</v>
      </c>
      <c r="AH38" s="92">
        <f t="shared" si="25"/>
        <v>2047</v>
      </c>
      <c r="AI38" s="92">
        <f t="shared" si="25"/>
        <v>2048</v>
      </c>
      <c r="AJ38" s="92">
        <f t="shared" si="25"/>
        <v>2049</v>
      </c>
      <c r="AK38" s="92">
        <f>AK2</f>
        <v>2050</v>
      </c>
    </row>
    <row r="39" spans="1:37" x14ac:dyDescent="0.2">
      <c r="A39" s="53" t="s">
        <v>89</v>
      </c>
      <c r="B39" s="84"/>
      <c r="C39" s="84"/>
      <c r="D39" s="84"/>
      <c r="E39" s="84"/>
      <c r="F39" s="84">
        <f>monthly_data!$D52*264.172/1000000/2</f>
        <v>3.6690849080000003</v>
      </c>
      <c r="G39" s="84">
        <f>monthly_data!$D64*264.172/1000000/2</f>
        <v>5.1183325000000011</v>
      </c>
      <c r="H39" s="84">
        <f>monthly_data!$D76*264.172/1000000/2</f>
        <v>6.7497266860000007</v>
      </c>
      <c r="I39" s="84">
        <f>monthly_data!$D88*264.172/1000000/2</f>
        <v>4.0312647200000002</v>
      </c>
      <c r="J39" s="84">
        <f>monthly_data!$D100*264.172/1000000/2</f>
        <v>1.7945203960000002</v>
      </c>
      <c r="K39" s="84">
        <f>monthly_data!$D112*264.172/1000000/2</f>
        <v>10.940815466000002</v>
      </c>
      <c r="L39" s="85">
        <f t="shared" ref="L39:V39" si="26">L$51*(SUM(G39:K39)/SUM(G$51:K$51))</f>
        <v>8.7201197088954956</v>
      </c>
      <c r="M39" s="85">
        <f t="shared" si="26"/>
        <v>8.6036391058484618</v>
      </c>
      <c r="N39" s="85">
        <f t="shared" si="26"/>
        <v>8.1534461569409107</v>
      </c>
      <c r="O39" s="85">
        <f t="shared" si="26"/>
        <v>8.2296363768606202</v>
      </c>
      <c r="P39" s="85">
        <f t="shared" si="26"/>
        <v>8.8588032608074112</v>
      </c>
      <c r="Q39" s="85">
        <f t="shared" si="26"/>
        <v>8.9541082186617924</v>
      </c>
      <c r="R39" s="85">
        <f t="shared" si="26"/>
        <v>9.4310442563473451</v>
      </c>
      <c r="S39" s="85">
        <f t="shared" si="26"/>
        <v>8.7254076539236163</v>
      </c>
      <c r="T39" s="85">
        <f t="shared" si="26"/>
        <v>8.8397999533201581</v>
      </c>
      <c r="U39" s="85">
        <f t="shared" si="26"/>
        <v>8.9618326686120646</v>
      </c>
      <c r="V39" s="85">
        <f t="shared" si="26"/>
        <v>8.5445540477486102</v>
      </c>
      <c r="W39" s="85">
        <f t="shared" ref="W39:AK49" si="27">W$51*(SUM(R39:V39)/SUM(R$51:V$51))</f>
        <v>8.4632606566587665</v>
      </c>
      <c r="X39" s="85">
        <f t="shared" si="27"/>
        <v>8.2693321092746181</v>
      </c>
      <c r="Y39" s="85">
        <f t="shared" si="27"/>
        <v>8.1771639113241719</v>
      </c>
      <c r="Z39" s="85">
        <f t="shared" si="27"/>
        <v>8.0444615800832704</v>
      </c>
      <c r="AA39" s="85">
        <f t="shared" si="27"/>
        <v>7.8617350613594361</v>
      </c>
      <c r="AB39" s="85">
        <f t="shared" si="27"/>
        <v>7.7251430137024091</v>
      </c>
      <c r="AC39" s="85">
        <f t="shared" si="27"/>
        <v>7.5773542907671203</v>
      </c>
      <c r="AD39" s="85">
        <f t="shared" si="27"/>
        <v>7.4388380294366057</v>
      </c>
      <c r="AE39" s="85">
        <f t="shared" si="27"/>
        <v>7.2912274942446054</v>
      </c>
      <c r="AF39" s="85">
        <f t="shared" si="27"/>
        <v>7.1406841752988006</v>
      </c>
      <c r="AG39" s="85">
        <f t="shared" si="27"/>
        <v>6.9964409909337428</v>
      </c>
      <c r="AH39" s="85">
        <f t="shared" si="27"/>
        <v>6.8506664950164948</v>
      </c>
      <c r="AI39" s="85">
        <f t="shared" si="27"/>
        <v>6.7053226438302955</v>
      </c>
      <c r="AJ39" s="85">
        <f t="shared" si="27"/>
        <v>6.5586375829177328</v>
      </c>
      <c r="AK39" s="85">
        <f t="shared" si="27"/>
        <v>6.4121298434982279</v>
      </c>
    </row>
    <row r="40" spans="1:37" x14ac:dyDescent="0.2">
      <c r="A40" s="53" t="s">
        <v>90</v>
      </c>
      <c r="B40" s="84"/>
      <c r="C40" s="84"/>
      <c r="D40" s="84"/>
      <c r="E40" s="84"/>
      <c r="F40" s="84">
        <f>monthly_data!$D53*264.172/1000000/2</f>
        <v>1.08178434</v>
      </c>
      <c r="G40" s="84">
        <f>monthly_data!$D65*264.172/1000000/2</f>
        <v>3.2876205400000007</v>
      </c>
      <c r="H40" s="84">
        <f>monthly_data!$D77*264.172/1000000/2</f>
        <v>1.2936502840000002</v>
      </c>
      <c r="I40" s="84">
        <f>monthly_data!$D89*264.172/1000000/2</f>
        <v>1.7263640200000003</v>
      </c>
      <c r="J40" s="84">
        <f>monthly_data!$D101*264.172/1000000/2</f>
        <v>2.4569316860000003</v>
      </c>
      <c r="K40" s="84">
        <f>monthly_data!$D113*264.172/1000000/2</f>
        <v>10.86737565</v>
      </c>
      <c r="L40" s="85">
        <f t="shared" ref="L40:V49" si="28">L$51*(SUM(G40:K40)/SUM(G$51:K$51))</f>
        <v>5.9785199934181659</v>
      </c>
      <c r="M40" s="85">
        <f t="shared" si="28"/>
        <v>5.9577804392832192</v>
      </c>
      <c r="N40" s="85">
        <f t="shared" si="28"/>
        <v>6.4545175032409965</v>
      </c>
      <c r="O40" s="85">
        <f t="shared" si="28"/>
        <v>6.8303217462208128</v>
      </c>
      <c r="P40" s="85">
        <f t="shared" si="28"/>
        <v>7.160533835632604</v>
      </c>
      <c r="Q40" s="85">
        <f t="shared" si="28"/>
        <v>6.8118082467852048</v>
      </c>
      <c r="R40" s="85">
        <f t="shared" si="28"/>
        <v>7.3190294310440693</v>
      </c>
      <c r="S40" s="85">
        <f t="shared" si="28"/>
        <v>6.9152421525847378</v>
      </c>
      <c r="T40" s="85">
        <f t="shared" si="28"/>
        <v>7.0073870824534854</v>
      </c>
      <c r="U40" s="85">
        <f t="shared" si="28"/>
        <v>7.042800149700021</v>
      </c>
      <c r="V40" s="85">
        <f t="shared" si="28"/>
        <v>6.6770721361528711</v>
      </c>
      <c r="W40" s="85">
        <f t="shared" si="27"/>
        <v>6.6487866527394397</v>
      </c>
      <c r="X40" s="85">
        <f t="shared" ref="X40:AK49" si="29">X$51*(SUM(S40:W40)/SUM(S$51:W$51))</f>
        <v>6.513540713323807</v>
      </c>
      <c r="Y40" s="85">
        <f t="shared" si="29"/>
        <v>6.4328820185855955</v>
      </c>
      <c r="Z40" s="85">
        <f t="shared" si="29"/>
        <v>6.3183937315717902</v>
      </c>
      <c r="AA40" s="85">
        <f t="shared" si="29"/>
        <v>6.1741405847213739</v>
      </c>
      <c r="AB40" s="85">
        <f t="shared" si="29"/>
        <v>6.0731745536183679</v>
      </c>
      <c r="AC40" s="85">
        <f t="shared" si="29"/>
        <v>5.9578712667059204</v>
      </c>
      <c r="AD40" s="85">
        <f t="shared" si="29"/>
        <v>5.8467714165740805</v>
      </c>
      <c r="AE40" s="85">
        <f t="shared" si="29"/>
        <v>5.7296580385973206</v>
      </c>
      <c r="AF40" s="85">
        <f t="shared" si="29"/>
        <v>5.6119554901886222</v>
      </c>
      <c r="AG40" s="85">
        <f t="shared" si="29"/>
        <v>5.4994395061000105</v>
      </c>
      <c r="AH40" s="85">
        <f t="shared" si="29"/>
        <v>5.3846771303333378</v>
      </c>
      <c r="AI40" s="85">
        <f t="shared" si="29"/>
        <v>5.2700580426974577</v>
      </c>
      <c r="AJ40" s="85">
        <f t="shared" si="29"/>
        <v>5.1547321069185861</v>
      </c>
      <c r="AK40" s="85">
        <f t="shared" si="29"/>
        <v>5.0397440977219947</v>
      </c>
    </row>
    <row r="41" spans="1:37" x14ac:dyDescent="0.2">
      <c r="A41" s="53" t="s">
        <v>91</v>
      </c>
      <c r="B41" s="84"/>
      <c r="C41" s="84"/>
      <c r="D41" s="84"/>
      <c r="E41" s="84"/>
      <c r="F41" s="84">
        <f>monthly_data!$D54*264.172/1000000/2</f>
        <v>8.4739773300000003</v>
      </c>
      <c r="G41" s="84">
        <f>monthly_data!$D66*264.172/1000000/2</f>
        <v>4.4425805240000003</v>
      </c>
      <c r="H41" s="84">
        <f>monthly_data!$D78*264.172/1000000/2</f>
        <v>4.5218321240000003</v>
      </c>
      <c r="I41" s="84">
        <f>monthly_data!$D90*264.172/1000000/2</f>
        <v>3.1797062780000003</v>
      </c>
      <c r="J41" s="84">
        <f>monthly_data!$D102*264.172/1000000/2</f>
        <v>6.3835842940000003</v>
      </c>
      <c r="K41" s="84">
        <f>monthly_data!$D114*264.172/1000000/2</f>
        <v>19.780142672000004</v>
      </c>
      <c r="L41" s="85">
        <f t="shared" si="28"/>
        <v>11.665897366151674</v>
      </c>
      <c r="M41" s="85">
        <f t="shared" si="28"/>
        <v>12.151887970627186</v>
      </c>
      <c r="N41" s="85">
        <f t="shared" si="28"/>
        <v>12.714654260205499</v>
      </c>
      <c r="O41" s="85">
        <f t="shared" si="28"/>
        <v>13.502547639585824</v>
      </c>
      <c r="P41" s="85">
        <f t="shared" si="28"/>
        <v>13.852429099621736</v>
      </c>
      <c r="Q41" s="85">
        <f t="shared" si="28"/>
        <v>13.439355727723829</v>
      </c>
      <c r="R41" s="85">
        <f t="shared" si="28"/>
        <v>14.468596341973374</v>
      </c>
      <c r="S41" s="85">
        <f t="shared" si="28"/>
        <v>13.595516613822053</v>
      </c>
      <c r="T41" s="85">
        <f t="shared" si="28"/>
        <v>13.771689084545363</v>
      </c>
      <c r="U41" s="85">
        <f t="shared" si="28"/>
        <v>13.82551737353727</v>
      </c>
      <c r="V41" s="85">
        <f t="shared" si="28"/>
        <v>13.14641787272711</v>
      </c>
      <c r="W41" s="85">
        <f t="shared" si="27"/>
        <v>13.085467164047618</v>
      </c>
      <c r="X41" s="85">
        <f t="shared" si="29"/>
        <v>12.807128381181744</v>
      </c>
      <c r="Y41" s="85">
        <f t="shared" si="29"/>
        <v>12.648809912820598</v>
      </c>
      <c r="Z41" s="85">
        <f t="shared" si="29"/>
        <v>12.424975731246125</v>
      </c>
      <c r="AA41" s="85">
        <f t="shared" si="29"/>
        <v>12.145849437719015</v>
      </c>
      <c r="AB41" s="85">
        <f t="shared" si="29"/>
        <v>11.945108906327668</v>
      </c>
      <c r="AC41" s="85">
        <f t="shared" si="29"/>
        <v>11.716771254904719</v>
      </c>
      <c r="AD41" s="85">
        <f t="shared" si="29"/>
        <v>11.498739789319533</v>
      </c>
      <c r="AE41" s="85">
        <f t="shared" si="29"/>
        <v>11.268909880304317</v>
      </c>
      <c r="AF41" s="85">
        <f t="shared" si="29"/>
        <v>11.037763122694642</v>
      </c>
      <c r="AG41" s="85">
        <f t="shared" si="29"/>
        <v>10.816018412943885</v>
      </c>
      <c r="AH41" s="85">
        <f t="shared" si="29"/>
        <v>10.59017848042596</v>
      </c>
      <c r="AI41" s="85">
        <f t="shared" si="29"/>
        <v>10.364889884378682</v>
      </c>
      <c r="AJ41" s="85">
        <f t="shared" si="29"/>
        <v>10.138147795733621</v>
      </c>
      <c r="AK41" s="85">
        <f t="shared" si="29"/>
        <v>9.9119900541572026</v>
      </c>
    </row>
    <row r="42" spans="1:37" x14ac:dyDescent="0.2">
      <c r="A42" s="53" t="s">
        <v>92</v>
      </c>
      <c r="B42" s="84"/>
      <c r="C42" s="84"/>
      <c r="D42" s="84"/>
      <c r="E42" s="84"/>
      <c r="F42" s="84">
        <f>monthly_data!$D55*264.172/1000000/2</f>
        <v>9.8743531020000024</v>
      </c>
      <c r="G42" s="84">
        <f>monthly_data!$D67*264.172/1000000/2</f>
        <v>10.125316502</v>
      </c>
      <c r="H42" s="84">
        <f>monthly_data!$D79*264.172/1000000/2</f>
        <v>9.0987441100000019</v>
      </c>
      <c r="I42" s="84">
        <f>monthly_data!$D91*264.172/1000000/2</f>
        <v>9.0128882100000016</v>
      </c>
      <c r="J42" s="84">
        <f>monthly_data!$D103*264.172/1000000/2</f>
        <v>23.156128746000004</v>
      </c>
      <c r="K42" s="84">
        <f>monthly_data!$D115*264.172/1000000/2</f>
        <v>18.332215940000001</v>
      </c>
      <c r="L42" s="85">
        <f t="shared" si="28"/>
        <v>21.233460116299497</v>
      </c>
      <c r="M42" s="85">
        <f t="shared" si="28"/>
        <v>21.573770868235261</v>
      </c>
      <c r="N42" s="85">
        <f t="shared" si="28"/>
        <v>22.316735572739958</v>
      </c>
      <c r="O42" s="85">
        <f t="shared" si="28"/>
        <v>22.96053954243779</v>
      </c>
      <c r="P42" s="85">
        <f t="shared" si="28"/>
        <v>21.114765509994612</v>
      </c>
      <c r="Q42" s="85">
        <f t="shared" si="28"/>
        <v>22.971156771287635</v>
      </c>
      <c r="R42" s="85">
        <f t="shared" si="28"/>
        <v>24.445337053647929</v>
      </c>
      <c r="S42" s="85">
        <f t="shared" si="28"/>
        <v>22.761706890021586</v>
      </c>
      <c r="T42" s="85">
        <f t="shared" si="28"/>
        <v>22.85070115347791</v>
      </c>
      <c r="U42" s="85">
        <f t="shared" si="28"/>
        <v>22.828733475685937</v>
      </c>
      <c r="V42" s="85">
        <f t="shared" si="28"/>
        <v>22.041939313308763</v>
      </c>
      <c r="W42" s="85">
        <f t="shared" si="27"/>
        <v>21.856437920649647</v>
      </c>
      <c r="X42" s="85">
        <f t="shared" si="29"/>
        <v>21.338598462932421</v>
      </c>
      <c r="Y42" s="85">
        <f t="shared" si="29"/>
        <v>21.054024268431693</v>
      </c>
      <c r="Z42" s="85">
        <f t="shared" si="29"/>
        <v>20.695174833532651</v>
      </c>
      <c r="AA42" s="85">
        <f t="shared" si="29"/>
        <v>20.267996250909242</v>
      </c>
      <c r="AB42" s="85">
        <f t="shared" si="29"/>
        <v>19.913280736298162</v>
      </c>
      <c r="AC42" s="85">
        <f t="shared" si="29"/>
        <v>19.524666239263226</v>
      </c>
      <c r="AD42" s="85">
        <f t="shared" si="29"/>
        <v>19.161912729444385</v>
      </c>
      <c r="AE42" s="85">
        <f t="shared" si="29"/>
        <v>18.783520457797373</v>
      </c>
      <c r="AF42" s="85">
        <f t="shared" si="29"/>
        <v>18.401123047237331</v>
      </c>
      <c r="AG42" s="85">
        <f t="shared" si="29"/>
        <v>18.02776670256339</v>
      </c>
      <c r="AH42" s="85">
        <f t="shared" si="29"/>
        <v>17.650670612214515</v>
      </c>
      <c r="AI42" s="85">
        <f t="shared" si="29"/>
        <v>17.275876037281229</v>
      </c>
      <c r="AJ42" s="85">
        <f t="shared" si="29"/>
        <v>16.898667224299768</v>
      </c>
      <c r="AK42" s="85">
        <f t="shared" si="29"/>
        <v>16.521688394407505</v>
      </c>
    </row>
    <row r="43" spans="1:37" x14ac:dyDescent="0.2">
      <c r="A43" s="53" t="s">
        <v>93</v>
      </c>
      <c r="B43" s="84"/>
      <c r="C43" s="84"/>
      <c r="D43" s="84"/>
      <c r="E43" s="84"/>
      <c r="F43" s="84">
        <f>monthly_data!$D56*264.172/1000000/2</f>
        <v>12.581984016000002</v>
      </c>
      <c r="G43" s="84">
        <f>monthly_data!$D68*264.172/1000000/2</f>
        <v>11.784845006000001</v>
      </c>
      <c r="H43" s="84">
        <f>monthly_data!$D80*264.172/1000000/2</f>
        <v>10.593429286000001</v>
      </c>
      <c r="I43" s="84">
        <f>monthly_data!$D92*264.172/1000000/2</f>
        <v>10.875829154000002</v>
      </c>
      <c r="J43" s="84">
        <f>monthly_data!$D104*264.172/1000000/2</f>
        <v>19.222211408000003</v>
      </c>
      <c r="K43" s="84">
        <f>monthly_data!$D116*264.172/1000000/2</f>
        <v>27.487492858000003</v>
      </c>
      <c r="L43" s="85">
        <f t="shared" si="28"/>
        <v>24.351397267411759</v>
      </c>
      <c r="M43" s="85">
        <f t="shared" si="28"/>
        <v>24.695582119085888</v>
      </c>
      <c r="N43" s="85">
        <f t="shared" si="28"/>
        <v>25.503469811765346</v>
      </c>
      <c r="O43" s="85">
        <f t="shared" si="28"/>
        <v>26.11516921516807</v>
      </c>
      <c r="P43" s="85">
        <f t="shared" si="28"/>
        <v>25.427609890696697</v>
      </c>
      <c r="Q43" s="85">
        <f t="shared" si="28"/>
        <v>26.524969191409891</v>
      </c>
      <c r="R43" s="85">
        <f t="shared" si="28"/>
        <v>28.26402427807573</v>
      </c>
      <c r="S43" s="85">
        <f t="shared" si="28"/>
        <v>26.367048477423147</v>
      </c>
      <c r="T43" s="85">
        <f t="shared" si="28"/>
        <v>26.539764210554704</v>
      </c>
      <c r="U43" s="85">
        <f t="shared" si="28"/>
        <v>26.624683209632032</v>
      </c>
      <c r="V43" s="85">
        <f t="shared" si="28"/>
        <v>25.554501145907334</v>
      </c>
      <c r="W43" s="85">
        <f t="shared" si="27"/>
        <v>25.359754500580618</v>
      </c>
      <c r="X43" s="85">
        <f t="shared" si="29"/>
        <v>24.777830137509408</v>
      </c>
      <c r="Y43" s="85">
        <f t="shared" si="29"/>
        <v>24.459397570222162</v>
      </c>
      <c r="Z43" s="85">
        <f t="shared" si="29"/>
        <v>24.043817273273916</v>
      </c>
      <c r="AA43" s="85">
        <f t="shared" si="29"/>
        <v>23.528179152410626</v>
      </c>
      <c r="AB43" s="85">
        <f t="shared" si="29"/>
        <v>23.122645805094525</v>
      </c>
      <c r="AC43" s="85">
        <f t="shared" si="29"/>
        <v>22.675033567950518</v>
      </c>
      <c r="AD43" s="85">
        <f t="shared" si="29"/>
        <v>22.254469995991006</v>
      </c>
      <c r="AE43" s="85">
        <f t="shared" si="29"/>
        <v>21.813603811874561</v>
      </c>
      <c r="AF43" s="85">
        <f t="shared" si="29"/>
        <v>21.367601546500541</v>
      </c>
      <c r="AG43" s="85">
        <f t="shared" si="29"/>
        <v>20.935421716099089</v>
      </c>
      <c r="AH43" s="85">
        <f t="shared" si="29"/>
        <v>20.497955838707512</v>
      </c>
      <c r="AI43" s="85">
        <f t="shared" si="29"/>
        <v>20.062555171952233</v>
      </c>
      <c r="AJ43" s="85">
        <f t="shared" si="29"/>
        <v>19.62419118403125</v>
      </c>
      <c r="AK43" s="85">
        <f t="shared" si="29"/>
        <v>19.186306298897318</v>
      </c>
    </row>
    <row r="44" spans="1:37" x14ac:dyDescent="0.2">
      <c r="A44" s="53" t="s">
        <v>94</v>
      </c>
      <c r="B44" s="84"/>
      <c r="C44" s="84"/>
      <c r="D44" s="84"/>
      <c r="E44" s="84"/>
      <c r="F44" s="84">
        <f>monthly_data!$D57*264.172/1000000/2</f>
        <v>6.2253452660000006</v>
      </c>
      <c r="G44" s="84">
        <f>monthly_data!$D69*264.172/1000000/2</f>
        <v>10.907661880000001</v>
      </c>
      <c r="H44" s="84">
        <f>monthly_data!$D81*264.172/1000000/2</f>
        <v>12.482919516000001</v>
      </c>
      <c r="I44" s="84">
        <f>monthly_data!$D93*264.172/1000000/2</f>
        <v>11.251481738000003</v>
      </c>
      <c r="J44" s="84">
        <f>monthly_data!$D105*264.172/1000000/2</f>
        <v>23.680245994000003</v>
      </c>
      <c r="K44" s="84">
        <f>monthly_data!$D117*264.172/1000000/2</f>
        <v>20.959010222000003</v>
      </c>
      <c r="L44" s="85">
        <f t="shared" si="28"/>
        <v>24.14355892517943</v>
      </c>
      <c r="M44" s="85">
        <f t="shared" si="28"/>
        <v>24.692074207567241</v>
      </c>
      <c r="N44" s="85">
        <f t="shared" si="28"/>
        <v>25.047574826951173</v>
      </c>
      <c r="O44" s="85">
        <f t="shared" si="28"/>
        <v>25.525567297416071</v>
      </c>
      <c r="P44" s="85">
        <f t="shared" si="28"/>
        <v>23.882877771788312</v>
      </c>
      <c r="Q44" s="85">
        <f t="shared" si="28"/>
        <v>25.935629867940925</v>
      </c>
      <c r="R44" s="85">
        <f t="shared" si="28"/>
        <v>27.562622633756188</v>
      </c>
      <c r="S44" s="85">
        <f t="shared" si="28"/>
        <v>25.590854479570538</v>
      </c>
      <c r="T44" s="85">
        <f t="shared" si="28"/>
        <v>25.699510410094412</v>
      </c>
      <c r="U44" s="85">
        <f t="shared" si="28"/>
        <v>25.734299032630076</v>
      </c>
      <c r="V44" s="85">
        <f t="shared" si="28"/>
        <v>24.832012100613735</v>
      </c>
      <c r="W44" s="85">
        <f t="shared" si="27"/>
        <v>24.6122318470068</v>
      </c>
      <c r="X44" s="85">
        <f t="shared" si="29"/>
        <v>24.022439058260606</v>
      </c>
      <c r="Y44" s="85">
        <f t="shared" si="29"/>
        <v>23.708466505738471</v>
      </c>
      <c r="Z44" s="85">
        <f t="shared" si="29"/>
        <v>23.310472323426755</v>
      </c>
      <c r="AA44" s="85">
        <f t="shared" si="29"/>
        <v>22.825399040879809</v>
      </c>
      <c r="AB44" s="85">
        <f t="shared" si="29"/>
        <v>22.424253569783744</v>
      </c>
      <c r="AC44" s="85">
        <f t="shared" si="29"/>
        <v>21.986674780837493</v>
      </c>
      <c r="AD44" s="85">
        <f t="shared" si="29"/>
        <v>21.579482221930014</v>
      </c>
      <c r="AE44" s="85">
        <f t="shared" si="29"/>
        <v>21.153698254442308</v>
      </c>
      <c r="AF44" s="85">
        <f t="shared" si="29"/>
        <v>20.722313602091933</v>
      </c>
      <c r="AG44" s="85">
        <f t="shared" si="29"/>
        <v>20.301725575874418</v>
      </c>
      <c r="AH44" s="85">
        <f t="shared" si="29"/>
        <v>19.877217702776449</v>
      </c>
      <c r="AI44" s="85">
        <f t="shared" si="29"/>
        <v>19.455319950841371</v>
      </c>
      <c r="AJ44" s="85">
        <f t="shared" si="29"/>
        <v>19.030488241010634</v>
      </c>
      <c r="AK44" s="85">
        <f t="shared" si="29"/>
        <v>18.60584439866301</v>
      </c>
    </row>
    <row r="45" spans="1:37" x14ac:dyDescent="0.2">
      <c r="A45" s="53" t="s">
        <v>95</v>
      </c>
      <c r="B45" s="84"/>
      <c r="C45" s="84"/>
      <c r="D45" s="84"/>
      <c r="E45" s="84"/>
      <c r="F45" s="84">
        <f>monthly_data!$D58*264.172/1000000/2</f>
        <v>8.1659527780000012</v>
      </c>
      <c r="G45" s="84">
        <f>monthly_data!$D70*264.172/1000000/2</f>
        <v>7.5044660900000011</v>
      </c>
      <c r="H45" s="84">
        <f>monthly_data!$D82*264.172/1000000/2</f>
        <v>8.5602294879999992</v>
      </c>
      <c r="I45" s="84">
        <f>monthly_data!$D94*264.172/1000000/2</f>
        <v>11.876908948000001</v>
      </c>
      <c r="J45" s="84">
        <f>monthly_data!$D106*264.172/1000000/2</f>
        <v>17.522132502000002</v>
      </c>
      <c r="K45" s="84">
        <f>monthly_data!$D118*264.172/1000000/2</f>
        <v>24.154302648000002</v>
      </c>
      <c r="L45" s="85">
        <f t="shared" si="28"/>
        <v>21.200798081483807</v>
      </c>
      <c r="M45" s="85">
        <f t="shared" si="28"/>
        <v>22.235911627336179</v>
      </c>
      <c r="N45" s="85">
        <f t="shared" si="28"/>
        <v>23.197267364339954</v>
      </c>
      <c r="O45" s="85">
        <f t="shared" si="28"/>
        <v>23.326250727581677</v>
      </c>
      <c r="P45" s="85">
        <f t="shared" si="28"/>
        <v>22.642132791960496</v>
      </c>
      <c r="Q45" s="85">
        <f t="shared" si="28"/>
        <v>23.687030507281225</v>
      </c>
      <c r="R45" s="85">
        <f t="shared" si="28"/>
        <v>25.360161642912566</v>
      </c>
      <c r="S45" s="85">
        <f t="shared" si="28"/>
        <v>23.642568606815182</v>
      </c>
      <c r="T45" s="85">
        <f t="shared" si="28"/>
        <v>23.73162885531023</v>
      </c>
      <c r="U45" s="85">
        <f t="shared" si="28"/>
        <v>23.812704480855942</v>
      </c>
      <c r="V45" s="85">
        <f t="shared" si="28"/>
        <v>22.874561504045936</v>
      </c>
      <c r="W45" s="85">
        <f t="shared" si="27"/>
        <v>22.710930709471565</v>
      </c>
      <c r="X45" s="85">
        <f t="shared" si="29"/>
        <v>22.180611579227307</v>
      </c>
      <c r="Y45" s="85">
        <f t="shared" si="29"/>
        <v>21.888093336043276</v>
      </c>
      <c r="Z45" s="85">
        <f t="shared" si="29"/>
        <v>21.519639872473732</v>
      </c>
      <c r="AA45" s="85">
        <f t="shared" si="29"/>
        <v>21.061327931175654</v>
      </c>
      <c r="AB45" s="85">
        <f t="shared" si="29"/>
        <v>20.698433648052326</v>
      </c>
      <c r="AC45" s="85">
        <f t="shared" si="29"/>
        <v>20.295872286282201</v>
      </c>
      <c r="AD45" s="85">
        <f t="shared" si="29"/>
        <v>19.918949297649085</v>
      </c>
      <c r="AE45" s="85">
        <f t="shared" si="29"/>
        <v>19.525177570826749</v>
      </c>
      <c r="AF45" s="85">
        <f t="shared" si="29"/>
        <v>19.12630067412913</v>
      </c>
      <c r="AG45" s="85">
        <f t="shared" si="29"/>
        <v>18.739250366932186</v>
      </c>
      <c r="AH45" s="85">
        <f t="shared" si="29"/>
        <v>18.347411740456803</v>
      </c>
      <c r="AI45" s="85">
        <f t="shared" si="29"/>
        <v>17.957730385450656</v>
      </c>
      <c r="AJ45" s="85">
        <f t="shared" si="29"/>
        <v>17.565494377744248</v>
      </c>
      <c r="AK45" s="85">
        <f t="shared" si="29"/>
        <v>17.173555028884167</v>
      </c>
    </row>
    <row r="46" spans="1:37" x14ac:dyDescent="0.2">
      <c r="A46" s="53" t="s">
        <v>96</v>
      </c>
      <c r="B46" s="84"/>
      <c r="C46" s="84"/>
      <c r="D46" s="84"/>
      <c r="E46" s="84"/>
      <c r="F46" s="84">
        <f>monthly_data!$D59*264.172/1000000/2</f>
        <v>9.8883542179999999</v>
      </c>
      <c r="G46" s="84">
        <f>monthly_data!$D71*264.172/1000000/2</f>
        <v>10.585900384000002</v>
      </c>
      <c r="H46" s="84">
        <f>monthly_data!$D83*264.172/1000000/2</f>
        <v>10.506780870000002</v>
      </c>
      <c r="I46" s="84">
        <f>monthly_data!$D95*264.172/1000000/2</f>
        <v>14.514402196000002</v>
      </c>
      <c r="J46" s="84">
        <f>monthly_data!$D107*264.172/1000000/2</f>
        <v>15.900512680000002</v>
      </c>
      <c r="K46" s="84">
        <f>monthly_data!$D119*264.172/1000000/2</f>
        <v>19.333163648000003</v>
      </c>
      <c r="L46" s="85">
        <f t="shared" si="28"/>
        <v>21.573153323218801</v>
      </c>
      <c r="M46" s="85">
        <f t="shared" si="28"/>
        <v>21.839214807770635</v>
      </c>
      <c r="N46" s="85">
        <f t="shared" si="28"/>
        <v>22.281334054535407</v>
      </c>
      <c r="O46" s="85">
        <f t="shared" si="28"/>
        <v>21.736205117873336</v>
      </c>
      <c r="P46" s="85">
        <f t="shared" si="28"/>
        <v>21.18348662745354</v>
      </c>
      <c r="Q46" s="85">
        <f t="shared" si="28"/>
        <v>22.847911553518351</v>
      </c>
      <c r="R46" s="85">
        <f t="shared" si="28"/>
        <v>24.214226869554448</v>
      </c>
      <c r="S46" s="85">
        <f t="shared" si="28"/>
        <v>22.452632844587015</v>
      </c>
      <c r="T46" s="85">
        <f t="shared" si="28"/>
        <v>22.486892602597337</v>
      </c>
      <c r="U46" s="85">
        <f t="shared" si="28"/>
        <v>22.637030099542137</v>
      </c>
      <c r="V46" s="85">
        <f t="shared" si="28"/>
        <v>21.810035462349976</v>
      </c>
      <c r="W46" s="85">
        <f t="shared" si="27"/>
        <v>21.603962443467235</v>
      </c>
      <c r="X46" s="85">
        <f t="shared" si="29"/>
        <v>21.082366023899212</v>
      </c>
      <c r="Y46" s="85">
        <f t="shared" si="29"/>
        <v>20.807995573197765</v>
      </c>
      <c r="Z46" s="85">
        <f t="shared" si="29"/>
        <v>20.471695257622255</v>
      </c>
      <c r="AA46" s="85">
        <f t="shared" si="29"/>
        <v>20.038745056108546</v>
      </c>
      <c r="AB46" s="85">
        <f t="shared" si="29"/>
        <v>19.684746120464556</v>
      </c>
      <c r="AC46" s="85">
        <f t="shared" si="29"/>
        <v>19.300901666912875</v>
      </c>
      <c r="AD46" s="85">
        <f t="shared" si="29"/>
        <v>18.944511373823701</v>
      </c>
      <c r="AE46" s="85">
        <f t="shared" si="29"/>
        <v>18.571763027438859</v>
      </c>
      <c r="AF46" s="85">
        <f t="shared" si="29"/>
        <v>18.1918244501422</v>
      </c>
      <c r="AG46" s="85">
        <f t="shared" si="29"/>
        <v>17.822473525306808</v>
      </c>
      <c r="AH46" s="85">
        <f t="shared" si="29"/>
        <v>17.450004362813974</v>
      </c>
      <c r="AI46" s="85">
        <f t="shared" si="29"/>
        <v>17.079807397227313</v>
      </c>
      <c r="AJ46" s="85">
        <f t="shared" si="29"/>
        <v>16.70686605139322</v>
      </c>
      <c r="AK46" s="85">
        <f t="shared" si="29"/>
        <v>16.333896950639531</v>
      </c>
    </row>
    <row r="47" spans="1:37" x14ac:dyDescent="0.2">
      <c r="A47" s="53" t="s">
        <v>97</v>
      </c>
      <c r="B47" s="84"/>
      <c r="C47" s="84"/>
      <c r="D47" s="84"/>
      <c r="E47" s="84"/>
      <c r="F47" s="84">
        <f>monthly_data!$D60*264.172/1000000/2</f>
        <v>7.7467118140000011</v>
      </c>
      <c r="G47" s="84">
        <f>monthly_data!$D72*264.172/1000000/2</f>
        <v>10.218040874000001</v>
      </c>
      <c r="H47" s="84">
        <f>monthly_data!$D84*264.172/1000000/2</f>
        <v>5.3471054520000001</v>
      </c>
      <c r="I47" s="84">
        <f>monthly_data!$D96*264.172/1000000/2</f>
        <v>15.659984074</v>
      </c>
      <c r="J47" s="84">
        <f>monthly_data!$D108*264.172/1000000/2</f>
        <v>14.175205348</v>
      </c>
      <c r="K47" s="84">
        <f>monthly_data!$D120*264.172/1000000/2</f>
        <v>19.2317216</v>
      </c>
      <c r="L47" s="85">
        <f t="shared" si="28"/>
        <v>19.682415704362441</v>
      </c>
      <c r="M47" s="85">
        <f t="shared" si="28"/>
        <v>19.775720381049304</v>
      </c>
      <c r="N47" s="85">
        <f t="shared" si="28"/>
        <v>21.172678079770506</v>
      </c>
      <c r="O47" s="85">
        <f t="shared" si="28"/>
        <v>20.25241970773757</v>
      </c>
      <c r="P47" s="85">
        <f t="shared" si="28"/>
        <v>19.864395071907865</v>
      </c>
      <c r="Q47" s="85">
        <f t="shared" si="28"/>
        <v>21.193269375447255</v>
      </c>
      <c r="R47" s="85">
        <f t="shared" si="28"/>
        <v>22.533003319292082</v>
      </c>
      <c r="S47" s="85">
        <f t="shared" si="28"/>
        <v>21.003153110831054</v>
      </c>
      <c r="T47" s="85">
        <f t="shared" si="28"/>
        <v>20.969248117043165</v>
      </c>
      <c r="U47" s="85">
        <f t="shared" si="28"/>
        <v>21.112613798904285</v>
      </c>
      <c r="V47" s="85">
        <f t="shared" si="28"/>
        <v>20.32086978938608</v>
      </c>
      <c r="W47" s="85">
        <f t="shared" si="27"/>
        <v>20.146859884638232</v>
      </c>
      <c r="X47" s="85">
        <f t="shared" si="29"/>
        <v>19.669573658763305</v>
      </c>
      <c r="Y47" s="85">
        <f t="shared" si="29"/>
        <v>19.403123302667463</v>
      </c>
      <c r="Z47" s="85">
        <f t="shared" si="29"/>
        <v>19.0894186012818</v>
      </c>
      <c r="AA47" s="85">
        <f t="shared" si="29"/>
        <v>18.684931368415771</v>
      </c>
      <c r="AB47" s="85">
        <f t="shared" si="29"/>
        <v>18.357816997654826</v>
      </c>
      <c r="AC47" s="85">
        <f t="shared" si="29"/>
        <v>17.999998553546508</v>
      </c>
      <c r="AD47" s="85">
        <f t="shared" si="29"/>
        <v>17.666083753136867</v>
      </c>
      <c r="AE47" s="85">
        <f t="shared" si="29"/>
        <v>17.318619969246509</v>
      </c>
      <c r="AF47" s="85">
        <f t="shared" si="29"/>
        <v>16.964494078138898</v>
      </c>
      <c r="AG47" s="85">
        <f t="shared" si="29"/>
        <v>16.620415427890915</v>
      </c>
      <c r="AH47" s="85">
        <f t="shared" si="29"/>
        <v>16.272930262557409</v>
      </c>
      <c r="AI47" s="85">
        <f t="shared" si="29"/>
        <v>15.927512814799689</v>
      </c>
      <c r="AJ47" s="85">
        <f t="shared" si="29"/>
        <v>15.579793977544499</v>
      </c>
      <c r="AK47" s="85">
        <f t="shared" si="29"/>
        <v>15.232035026704272</v>
      </c>
    </row>
    <row r="48" spans="1:37" x14ac:dyDescent="0.2">
      <c r="A48" s="53" t="s">
        <v>98</v>
      </c>
      <c r="B48" s="84"/>
      <c r="C48" s="84"/>
      <c r="D48" s="84"/>
      <c r="E48" s="84"/>
      <c r="F48" s="84">
        <f>monthly_data!$D61*264.172/1000000/2</f>
        <v>3.0341475060000005</v>
      </c>
      <c r="G48" s="84">
        <f>monthly_data!$D73*264.172/1000000/2</f>
        <v>1.8292590140000002</v>
      </c>
      <c r="H48" s="84">
        <f>monthly_data!$D85*264.172/1000000/2</f>
        <v>3.7172962980000004</v>
      </c>
      <c r="I48" s="84">
        <f>monthly_data!$D97*264.172/1000000/2</f>
        <v>14.200565860000001</v>
      </c>
      <c r="J48" s="84">
        <f>monthly_data!$D109*264.172/1000000/2</f>
        <v>10.880980508000002</v>
      </c>
      <c r="K48" s="84">
        <f>monthly_data!$D121*264.172/1000000/2</f>
        <v>4.6051783900000007</v>
      </c>
      <c r="L48" s="85">
        <f t="shared" si="28"/>
        <v>10.729599109495583</v>
      </c>
      <c r="M48" s="85">
        <f t="shared" si="28"/>
        <v>11.778895503299902</v>
      </c>
      <c r="N48" s="85">
        <f t="shared" si="28"/>
        <v>12.483614673482947</v>
      </c>
      <c r="O48" s="85">
        <f t="shared" si="28"/>
        <v>10.871242346807453</v>
      </c>
      <c r="P48" s="85">
        <f t="shared" si="28"/>
        <v>10.013756829250109</v>
      </c>
      <c r="Q48" s="85">
        <f t="shared" si="28"/>
        <v>11.754307510421734</v>
      </c>
      <c r="R48" s="85">
        <f t="shared" si="28"/>
        <v>12.538508253339927</v>
      </c>
      <c r="S48" s="85">
        <f t="shared" si="28"/>
        <v>11.532285922660433</v>
      </c>
      <c r="T48" s="85">
        <f t="shared" si="28"/>
        <v>11.342020172495932</v>
      </c>
      <c r="U48" s="85">
        <f t="shared" si="28"/>
        <v>11.436175737633627</v>
      </c>
      <c r="V48" s="85">
        <f t="shared" si="28"/>
        <v>11.149289603108677</v>
      </c>
      <c r="W48" s="85">
        <f t="shared" si="27"/>
        <v>11.029785520828682</v>
      </c>
      <c r="X48" s="85">
        <f t="shared" si="29"/>
        <v>10.730043947378244</v>
      </c>
      <c r="Y48" s="85">
        <f t="shared" si="29"/>
        <v>10.570501494022253</v>
      </c>
      <c r="Z48" s="85">
        <f t="shared" si="29"/>
        <v>10.415091475888392</v>
      </c>
      <c r="AA48" s="85">
        <f t="shared" si="29"/>
        <v>10.210083907094653</v>
      </c>
      <c r="AB48" s="85">
        <f t="shared" si="29"/>
        <v>10.022768712163373</v>
      </c>
      <c r="AC48" s="85">
        <f t="shared" si="29"/>
        <v>9.8216908036992745</v>
      </c>
      <c r="AD48" s="85">
        <f t="shared" si="29"/>
        <v>9.6399908059166073</v>
      </c>
      <c r="AE48" s="85">
        <f t="shared" si="29"/>
        <v>9.4536613851024889</v>
      </c>
      <c r="AF48" s="85">
        <f t="shared" si="29"/>
        <v>9.2613338209483214</v>
      </c>
      <c r="AG48" s="85">
        <f t="shared" si="29"/>
        <v>9.0717008498045697</v>
      </c>
      <c r="AH48" s="85">
        <f t="shared" si="29"/>
        <v>8.8815178784180944</v>
      </c>
      <c r="AI48" s="85">
        <f t="shared" si="29"/>
        <v>8.6934513521302197</v>
      </c>
      <c r="AJ48" s="85">
        <f t="shared" si="29"/>
        <v>8.504110909895445</v>
      </c>
      <c r="AK48" s="85">
        <f t="shared" si="29"/>
        <v>8.3142096709376965</v>
      </c>
    </row>
    <row r="49" spans="1:37" x14ac:dyDescent="0.2">
      <c r="A49" s="53" t="s">
        <v>99</v>
      </c>
      <c r="B49" s="84"/>
      <c r="C49" s="84"/>
      <c r="D49" s="84"/>
      <c r="E49" s="84"/>
      <c r="F49" s="84">
        <f>monthly_data!$D62*264.172/1000000/2</f>
        <v>3.5874557600000001</v>
      </c>
      <c r="G49" s="84">
        <f>monthly_data!$D74*264.172/1000000/2</f>
        <v>0.908487508</v>
      </c>
      <c r="H49" s="84">
        <f>monthly_data!$D86*264.172/1000000/2</f>
        <v>1.4738155880000001</v>
      </c>
      <c r="I49" s="84">
        <f>monthly_data!$D98*264.172/1000000/2</f>
        <v>5.5254215520000001</v>
      </c>
      <c r="J49" s="84">
        <f>monthly_data!$D110*264.172/1000000/2</f>
        <v>13.094477696</v>
      </c>
      <c r="K49" s="84">
        <f>monthly_data!$D122*264.172/1000000/2</f>
        <v>2.8051103820000001</v>
      </c>
      <c r="L49" s="85">
        <f t="shared" si="28"/>
        <v>7.2500465729239281</v>
      </c>
      <c r="M49" s="85">
        <f t="shared" si="28"/>
        <v>8.0464826822730995</v>
      </c>
      <c r="N49" s="85">
        <f t="shared" si="28"/>
        <v>8.7827495925156729</v>
      </c>
      <c r="O49" s="85">
        <f t="shared" si="28"/>
        <v>8.6100408499266035</v>
      </c>
      <c r="P49" s="85">
        <f t="shared" si="28"/>
        <v>7.0426578988479074</v>
      </c>
      <c r="Q49" s="85">
        <f t="shared" si="28"/>
        <v>8.358018077851936</v>
      </c>
      <c r="R49" s="85">
        <f t="shared" si="28"/>
        <v>8.9992212393606241</v>
      </c>
      <c r="S49" s="85">
        <f t="shared" si="28"/>
        <v>8.3585375317005486</v>
      </c>
      <c r="T49" s="85">
        <f t="shared" si="28"/>
        <v>8.2736951195375248</v>
      </c>
      <c r="U49" s="85">
        <f t="shared" si="28"/>
        <v>8.2064259734597069</v>
      </c>
      <c r="V49" s="85">
        <f t="shared" si="28"/>
        <v>8.0277783932291609</v>
      </c>
      <c r="W49" s="85">
        <f t="shared" si="27"/>
        <v>7.9617746205646851</v>
      </c>
      <c r="X49" s="85">
        <f t="shared" si="29"/>
        <v>7.7552122688705731</v>
      </c>
      <c r="Y49" s="85">
        <f t="shared" si="29"/>
        <v>7.6354412431714689</v>
      </c>
      <c r="Z49" s="85">
        <f t="shared" si="29"/>
        <v>7.5078288299396041</v>
      </c>
      <c r="AA49" s="85">
        <f t="shared" si="29"/>
        <v>7.3671439910618988</v>
      </c>
      <c r="AB49" s="85">
        <f t="shared" si="29"/>
        <v>7.235213572078127</v>
      </c>
      <c r="AC49" s="85">
        <f t="shared" si="29"/>
        <v>7.0901321234375807</v>
      </c>
      <c r="AD49" s="85">
        <f t="shared" si="29"/>
        <v>6.9571989909880205</v>
      </c>
      <c r="AE49" s="85">
        <f t="shared" si="29"/>
        <v>6.8214623884006302</v>
      </c>
      <c r="AF49" s="85">
        <f t="shared" si="29"/>
        <v>6.6840738898211178</v>
      </c>
      <c r="AG49" s="85">
        <f t="shared" si="29"/>
        <v>6.5475247732580701</v>
      </c>
      <c r="AH49" s="85">
        <f t="shared" si="29"/>
        <v>6.4100241669014464</v>
      </c>
      <c r="AI49" s="85">
        <f t="shared" si="29"/>
        <v>6.2739986699671189</v>
      </c>
      <c r="AJ49" s="85">
        <f t="shared" si="29"/>
        <v>6.1373362396488336</v>
      </c>
      <c r="AK49" s="85">
        <f t="shared" si="29"/>
        <v>6.0005026185676185</v>
      </c>
    </row>
    <row r="50" spans="1:37" x14ac:dyDescent="0.2">
      <c r="A50" s="53" t="s">
        <v>100</v>
      </c>
      <c r="B50" s="84"/>
      <c r="C50" s="84"/>
      <c r="D50" s="84"/>
      <c r="E50" s="84"/>
      <c r="F50" s="84">
        <f>monthly_data!$D63*264.172/1000000/2</f>
        <v>1.074255438</v>
      </c>
      <c r="G50" s="84">
        <f>monthly_data!$D75*264.172/1000000/2</f>
        <v>0.75196559800000007</v>
      </c>
      <c r="H50" s="84">
        <f>monthly_data!$D87*264.172/1000000/2</f>
        <v>1.4031495780000003</v>
      </c>
      <c r="I50" s="84">
        <f>monthly_data!$D99*264.172/1000000/2</f>
        <v>9.8940339160000015</v>
      </c>
      <c r="J50" s="84">
        <f>monthly_data!$D111*264.172/1000000/2</f>
        <v>13.200146496</v>
      </c>
      <c r="K50" s="84">
        <f>monthly_data!$D123*264.172/1000000/2</f>
        <v>4.7541713980000004</v>
      </c>
      <c r="L50" s="93">
        <f>L51-SUM(L39:L49)</f>
        <v>9.1369628946035277</v>
      </c>
      <c r="M50" s="94">
        <f t="shared" ref="M50:T50" si="30">M51-SUM(M39:M49)</f>
        <v>10.24556126647559</v>
      </c>
      <c r="N50" s="94">
        <f t="shared" si="30"/>
        <v>11.296284667862096</v>
      </c>
      <c r="O50" s="94">
        <f t="shared" si="30"/>
        <v>10.473863817157593</v>
      </c>
      <c r="P50" s="94">
        <f t="shared" si="30"/>
        <v>9.1086459789027572</v>
      </c>
      <c r="Q50" s="94">
        <f t="shared" si="30"/>
        <v>10.572970063327062</v>
      </c>
      <c r="R50" s="94">
        <f t="shared" si="30"/>
        <v>11.391681001995067</v>
      </c>
      <c r="S50" s="94">
        <f t="shared" si="30"/>
        <v>10.568689105848904</v>
      </c>
      <c r="T50" s="94">
        <f t="shared" si="30"/>
        <v>10.423169993446294</v>
      </c>
      <c r="U50" s="94">
        <f>U51-SUM(U39:U49)</f>
        <v>10.413031228704</v>
      </c>
      <c r="V50" s="94">
        <f>V51-SUM(V39:V49)</f>
        <v>10.153566392725423</v>
      </c>
      <c r="W50" s="94">
        <f t="shared" ref="W50:AK50" si="31">W51-SUM(W39:W49)</f>
        <v>10.069758370579763</v>
      </c>
      <c r="X50" s="94">
        <f t="shared" si="31"/>
        <v>9.8066447445986</v>
      </c>
      <c r="Y50" s="94">
        <f t="shared" si="31"/>
        <v>9.6553574880811368</v>
      </c>
      <c r="Z50" s="94">
        <f t="shared" si="31"/>
        <v>9.5014370878516843</v>
      </c>
      <c r="AA50" s="94">
        <f t="shared" si="31"/>
        <v>9.3181866901949206</v>
      </c>
      <c r="AB50" s="94">
        <f t="shared" si="31"/>
        <v>9.1513569789622977</v>
      </c>
      <c r="AC50" s="94">
        <f t="shared" si="31"/>
        <v>8.9679622444863867</v>
      </c>
      <c r="AD50" s="94">
        <f t="shared" si="31"/>
        <v>8.8003022732987404</v>
      </c>
      <c r="AE50" s="94">
        <f t="shared" si="31"/>
        <v>8.6291472098734516</v>
      </c>
      <c r="AF50" s="94">
        <f t="shared" si="31"/>
        <v>8.4545901689490393</v>
      </c>
      <c r="AG50" s="94">
        <f t="shared" si="31"/>
        <v>8.2819481372514474</v>
      </c>
      <c r="AH50" s="94">
        <f t="shared" si="31"/>
        <v>8.1081079884881149</v>
      </c>
      <c r="AI50" s="94">
        <f t="shared" si="31"/>
        <v>7.93612702461715</v>
      </c>
      <c r="AJ50" s="94">
        <f t="shared" si="31"/>
        <v>7.7632634235685032</v>
      </c>
      <c r="AK50" s="94">
        <f t="shared" si="31"/>
        <v>7.5900826569392734</v>
      </c>
    </row>
    <row r="51" spans="1:37" x14ac:dyDescent="0.2">
      <c r="A51" s="86" t="s">
        <v>101</v>
      </c>
      <c r="B51" s="95"/>
      <c r="C51" s="95"/>
      <c r="D51" s="95"/>
      <c r="E51" s="95"/>
      <c r="F51" s="95">
        <f t="shared" ref="F51:K51" si="32">SUM(F39:F50)</f>
        <v>75.403406475999986</v>
      </c>
      <c r="G51" s="95">
        <f t="shared" si="32"/>
        <v>77.464476419999997</v>
      </c>
      <c r="H51" s="95">
        <f t="shared" si="32"/>
        <v>75.74867927999999</v>
      </c>
      <c r="I51" s="95">
        <f t="shared" si="32"/>
        <v>111.748850666</v>
      </c>
      <c r="J51" s="95">
        <f t="shared" si="32"/>
        <v>161.46707775400003</v>
      </c>
      <c r="K51" s="95">
        <f t="shared" si="32"/>
        <v>183.25070087400005</v>
      </c>
      <c r="L51" s="96">
        <f t="shared" ref="L51:AJ51" si="33">L5</f>
        <v>185.66592906344414</v>
      </c>
      <c r="M51" s="96">
        <f t="shared" si="33"/>
        <v>191.59652097885197</v>
      </c>
      <c r="N51" s="96">
        <f t="shared" si="33"/>
        <v>199.40432656435047</v>
      </c>
      <c r="O51" s="96">
        <f t="shared" si="33"/>
        <v>198.43380438477342</v>
      </c>
      <c r="P51" s="96">
        <f t="shared" si="33"/>
        <v>190.15209456686404</v>
      </c>
      <c r="Q51" s="96">
        <f t="shared" si="33"/>
        <v>203.05053511165684</v>
      </c>
      <c r="R51" s="96">
        <f t="shared" si="33"/>
        <v>216.52745632129933</v>
      </c>
      <c r="S51" s="96">
        <f t="shared" si="33"/>
        <v>201.51364338978883</v>
      </c>
      <c r="T51" s="96">
        <f t="shared" si="33"/>
        <v>201.93550675487649</v>
      </c>
      <c r="U51" s="96">
        <f t="shared" si="33"/>
        <v>202.63584722889709</v>
      </c>
      <c r="V51" s="96">
        <f t="shared" si="33"/>
        <v>195.13259776130371</v>
      </c>
      <c r="W51" s="96">
        <f t="shared" si="33"/>
        <v>193.54901029123306</v>
      </c>
      <c r="X51" s="96">
        <f t="shared" si="33"/>
        <v>188.95332108521984</v>
      </c>
      <c r="Y51" s="96">
        <f t="shared" si="33"/>
        <v>186.44125662430605</v>
      </c>
      <c r="Z51" s="96">
        <f t="shared" si="33"/>
        <v>183.34240659819199</v>
      </c>
      <c r="AA51" s="96">
        <f t="shared" si="33"/>
        <v>179.48371847205095</v>
      </c>
      <c r="AB51" s="96">
        <f t="shared" si="33"/>
        <v>176.35394261420038</v>
      </c>
      <c r="AC51" s="96">
        <f t="shared" si="33"/>
        <v>172.91492907879382</v>
      </c>
      <c r="AD51" s="96">
        <f t="shared" si="33"/>
        <v>169.70725067750863</v>
      </c>
      <c r="AE51" s="96">
        <f t="shared" si="33"/>
        <v>166.36044948814916</v>
      </c>
      <c r="AF51" s="96">
        <f t="shared" si="33"/>
        <v>162.96405806614058</v>
      </c>
      <c r="AG51" s="96">
        <f t="shared" si="33"/>
        <v>159.66012598495848</v>
      </c>
      <c r="AH51" s="96">
        <f t="shared" si="33"/>
        <v>156.32136265911012</v>
      </c>
      <c r="AI51" s="96">
        <f t="shared" si="33"/>
        <v>153.00264937517341</v>
      </c>
      <c r="AJ51" s="96">
        <f t="shared" si="33"/>
        <v>149.66172911470636</v>
      </c>
      <c r="AK51" s="96">
        <f>AK5</f>
        <v>146.32198504001781</v>
      </c>
    </row>
    <row r="52" spans="1:37" x14ac:dyDescent="0.2">
      <c r="F52" s="97"/>
      <c r="G52" s="97"/>
      <c r="H52" s="97"/>
      <c r="I52" s="97"/>
      <c r="J52" s="97"/>
    </row>
    <row r="53" spans="1:37" ht="12" thickBot="1" x14ac:dyDescent="0.25">
      <c r="A53" s="81" t="s">
        <v>103</v>
      </c>
    </row>
    <row r="54" spans="1:37" ht="12" thickBot="1" x14ac:dyDescent="0.25">
      <c r="A54" s="82"/>
      <c r="B54" s="92">
        <f t="shared" ref="B54:AJ54" si="34">B2</f>
        <v>2015</v>
      </c>
      <c r="C54" s="92">
        <f t="shared" si="34"/>
        <v>2016</v>
      </c>
      <c r="D54" s="92">
        <f t="shared" si="34"/>
        <v>2017</v>
      </c>
      <c r="E54" s="92">
        <f t="shared" si="34"/>
        <v>2018</v>
      </c>
      <c r="F54" s="92">
        <f t="shared" si="34"/>
        <v>2019</v>
      </c>
      <c r="G54" s="92">
        <f t="shared" si="34"/>
        <v>2020</v>
      </c>
      <c r="H54" s="92">
        <f t="shared" si="34"/>
        <v>2021</v>
      </c>
      <c r="I54" s="92">
        <f t="shared" si="34"/>
        <v>2022</v>
      </c>
      <c r="J54" s="92">
        <f t="shared" si="34"/>
        <v>2023</v>
      </c>
      <c r="K54" s="92">
        <f t="shared" si="34"/>
        <v>2024</v>
      </c>
      <c r="L54" s="92">
        <f t="shared" si="34"/>
        <v>2025</v>
      </c>
      <c r="M54" s="92">
        <f t="shared" si="34"/>
        <v>2026</v>
      </c>
      <c r="N54" s="92">
        <f t="shared" si="34"/>
        <v>2027</v>
      </c>
      <c r="O54" s="92">
        <f t="shared" si="34"/>
        <v>2028</v>
      </c>
      <c r="P54" s="92">
        <f t="shared" si="34"/>
        <v>2029</v>
      </c>
      <c r="Q54" s="92">
        <f t="shared" si="34"/>
        <v>2030</v>
      </c>
      <c r="R54" s="92">
        <f t="shared" si="34"/>
        <v>2031</v>
      </c>
      <c r="S54" s="92">
        <f t="shared" si="34"/>
        <v>2032</v>
      </c>
      <c r="T54" s="92">
        <f t="shared" si="34"/>
        <v>2033</v>
      </c>
      <c r="U54" s="92">
        <f t="shared" si="34"/>
        <v>2034</v>
      </c>
      <c r="V54" s="92">
        <f t="shared" si="34"/>
        <v>2035</v>
      </c>
      <c r="W54" s="92">
        <f t="shared" si="34"/>
        <v>2036</v>
      </c>
      <c r="X54" s="92">
        <f t="shared" si="34"/>
        <v>2037</v>
      </c>
      <c r="Y54" s="92">
        <f t="shared" si="34"/>
        <v>2038</v>
      </c>
      <c r="Z54" s="92">
        <f t="shared" si="34"/>
        <v>2039</v>
      </c>
      <c r="AA54" s="92">
        <f t="shared" si="34"/>
        <v>2040</v>
      </c>
      <c r="AB54" s="92">
        <f t="shared" si="34"/>
        <v>2041</v>
      </c>
      <c r="AC54" s="92">
        <f t="shared" si="34"/>
        <v>2042</v>
      </c>
      <c r="AD54" s="92">
        <f t="shared" si="34"/>
        <v>2043</v>
      </c>
      <c r="AE54" s="92">
        <f t="shared" si="34"/>
        <v>2044</v>
      </c>
      <c r="AF54" s="92">
        <f t="shared" si="34"/>
        <v>2045</v>
      </c>
      <c r="AG54" s="92">
        <f t="shared" si="34"/>
        <v>2046</v>
      </c>
      <c r="AH54" s="92">
        <f t="shared" si="34"/>
        <v>2047</v>
      </c>
      <c r="AI54" s="92">
        <f t="shared" si="34"/>
        <v>2048</v>
      </c>
      <c r="AJ54" s="92">
        <f t="shared" si="34"/>
        <v>2049</v>
      </c>
      <c r="AK54" s="92">
        <f>AK2</f>
        <v>2050</v>
      </c>
    </row>
    <row r="55" spans="1:37" x14ac:dyDescent="0.2">
      <c r="A55" s="53" t="s">
        <v>89</v>
      </c>
      <c r="B55" s="84"/>
      <c r="C55" s="84"/>
      <c r="D55" s="84"/>
      <c r="E55" s="84"/>
      <c r="F55" s="84">
        <f>monthly_data!$F$52*264.172/1000000</f>
        <v>5.6099565920000005</v>
      </c>
      <c r="G55" s="84">
        <f>monthly_data!$F64*264.172/1000000</f>
        <v>7.9346701920000005</v>
      </c>
      <c r="H55" s="84">
        <f>monthly_data!$F76*264.172/1000000</f>
        <v>8.6212532199999998</v>
      </c>
      <c r="I55" s="84">
        <f>monthly_data!$F88*264.172/1000000</f>
        <v>7.0660726560000002</v>
      </c>
      <c r="J55" s="84">
        <f>monthly_data!$F100*264.172/1000000</f>
        <v>10.183830600000002</v>
      </c>
      <c r="K55" s="84">
        <f>monthly_data!$F112*264.172/1000000</f>
        <v>10.839241332</v>
      </c>
      <c r="L55" s="85">
        <f t="shared" ref="L55:U65" si="35">L$67*(SUM(G55:K55)/SUM(G$67:K$67))</f>
        <v>8.5302174228867909</v>
      </c>
      <c r="M55" s="85">
        <f t="shared" si="35"/>
        <v>9.6068150766555345</v>
      </c>
      <c r="N55" s="85">
        <f t="shared" si="35"/>
        <v>9.9438041748523904</v>
      </c>
      <c r="O55" s="85">
        <f t="shared" si="35"/>
        <v>9.7989392032060074</v>
      </c>
      <c r="P55" s="85">
        <f t="shared" si="35"/>
        <v>10.535496861142731</v>
      </c>
      <c r="Q55" s="85">
        <f t="shared" si="35"/>
        <v>9.8499929078818891</v>
      </c>
      <c r="R55" s="85">
        <f t="shared" si="35"/>
        <v>9.869901114123552</v>
      </c>
      <c r="S55" s="85">
        <f t="shared" si="35"/>
        <v>9.9239535295474877</v>
      </c>
      <c r="T55" s="85">
        <f t="shared" si="35"/>
        <v>9.7986041101401362</v>
      </c>
      <c r="U55" s="85">
        <f t="shared" si="35"/>
        <v>9.9732800151021106</v>
      </c>
      <c r="V55" s="85">
        <v>0</v>
      </c>
      <c r="W55" s="85">
        <v>1</v>
      </c>
      <c r="X55" s="85">
        <v>2</v>
      </c>
      <c r="Y55" s="85">
        <v>3</v>
      </c>
      <c r="Z55" s="85">
        <v>4</v>
      </c>
      <c r="AA55" s="85">
        <v>5</v>
      </c>
      <c r="AB55" s="85">
        <v>6</v>
      </c>
      <c r="AC55" s="85">
        <v>7</v>
      </c>
      <c r="AD55" s="85">
        <v>8</v>
      </c>
      <c r="AE55" s="85">
        <v>9</v>
      </c>
      <c r="AF55" s="85">
        <v>10</v>
      </c>
      <c r="AG55" s="85">
        <v>11</v>
      </c>
      <c r="AH55" s="85">
        <v>12</v>
      </c>
      <c r="AI55" s="85">
        <v>13</v>
      </c>
      <c r="AJ55" s="85">
        <v>14</v>
      </c>
      <c r="AK55" s="85">
        <v>15</v>
      </c>
    </row>
    <row r="56" spans="1:37" x14ac:dyDescent="0.2">
      <c r="A56" s="53" t="s">
        <v>90</v>
      </c>
      <c r="B56" s="84"/>
      <c r="C56" s="84"/>
      <c r="D56" s="84"/>
      <c r="E56" s="84"/>
      <c r="F56" s="84">
        <f>monthly_data!F53*264.172/1000000</f>
        <v>4.8694824760000008</v>
      </c>
      <c r="G56" s="84">
        <f>monthly_data!$F65*264.172/1000000</f>
        <v>8.7713029160000016</v>
      </c>
      <c r="H56" s="84">
        <f>monthly_data!$F77*264.172/1000000</f>
        <v>8.5430583080000009</v>
      </c>
      <c r="I56" s="84">
        <f>monthly_data!$F89*264.172/1000000</f>
        <v>5.399939852000001</v>
      </c>
      <c r="J56" s="84">
        <f>monthly_data!$F101*264.172/1000000</f>
        <v>10.581937804000001</v>
      </c>
      <c r="K56" s="84">
        <f>monthly_data!$F113*264.172/1000000</f>
        <v>10.857469200000001</v>
      </c>
      <c r="L56" s="85">
        <f t="shared" si="35"/>
        <v>8.4363345565757299</v>
      </c>
      <c r="M56" s="85">
        <f t="shared" si="35"/>
        <v>9.3048807413271799</v>
      </c>
      <c r="N56" s="85">
        <f t="shared" si="35"/>
        <v>9.5898126990629518</v>
      </c>
      <c r="O56" s="85">
        <f t="shared" si="35"/>
        <v>9.7323928186470052</v>
      </c>
      <c r="P56" s="85">
        <f t="shared" si="35"/>
        <v>10.362901701620617</v>
      </c>
      <c r="Q56" s="85">
        <f t="shared" si="35"/>
        <v>9.6487929121556206</v>
      </c>
      <c r="R56" s="85">
        <f t="shared" si="35"/>
        <v>9.6523472816712648</v>
      </c>
      <c r="S56" s="85">
        <f t="shared" si="35"/>
        <v>9.7231076738854068</v>
      </c>
      <c r="T56" s="85">
        <f t="shared" si="35"/>
        <v>9.6302416791665451</v>
      </c>
      <c r="U56" s="85">
        <f t="shared" si="35"/>
        <v>9.7815973440312387</v>
      </c>
      <c r="V56" s="85">
        <v>0</v>
      </c>
      <c r="W56" s="85">
        <v>1</v>
      </c>
      <c r="X56" s="85">
        <v>2</v>
      </c>
      <c r="Y56" s="85">
        <v>3</v>
      </c>
      <c r="Z56" s="85">
        <v>4</v>
      </c>
      <c r="AA56" s="85">
        <v>5</v>
      </c>
      <c r="AB56" s="85">
        <v>6</v>
      </c>
      <c r="AC56" s="85">
        <v>7</v>
      </c>
      <c r="AD56" s="85">
        <v>8</v>
      </c>
      <c r="AE56" s="85">
        <v>9</v>
      </c>
      <c r="AF56" s="85">
        <v>10</v>
      </c>
      <c r="AG56" s="85">
        <v>11</v>
      </c>
      <c r="AH56" s="85">
        <v>12</v>
      </c>
      <c r="AI56" s="85">
        <v>13</v>
      </c>
      <c r="AJ56" s="85">
        <v>14</v>
      </c>
      <c r="AK56" s="85">
        <v>15</v>
      </c>
    </row>
    <row r="57" spans="1:37" x14ac:dyDescent="0.2">
      <c r="A57" s="53" t="s">
        <v>91</v>
      </c>
      <c r="B57" s="84"/>
      <c r="C57" s="84"/>
      <c r="D57" s="84"/>
      <c r="E57" s="84"/>
      <c r="F57" s="84">
        <f>monthly_data!F54*264.172/1000000</f>
        <v>8.5929868160000016</v>
      </c>
      <c r="G57" s="84">
        <f>monthly_data!$F66*264.172/1000000</f>
        <v>8.2123149640000008</v>
      </c>
      <c r="H57" s="84">
        <f>monthly_data!$F78*264.172/1000000</f>
        <v>9.9540009600000001</v>
      </c>
      <c r="I57" s="84">
        <f>monthly_data!$F90*264.172/1000000</f>
        <v>7.4866344800000002</v>
      </c>
      <c r="J57" s="84">
        <f>monthly_data!$F102*264.172/1000000</f>
        <v>12.201312164000001</v>
      </c>
      <c r="K57" s="84">
        <f>monthly_data!$F114*264.172/1000000</f>
        <v>11.263765736000002</v>
      </c>
      <c r="L57" s="85">
        <f t="shared" si="35"/>
        <v>9.3848543542732958</v>
      </c>
      <c r="M57" s="85">
        <f t="shared" si="35"/>
        <v>10.679169181790108</v>
      </c>
      <c r="N57" s="85">
        <f t="shared" si="35"/>
        <v>10.974095626047996</v>
      </c>
      <c r="O57" s="85">
        <f t="shared" si="35"/>
        <v>10.876395169944464</v>
      </c>
      <c r="P57" s="85">
        <f t="shared" si="35"/>
        <v>11.499813313712847</v>
      </c>
      <c r="Q57" s="85">
        <f t="shared" si="35"/>
        <v>10.867040888712678</v>
      </c>
      <c r="R57" s="85">
        <f t="shared" si="35"/>
        <v>10.894192040013404</v>
      </c>
      <c r="S57" s="85">
        <f t="shared" si="35"/>
        <v>10.938894832635498</v>
      </c>
      <c r="T57" s="85">
        <f t="shared" si="35"/>
        <v>10.798114213954204</v>
      </c>
      <c r="U57" s="85">
        <f t="shared" si="35"/>
        <v>10.975060439564178</v>
      </c>
      <c r="V57" s="85">
        <v>0</v>
      </c>
      <c r="W57" s="85">
        <v>1</v>
      </c>
      <c r="X57" s="85">
        <v>2</v>
      </c>
      <c r="Y57" s="85">
        <v>3</v>
      </c>
      <c r="Z57" s="85">
        <v>4</v>
      </c>
      <c r="AA57" s="85">
        <v>5</v>
      </c>
      <c r="AB57" s="85">
        <v>6</v>
      </c>
      <c r="AC57" s="85">
        <v>7</v>
      </c>
      <c r="AD57" s="85">
        <v>8</v>
      </c>
      <c r="AE57" s="85">
        <v>9</v>
      </c>
      <c r="AF57" s="85">
        <v>10</v>
      </c>
      <c r="AG57" s="85">
        <v>11</v>
      </c>
      <c r="AH57" s="85">
        <v>12</v>
      </c>
      <c r="AI57" s="85">
        <v>13</v>
      </c>
      <c r="AJ57" s="85">
        <v>14</v>
      </c>
      <c r="AK57" s="85">
        <v>15</v>
      </c>
    </row>
    <row r="58" spans="1:37" x14ac:dyDescent="0.2">
      <c r="A58" s="53" t="s">
        <v>92</v>
      </c>
      <c r="B58" s="84"/>
      <c r="C58" s="84"/>
      <c r="D58" s="84"/>
      <c r="E58" s="84"/>
      <c r="F58" s="84">
        <f>monthly_data!F55*264.172/1000000</f>
        <v>6.244233564</v>
      </c>
      <c r="G58" s="84">
        <f>monthly_data!$F67*264.172/1000000</f>
        <v>9.6546940840000008</v>
      </c>
      <c r="H58" s="84">
        <f>monthly_data!$F79*264.172/1000000</f>
        <v>9.5548370680000012</v>
      </c>
      <c r="I58" s="84">
        <f>monthly_data!$F91*264.172/1000000</f>
        <v>8.0701904280000019</v>
      </c>
      <c r="J58" s="84">
        <f>monthly_data!$F103*264.172/1000000</f>
        <v>10.321992556000001</v>
      </c>
      <c r="K58" s="84">
        <f>monthly_data!$F115*264.172/1000000</f>
        <v>11.442346008000001</v>
      </c>
      <c r="L58" s="85">
        <f t="shared" si="35"/>
        <v>9.3707214496673306</v>
      </c>
      <c r="M58" s="85">
        <f t="shared" si="35"/>
        <v>10.354172714855302</v>
      </c>
      <c r="N58" s="85">
        <f t="shared" si="35"/>
        <v>10.660825314492966</v>
      </c>
      <c r="O58" s="85">
        <f t="shared" si="35"/>
        <v>10.406814095052011</v>
      </c>
      <c r="P58" s="85">
        <f t="shared" si="35"/>
        <v>11.295802776797274</v>
      </c>
      <c r="Q58" s="85">
        <f t="shared" si="35"/>
        <v>10.597270543284798</v>
      </c>
      <c r="R58" s="85">
        <f t="shared" si="35"/>
        <v>10.580318428176462</v>
      </c>
      <c r="S58" s="85">
        <f t="shared" si="35"/>
        <v>10.627170653172966</v>
      </c>
      <c r="T58" s="85">
        <f t="shared" si="35"/>
        <v>10.49050830337924</v>
      </c>
      <c r="U58" s="85">
        <f t="shared" si="35"/>
        <v>10.694291587498844</v>
      </c>
      <c r="V58" s="85">
        <v>0</v>
      </c>
      <c r="W58" s="85">
        <v>1</v>
      </c>
      <c r="X58" s="85">
        <v>2</v>
      </c>
      <c r="Y58" s="85">
        <v>3</v>
      </c>
      <c r="Z58" s="85">
        <v>4</v>
      </c>
      <c r="AA58" s="85">
        <v>5</v>
      </c>
      <c r="AB58" s="85">
        <v>6</v>
      </c>
      <c r="AC58" s="85">
        <v>7</v>
      </c>
      <c r="AD58" s="85">
        <v>8</v>
      </c>
      <c r="AE58" s="85">
        <v>9</v>
      </c>
      <c r="AF58" s="85">
        <v>10</v>
      </c>
      <c r="AG58" s="85">
        <v>11</v>
      </c>
      <c r="AH58" s="85">
        <v>12</v>
      </c>
      <c r="AI58" s="85">
        <v>13</v>
      </c>
      <c r="AJ58" s="85">
        <v>14</v>
      </c>
      <c r="AK58" s="85">
        <v>15</v>
      </c>
    </row>
    <row r="59" spans="1:37" x14ac:dyDescent="0.2">
      <c r="A59" s="53" t="s">
        <v>93</v>
      </c>
      <c r="B59" s="84"/>
      <c r="C59" s="84"/>
      <c r="D59" s="84"/>
      <c r="E59" s="84"/>
      <c r="F59" s="84">
        <f>monthly_data!F56*264.172/1000000</f>
        <v>7.8015275040000009</v>
      </c>
      <c r="G59" s="84">
        <f>monthly_data!$F68*264.172/1000000</f>
        <v>10.921927168000002</v>
      </c>
      <c r="H59" s="84">
        <f>monthly_data!$F80*264.172/1000000</f>
        <v>8.701033164</v>
      </c>
      <c r="I59" s="84">
        <f>monthly_data!$F92*264.172/1000000</f>
        <v>7.0121815680000008</v>
      </c>
      <c r="J59" s="84">
        <f>monthly_data!$F104*264.172/1000000</f>
        <v>11.166022096000001</v>
      </c>
      <c r="K59" s="84">
        <f>monthly_data!$F116*264.172/1000000</f>
        <v>9.2761356080000006</v>
      </c>
      <c r="L59" s="85">
        <f t="shared" si="35"/>
        <v>8.9949376111265469</v>
      </c>
      <c r="M59" s="85">
        <f t="shared" si="35"/>
        <v>9.5876388299042361</v>
      </c>
      <c r="N59" s="85">
        <f t="shared" si="35"/>
        <v>9.903091787097674</v>
      </c>
      <c r="O59" s="85">
        <f t="shared" si="35"/>
        <v>9.7638009938690775</v>
      </c>
      <c r="P59" s="85">
        <f t="shared" si="35"/>
        <v>10.277421204048391</v>
      </c>
      <c r="Q59" s="85">
        <f t="shared" si="35"/>
        <v>9.872701308891136</v>
      </c>
      <c r="R59" s="85">
        <f t="shared" si="35"/>
        <v>9.8043345325790909</v>
      </c>
      <c r="S59" s="85">
        <f t="shared" si="35"/>
        <v>9.8491669144851084</v>
      </c>
      <c r="T59" s="85">
        <f t="shared" si="35"/>
        <v>9.7180522967689029</v>
      </c>
      <c r="U59" s="85">
        <f t="shared" si="35"/>
        <v>9.8822292375678149</v>
      </c>
      <c r="V59" s="85">
        <v>0</v>
      </c>
      <c r="W59" s="85">
        <v>1</v>
      </c>
      <c r="X59" s="85">
        <v>2</v>
      </c>
      <c r="Y59" s="85">
        <v>3</v>
      </c>
      <c r="Z59" s="85">
        <v>4</v>
      </c>
      <c r="AA59" s="85">
        <v>5</v>
      </c>
      <c r="AB59" s="85">
        <v>6</v>
      </c>
      <c r="AC59" s="85">
        <v>7</v>
      </c>
      <c r="AD59" s="85">
        <v>8</v>
      </c>
      <c r="AE59" s="85">
        <v>9</v>
      </c>
      <c r="AF59" s="85">
        <v>10</v>
      </c>
      <c r="AG59" s="85">
        <v>11</v>
      </c>
      <c r="AH59" s="85">
        <v>12</v>
      </c>
      <c r="AI59" s="85">
        <v>13</v>
      </c>
      <c r="AJ59" s="85">
        <v>14</v>
      </c>
      <c r="AK59" s="85">
        <v>15</v>
      </c>
    </row>
    <row r="60" spans="1:37" x14ac:dyDescent="0.2">
      <c r="A60" s="53" t="s">
        <v>94</v>
      </c>
      <c r="B60" s="84"/>
      <c r="C60" s="84"/>
      <c r="D60" s="84"/>
      <c r="E60" s="84"/>
      <c r="F60" s="84">
        <f>monthly_data!F57*264.172/1000000</f>
        <v>7.6837067920000006</v>
      </c>
      <c r="G60" s="84">
        <f>monthly_data!$F69*264.172/1000000</f>
        <v>9.6982824640000018</v>
      </c>
      <c r="H60" s="84">
        <f>monthly_data!$F81*264.172/1000000</f>
        <v>9.0787991240000014</v>
      </c>
      <c r="I60" s="84">
        <f>monthly_data!$F93*264.172/1000000</f>
        <v>7.5122591640000005</v>
      </c>
      <c r="J60" s="84">
        <f>monthly_data!$F105*264.172/1000000</f>
        <v>12.592022552000001</v>
      </c>
      <c r="K60" s="84">
        <f>monthly_data!$F117*264.172/1000000</f>
        <v>11.143303304000002</v>
      </c>
      <c r="L60" s="85">
        <f t="shared" si="35"/>
        <v>9.5580833850149958</v>
      </c>
      <c r="M60" s="85">
        <f t="shared" si="35"/>
        <v>10.592934077109829</v>
      </c>
      <c r="N60" s="85">
        <f t="shared" si="35"/>
        <v>11.056454808612521</v>
      </c>
      <c r="O60" s="85">
        <f t="shared" si="35"/>
        <v>10.96411983847265</v>
      </c>
      <c r="P60" s="85">
        <f t="shared" si="35"/>
        <v>11.529356408432164</v>
      </c>
      <c r="Q60" s="85">
        <f t="shared" si="35"/>
        <v>10.925353346652116</v>
      </c>
      <c r="R60" s="85">
        <f t="shared" si="35"/>
        <v>10.928266691858088</v>
      </c>
      <c r="S60" s="85">
        <f t="shared" si="35"/>
        <v>10.996855673785509</v>
      </c>
      <c r="T60" s="85">
        <f t="shared" si="35"/>
        <v>10.850582210996102</v>
      </c>
      <c r="U60" s="85">
        <f t="shared" si="35"/>
        <v>11.021428525196644</v>
      </c>
      <c r="V60" s="85">
        <v>0</v>
      </c>
      <c r="W60" s="85">
        <v>1</v>
      </c>
      <c r="X60" s="85">
        <v>2</v>
      </c>
      <c r="Y60" s="85">
        <v>3</v>
      </c>
      <c r="Z60" s="85">
        <v>4</v>
      </c>
      <c r="AA60" s="85">
        <v>5</v>
      </c>
      <c r="AB60" s="85">
        <v>6</v>
      </c>
      <c r="AC60" s="85">
        <v>7</v>
      </c>
      <c r="AD60" s="85">
        <v>8</v>
      </c>
      <c r="AE60" s="85">
        <v>9</v>
      </c>
      <c r="AF60" s="85">
        <v>10</v>
      </c>
      <c r="AG60" s="85">
        <v>11</v>
      </c>
      <c r="AH60" s="85">
        <v>12</v>
      </c>
      <c r="AI60" s="85">
        <v>13</v>
      </c>
      <c r="AJ60" s="85">
        <v>14</v>
      </c>
      <c r="AK60" s="85">
        <v>15</v>
      </c>
    </row>
    <row r="61" spans="1:37" x14ac:dyDescent="0.2">
      <c r="A61" s="53" t="s">
        <v>95</v>
      </c>
      <c r="B61" s="84"/>
      <c r="C61" s="84"/>
      <c r="D61" s="84"/>
      <c r="E61" s="84"/>
      <c r="F61" s="84">
        <f>monthly_data!F58*264.172/1000000</f>
        <v>8.4215391880000006</v>
      </c>
      <c r="G61" s="84">
        <f>monthly_data!$F70*264.172/1000000</f>
        <v>11.742709572000001</v>
      </c>
      <c r="H61" s="84">
        <f>monthly_data!$F82*264.172/1000000</f>
        <v>10.294518668000002</v>
      </c>
      <c r="I61" s="84">
        <f>monthly_data!$F94*264.172/1000000</f>
        <v>8.0868332640000009</v>
      </c>
      <c r="J61" s="84">
        <f>monthly_data!$F106*264.172/1000000</f>
        <v>13.266453668000002</v>
      </c>
      <c r="K61" s="84">
        <f>monthly_data!$F118*264.172/1000000</f>
        <v>12.702974792000001</v>
      </c>
      <c r="L61" s="85">
        <f t="shared" si="35"/>
        <v>10.717637733275222</v>
      </c>
      <c r="M61" s="85">
        <f t="shared" si="35"/>
        <v>11.693742598183826</v>
      </c>
      <c r="N61" s="85">
        <f t="shared" si="35"/>
        <v>12.146865914345005</v>
      </c>
      <c r="O61" s="85">
        <f t="shared" si="35"/>
        <v>12.078610876128192</v>
      </c>
      <c r="P61" s="85">
        <f t="shared" si="35"/>
        <v>12.832250087893225</v>
      </c>
      <c r="Q61" s="85">
        <f t="shared" si="35"/>
        <v>12.098873994075356</v>
      </c>
      <c r="R61" s="85">
        <f t="shared" si="35"/>
        <v>12.07572716354316</v>
      </c>
      <c r="S61" s="85">
        <f t="shared" si="35"/>
        <v>12.15378907461772</v>
      </c>
      <c r="T61" s="85">
        <f t="shared" si="35"/>
        <v>12.006398280605074</v>
      </c>
      <c r="U61" s="85">
        <f t="shared" si="35"/>
        <v>12.206103325368566</v>
      </c>
      <c r="V61" s="85">
        <v>0</v>
      </c>
      <c r="W61" s="85">
        <v>1</v>
      </c>
      <c r="X61" s="85">
        <v>2</v>
      </c>
      <c r="Y61" s="85">
        <v>3</v>
      </c>
      <c r="Z61" s="85">
        <v>4</v>
      </c>
      <c r="AA61" s="85">
        <v>5</v>
      </c>
      <c r="AB61" s="85">
        <v>6</v>
      </c>
      <c r="AC61" s="85">
        <v>7</v>
      </c>
      <c r="AD61" s="85">
        <v>8</v>
      </c>
      <c r="AE61" s="85">
        <v>9</v>
      </c>
      <c r="AF61" s="85">
        <v>10</v>
      </c>
      <c r="AG61" s="85">
        <v>11</v>
      </c>
      <c r="AH61" s="85">
        <v>12</v>
      </c>
      <c r="AI61" s="85">
        <v>13</v>
      </c>
      <c r="AJ61" s="85">
        <v>14</v>
      </c>
      <c r="AK61" s="85">
        <v>15</v>
      </c>
    </row>
    <row r="62" spans="1:37" x14ac:dyDescent="0.2">
      <c r="A62" s="53" t="s">
        <v>96</v>
      </c>
      <c r="B62" s="84"/>
      <c r="C62" s="84"/>
      <c r="D62" s="84"/>
      <c r="E62" s="84"/>
      <c r="F62" s="84">
        <f>monthly_data!F59*264.172/1000000</f>
        <v>5.2184536880000003</v>
      </c>
      <c r="G62" s="84">
        <f>monthly_data!$F71*264.172/1000000</f>
        <v>11.23259344</v>
      </c>
      <c r="H62" s="84">
        <f>monthly_data!$F83*264.172/1000000</f>
        <v>11.315807620000001</v>
      </c>
      <c r="I62" s="84">
        <f>monthly_data!$F95*264.172/1000000</f>
        <v>8.081285652</v>
      </c>
      <c r="J62" s="84">
        <f>monthly_data!$F107*264.172/1000000</f>
        <v>12.675765076000001</v>
      </c>
      <c r="K62" s="84">
        <f>monthly_data!$F119*264.172/1000000</f>
        <v>8.8341758519999996</v>
      </c>
      <c r="L62" s="85">
        <f t="shared" si="35"/>
        <v>9.9621835074270173</v>
      </c>
      <c r="M62" s="85">
        <f t="shared" si="35"/>
        <v>10.802045133898664</v>
      </c>
      <c r="N62" s="85">
        <f t="shared" si="35"/>
        <v>10.832061342821993</v>
      </c>
      <c r="O62" s="85">
        <f t="shared" si="35"/>
        <v>10.597623341775806</v>
      </c>
      <c r="P62" s="85">
        <f t="shared" si="35"/>
        <v>11.034834119317617</v>
      </c>
      <c r="Q62" s="85">
        <f t="shared" si="35"/>
        <v>10.829284958494039</v>
      </c>
      <c r="R62" s="85">
        <f t="shared" si="35"/>
        <v>10.735300323611435</v>
      </c>
      <c r="S62" s="85">
        <f t="shared" si="35"/>
        <v>10.724046529247756</v>
      </c>
      <c r="T62" s="85">
        <f t="shared" si="35"/>
        <v>10.571619686437623</v>
      </c>
      <c r="U62" s="85">
        <f t="shared" si="35"/>
        <v>10.754958860540803</v>
      </c>
      <c r="V62" s="85">
        <v>0</v>
      </c>
      <c r="W62" s="85">
        <v>1</v>
      </c>
      <c r="X62" s="85">
        <v>2</v>
      </c>
      <c r="Y62" s="85">
        <v>3</v>
      </c>
      <c r="Z62" s="85">
        <v>4</v>
      </c>
      <c r="AA62" s="85">
        <v>5</v>
      </c>
      <c r="AB62" s="85">
        <v>6</v>
      </c>
      <c r="AC62" s="85">
        <v>7</v>
      </c>
      <c r="AD62" s="85">
        <v>8</v>
      </c>
      <c r="AE62" s="85">
        <v>9</v>
      </c>
      <c r="AF62" s="85">
        <v>10</v>
      </c>
      <c r="AG62" s="85">
        <v>11</v>
      </c>
      <c r="AH62" s="85">
        <v>12</v>
      </c>
      <c r="AI62" s="85">
        <v>13</v>
      </c>
      <c r="AJ62" s="85">
        <v>14</v>
      </c>
      <c r="AK62" s="85">
        <v>15</v>
      </c>
    </row>
    <row r="63" spans="1:37" x14ac:dyDescent="0.2">
      <c r="A63" s="53" t="s">
        <v>97</v>
      </c>
      <c r="B63" s="84"/>
      <c r="C63" s="84"/>
      <c r="D63" s="84"/>
      <c r="E63" s="84"/>
      <c r="F63" s="84">
        <f>monthly_data!F60*264.172/1000000</f>
        <v>6.7580481040000002</v>
      </c>
      <c r="G63" s="84">
        <f>monthly_data!$F72*264.172/1000000</f>
        <v>9.8795044559999994</v>
      </c>
      <c r="H63" s="84">
        <f>monthly_data!$F84*264.172/1000000</f>
        <v>9.3572364120000007</v>
      </c>
      <c r="I63" s="84">
        <f>monthly_data!$F96*264.172/1000000</f>
        <v>7.9661066600000012</v>
      </c>
      <c r="J63" s="84">
        <f>monthly_data!$F108*264.172/1000000</f>
        <v>8.8386667760000002</v>
      </c>
      <c r="K63" s="84">
        <f>monthly_data!$F120*264.172/1000000</f>
        <v>10.526461684000001</v>
      </c>
      <c r="L63" s="85">
        <f t="shared" si="35"/>
        <v>8.8976224679826075</v>
      </c>
      <c r="M63" s="85">
        <f t="shared" si="35"/>
        <v>9.6801772674806532</v>
      </c>
      <c r="N63" s="85">
        <f t="shared" si="35"/>
        <v>9.8755830834695217</v>
      </c>
      <c r="O63" s="85">
        <f t="shared" si="35"/>
        <v>9.5424315112272318</v>
      </c>
      <c r="P63" s="85">
        <f t="shared" si="35"/>
        <v>10.492951539710949</v>
      </c>
      <c r="Q63" s="85">
        <f t="shared" si="35"/>
        <v>9.8649449422180453</v>
      </c>
      <c r="R63" s="85">
        <f t="shared" si="35"/>
        <v>9.8145416337347715</v>
      </c>
      <c r="S63" s="85">
        <f t="shared" si="35"/>
        <v>9.8430342547538832</v>
      </c>
      <c r="T63" s="85">
        <f t="shared" si="35"/>
        <v>9.7161856216709221</v>
      </c>
      <c r="U63" s="85">
        <f t="shared" si="35"/>
        <v>9.924131850745427</v>
      </c>
      <c r="V63" s="85">
        <v>0</v>
      </c>
      <c r="W63" s="85">
        <v>1</v>
      </c>
      <c r="X63" s="85">
        <v>2</v>
      </c>
      <c r="Y63" s="85">
        <v>3</v>
      </c>
      <c r="Z63" s="85">
        <v>4</v>
      </c>
      <c r="AA63" s="85">
        <v>5</v>
      </c>
      <c r="AB63" s="85">
        <v>6</v>
      </c>
      <c r="AC63" s="85">
        <v>7</v>
      </c>
      <c r="AD63" s="85">
        <v>8</v>
      </c>
      <c r="AE63" s="85">
        <v>9</v>
      </c>
      <c r="AF63" s="85">
        <v>10</v>
      </c>
      <c r="AG63" s="85">
        <v>11</v>
      </c>
      <c r="AH63" s="85">
        <v>12</v>
      </c>
      <c r="AI63" s="85">
        <v>13</v>
      </c>
      <c r="AJ63" s="85">
        <v>14</v>
      </c>
      <c r="AK63" s="85">
        <v>15</v>
      </c>
    </row>
    <row r="64" spans="1:37" x14ac:dyDescent="0.2">
      <c r="A64" s="53" t="s">
        <v>98</v>
      </c>
      <c r="B64" s="84"/>
      <c r="C64" s="84"/>
      <c r="D64" s="84"/>
      <c r="E64" s="84"/>
      <c r="F64" s="84">
        <f>monthly_data!F61*264.172/1000000</f>
        <v>9.9722288280000022</v>
      </c>
      <c r="G64" s="84">
        <f>monthly_data!$F73*264.172/1000000</f>
        <v>10.332031091999999</v>
      </c>
      <c r="H64" s="84">
        <f>monthly_data!$F85*264.172/1000000</f>
        <v>10.277083316000002</v>
      </c>
      <c r="I64" s="84">
        <f>monthly_data!$F97*264.172/1000000</f>
        <v>11.516578340000002</v>
      </c>
      <c r="J64" s="84">
        <f>monthly_data!$F109*264.172/1000000</f>
        <v>11.930535864000001</v>
      </c>
      <c r="K64" s="84">
        <f>monthly_data!$F121*264.172/1000000</f>
        <v>12.050469952000002</v>
      </c>
      <c r="L64" s="85">
        <f t="shared" si="35"/>
        <v>10.720161466240574</v>
      </c>
      <c r="M64" s="85">
        <f t="shared" si="35"/>
        <v>11.996640002066709</v>
      </c>
      <c r="N64" s="85">
        <f t="shared" si="35"/>
        <v>12.522611370418867</v>
      </c>
      <c r="O64" s="85">
        <f t="shared" si="35"/>
        <v>11.817741162675944</v>
      </c>
      <c r="P64" s="85">
        <f t="shared" si="35"/>
        <v>12.782035071675377</v>
      </c>
      <c r="Q64" s="85">
        <f t="shared" si="35"/>
        <v>12.17416642809795</v>
      </c>
      <c r="R64" s="85">
        <f t="shared" si="35"/>
        <v>12.163610687017449</v>
      </c>
      <c r="S64" s="85">
        <f t="shared" si="35"/>
        <v>12.199011575352323</v>
      </c>
      <c r="T64" s="85">
        <f t="shared" si="35"/>
        <v>11.986265894124854</v>
      </c>
      <c r="U64" s="85">
        <f t="shared" si="35"/>
        <v>12.233651911773352</v>
      </c>
      <c r="V64" s="85">
        <v>0</v>
      </c>
      <c r="W64" s="85">
        <v>1</v>
      </c>
      <c r="X64" s="85">
        <v>2</v>
      </c>
      <c r="Y64" s="85">
        <v>3</v>
      </c>
      <c r="Z64" s="85">
        <v>4</v>
      </c>
      <c r="AA64" s="85">
        <v>5</v>
      </c>
      <c r="AB64" s="85">
        <v>6</v>
      </c>
      <c r="AC64" s="85">
        <v>7</v>
      </c>
      <c r="AD64" s="85">
        <v>8</v>
      </c>
      <c r="AE64" s="85">
        <v>9</v>
      </c>
      <c r="AF64" s="85">
        <v>10</v>
      </c>
      <c r="AG64" s="85">
        <v>11</v>
      </c>
      <c r="AH64" s="85">
        <v>12</v>
      </c>
      <c r="AI64" s="85">
        <v>13</v>
      </c>
      <c r="AJ64" s="85">
        <v>14</v>
      </c>
      <c r="AK64" s="85">
        <v>15</v>
      </c>
    </row>
    <row r="65" spans="1:37" x14ac:dyDescent="0.2">
      <c r="A65" s="53" t="s">
        <v>99</v>
      </c>
      <c r="B65" s="84"/>
      <c r="C65" s="84"/>
      <c r="D65" s="84"/>
      <c r="E65" s="84"/>
      <c r="F65" s="84">
        <f>monthly_data!F62*264.172/1000000</f>
        <v>8.6645774280000012</v>
      </c>
      <c r="G65" s="84">
        <f>monthly_data!$F74*264.172/1000000</f>
        <v>11.077788648000002</v>
      </c>
      <c r="H65" s="84">
        <f>monthly_data!$F86*264.172/1000000</f>
        <v>10.198624232</v>
      </c>
      <c r="I65" s="84">
        <f>monthly_data!$F98*264.172/1000000</f>
        <v>12.146100216000002</v>
      </c>
      <c r="J65" s="84">
        <f>monthly_data!$F110*264.172/1000000</f>
        <v>10.990083544000001</v>
      </c>
      <c r="K65" s="84">
        <f>monthly_data!$F122*264.172/1000000</f>
        <v>12.165384772000001</v>
      </c>
      <c r="L65" s="85">
        <f t="shared" si="35"/>
        <v>10.810208258444304</v>
      </c>
      <c r="M65" s="85">
        <f t="shared" si="35"/>
        <v>11.95747685468276</v>
      </c>
      <c r="N65" s="85">
        <f t="shared" si="35"/>
        <v>12.49139174397769</v>
      </c>
      <c r="O65" s="85">
        <f t="shared" si="35"/>
        <v>11.656924936921246</v>
      </c>
      <c r="P65" s="85">
        <f t="shared" si="35"/>
        <v>12.776361231598592</v>
      </c>
      <c r="Q65" s="85">
        <f t="shared" si="35"/>
        <v>12.144294954814979</v>
      </c>
      <c r="R65" s="85">
        <f t="shared" si="35"/>
        <v>12.110675381121602</v>
      </c>
      <c r="S65" s="85">
        <f t="shared" si="35"/>
        <v>12.143332849173996</v>
      </c>
      <c r="T65" s="85">
        <f t="shared" si="35"/>
        <v>11.926473226807435</v>
      </c>
      <c r="U65" s="85">
        <f t="shared" si="35"/>
        <v>12.19295255149682</v>
      </c>
      <c r="V65" s="85">
        <v>0</v>
      </c>
      <c r="W65" s="85">
        <v>1</v>
      </c>
      <c r="X65" s="85">
        <v>2</v>
      </c>
      <c r="Y65" s="85">
        <v>3</v>
      </c>
      <c r="Z65" s="85">
        <v>4</v>
      </c>
      <c r="AA65" s="85">
        <v>5</v>
      </c>
      <c r="AB65" s="85">
        <v>6</v>
      </c>
      <c r="AC65" s="85">
        <v>7</v>
      </c>
      <c r="AD65" s="85">
        <v>8</v>
      </c>
      <c r="AE65" s="85">
        <v>9</v>
      </c>
      <c r="AF65" s="85">
        <v>10</v>
      </c>
      <c r="AG65" s="85">
        <v>11</v>
      </c>
      <c r="AH65" s="85">
        <v>12</v>
      </c>
      <c r="AI65" s="85">
        <v>13</v>
      </c>
      <c r="AJ65" s="85">
        <v>14</v>
      </c>
      <c r="AK65" s="85">
        <v>15</v>
      </c>
    </row>
    <row r="66" spans="1:37" x14ac:dyDescent="0.2">
      <c r="A66" s="53" t="s">
        <v>100</v>
      </c>
      <c r="B66" s="84"/>
      <c r="C66" s="84"/>
      <c r="D66" s="84"/>
      <c r="E66" s="84"/>
      <c r="F66" s="84">
        <f>monthly_data!F63*264.172/1000000</f>
        <v>9.9376222960000007</v>
      </c>
      <c r="G66" s="84">
        <f>monthly_data!$F75*264.172/1000000</f>
        <v>9.6549582560000005</v>
      </c>
      <c r="H66" s="84">
        <f>monthly_data!$F87*264.172/1000000</f>
        <v>10.469928876000001</v>
      </c>
      <c r="I66" s="84">
        <f>monthly_data!$F99*264.172/1000000</f>
        <v>9.7302472760000001</v>
      </c>
      <c r="J66" s="84">
        <f>monthly_data!$F111*264.172/1000000</f>
        <v>12.038053868</v>
      </c>
      <c r="K66" s="84">
        <f>monthly_data!$F123*264.172/1000000</f>
        <v>8.4400312280000005</v>
      </c>
      <c r="L66" s="85">
        <f>L67-SUM(L55:L65)</f>
        <v>9.617037787085593</v>
      </c>
      <c r="M66" s="98">
        <f t="shared" ref="M66:T66" si="36">M67-SUM(M55:M65)</f>
        <v>10.680173878919334</v>
      </c>
      <c r="N66" s="98">
        <f t="shared" si="36"/>
        <v>10.86434724435928</v>
      </c>
      <c r="O66" s="98">
        <f t="shared" si="36"/>
        <v>10.304958331314324</v>
      </c>
      <c r="P66" s="98">
        <f t="shared" si="36"/>
        <v>10.792300725006243</v>
      </c>
      <c r="Q66" s="98">
        <f t="shared" si="36"/>
        <v>10.631954695862277</v>
      </c>
      <c r="R66" s="98">
        <f t="shared" si="36"/>
        <v>10.572152113645132</v>
      </c>
      <c r="S66" s="98">
        <f t="shared" si="36"/>
        <v>10.552675096121064</v>
      </c>
      <c r="T66" s="98">
        <f t="shared" si="36"/>
        <v>10.362417144763427</v>
      </c>
      <c r="U66" s="98">
        <f>U67-SUM(U55:U65)</f>
        <v>10.558680755732581</v>
      </c>
      <c r="V66" s="98">
        <f>V67-SUM(V55:V65)</f>
        <v>130.41891628518789</v>
      </c>
      <c r="W66" s="98">
        <f t="shared" ref="W66:AK66" si="37">W67-SUM(W55:W65)</f>
        <v>121.6226748475319</v>
      </c>
      <c r="X66" s="98">
        <f t="shared" si="37"/>
        <v>111.2122563558973</v>
      </c>
      <c r="Y66" s="98">
        <f t="shared" si="37"/>
        <v>101.11364772126029</v>
      </c>
      <c r="Z66" s="98">
        <f t="shared" si="37"/>
        <v>90.964182901702003</v>
      </c>
      <c r="AA66" s="98">
        <f t="shared" si="37"/>
        <v>79.995247761945507</v>
      </c>
      <c r="AB66" s="98">
        <f t="shared" si="37"/>
        <v>69.830052212961874</v>
      </c>
      <c r="AC66" s="98">
        <f t="shared" si="37"/>
        <v>59.839219683911466</v>
      </c>
      <c r="AD66" s="98">
        <f t="shared" si="37"/>
        <v>50.17203825320658</v>
      </c>
      <c r="AE66" s="98">
        <f t="shared" si="37"/>
        <v>39.859742422785899</v>
      </c>
      <c r="AF66" s="98">
        <f t="shared" si="37"/>
        <v>29.567114758481438</v>
      </c>
      <c r="AG66" s="98">
        <f t="shared" si="37"/>
        <v>19.172664336327074</v>
      </c>
      <c r="AH66" s="98">
        <f t="shared" si="37"/>
        <v>9.0282657256872767</v>
      </c>
      <c r="AI66" s="98">
        <f t="shared" si="37"/>
        <v>-1.1246295981017909</v>
      </c>
      <c r="AJ66" s="98">
        <f t="shared" si="37"/>
        <v>-11.251298458533228</v>
      </c>
      <c r="AK66" s="98">
        <f t="shared" si="37"/>
        <v>-21.341791943415302</v>
      </c>
    </row>
    <row r="67" spans="1:37" x14ac:dyDescent="0.2">
      <c r="A67" s="86" t="s">
        <v>101</v>
      </c>
      <c r="B67" s="95"/>
      <c r="C67" s="95"/>
      <c r="D67" s="95"/>
      <c r="E67" s="95"/>
      <c r="F67" s="95">
        <f t="shared" ref="F67:K67" si="38">SUM(F55:F66)</f>
        <v>89.774363276000003</v>
      </c>
      <c r="G67" s="95">
        <f t="shared" si="38"/>
        <v>119.11277725199999</v>
      </c>
      <c r="H67" s="95">
        <f t="shared" si="38"/>
        <v>116.36618096800001</v>
      </c>
      <c r="I67" s="95">
        <f t="shared" si="38"/>
        <v>100.07442955600001</v>
      </c>
      <c r="J67" s="95">
        <f t="shared" si="38"/>
        <v>136.78667656799999</v>
      </c>
      <c r="K67" s="95">
        <f t="shared" si="38"/>
        <v>129.54175946800001</v>
      </c>
      <c r="L67" s="96">
        <f t="shared" ref="L67:T67" si="39">L8</f>
        <v>115</v>
      </c>
      <c r="M67" s="96">
        <f t="shared" si="39"/>
        <v>126.93586635687416</v>
      </c>
      <c r="N67" s="96">
        <f t="shared" si="39"/>
        <v>130.86094510955886</v>
      </c>
      <c r="O67" s="96">
        <f t="shared" si="39"/>
        <v>127.54075227923396</v>
      </c>
      <c r="P67" s="96">
        <f t="shared" si="39"/>
        <v>136.21152504095605</v>
      </c>
      <c r="Q67" s="96">
        <f t="shared" si="39"/>
        <v>129.50467188114089</v>
      </c>
      <c r="R67" s="96">
        <f t="shared" si="39"/>
        <v>129.20136739109543</v>
      </c>
      <c r="S67" s="96">
        <f t="shared" si="39"/>
        <v>129.67503865677872</v>
      </c>
      <c r="T67" s="96">
        <f t="shared" si="39"/>
        <v>127.85546266881447</v>
      </c>
      <c r="U67" s="96">
        <f>U8</f>
        <v>130.19836640461835</v>
      </c>
      <c r="V67" s="96">
        <f>V8</f>
        <v>130.41891628518789</v>
      </c>
      <c r="W67" s="96">
        <f t="shared" ref="W67:AK67" si="40">W8</f>
        <v>132.6226748475319</v>
      </c>
      <c r="X67" s="96">
        <f t="shared" si="40"/>
        <v>133.2122563558973</v>
      </c>
      <c r="Y67" s="96">
        <f t="shared" si="40"/>
        <v>134.11364772126029</v>
      </c>
      <c r="Z67" s="96">
        <f t="shared" si="40"/>
        <v>134.964182901702</v>
      </c>
      <c r="AA67" s="96">
        <f t="shared" si="40"/>
        <v>134.99524776194551</v>
      </c>
      <c r="AB67" s="96">
        <f t="shared" si="40"/>
        <v>135.83005221296187</v>
      </c>
      <c r="AC67" s="96">
        <f t="shared" si="40"/>
        <v>136.83921968391147</v>
      </c>
      <c r="AD67" s="96">
        <f t="shared" si="40"/>
        <v>138.17203825320658</v>
      </c>
      <c r="AE67" s="96">
        <f t="shared" si="40"/>
        <v>138.8597424227859</v>
      </c>
      <c r="AF67" s="96">
        <f t="shared" si="40"/>
        <v>139.56711475848144</v>
      </c>
      <c r="AG67" s="96">
        <f t="shared" si="40"/>
        <v>140.17266433632707</v>
      </c>
      <c r="AH67" s="96">
        <f t="shared" si="40"/>
        <v>141.02826572568728</v>
      </c>
      <c r="AI67" s="96">
        <f t="shared" si="40"/>
        <v>141.87537040189821</v>
      </c>
      <c r="AJ67" s="96">
        <f t="shared" si="40"/>
        <v>142.74870154146677</v>
      </c>
      <c r="AK67" s="96">
        <f t="shared" si="40"/>
        <v>143.6582080565847</v>
      </c>
    </row>
    <row r="68" spans="1:37" x14ac:dyDescent="0.2">
      <c r="A68" s="99"/>
      <c r="B68" s="99"/>
      <c r="C68" s="99"/>
      <c r="D68" s="99"/>
      <c r="E68" s="99"/>
      <c r="F68" s="99"/>
      <c r="G68" s="99"/>
      <c r="H68" s="99"/>
      <c r="I68" s="99"/>
      <c r="J68" s="100"/>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row>
    <row r="69" spans="1:37" ht="12" thickBot="1" x14ac:dyDescent="0.25">
      <c r="A69" s="81" t="s">
        <v>104</v>
      </c>
    </row>
    <row r="70" spans="1:37" ht="12" thickBot="1" x14ac:dyDescent="0.25">
      <c r="A70" s="82"/>
      <c r="B70" s="82">
        <f t="shared" ref="B70:AJ70" si="41">B2</f>
        <v>2015</v>
      </c>
      <c r="C70" s="82">
        <f t="shared" si="41"/>
        <v>2016</v>
      </c>
      <c r="D70" s="82">
        <f t="shared" si="41"/>
        <v>2017</v>
      </c>
      <c r="E70" s="82">
        <f t="shared" si="41"/>
        <v>2018</v>
      </c>
      <c r="F70" s="82">
        <f t="shared" si="41"/>
        <v>2019</v>
      </c>
      <c r="G70" s="82">
        <f t="shared" si="41"/>
        <v>2020</v>
      </c>
      <c r="H70" s="82">
        <f t="shared" si="41"/>
        <v>2021</v>
      </c>
      <c r="I70" s="82">
        <f t="shared" si="41"/>
        <v>2022</v>
      </c>
      <c r="J70" s="82">
        <f t="shared" si="41"/>
        <v>2023</v>
      </c>
      <c r="K70" s="82">
        <f t="shared" si="41"/>
        <v>2024</v>
      </c>
      <c r="L70" s="82">
        <f t="shared" si="41"/>
        <v>2025</v>
      </c>
      <c r="M70" s="82">
        <f t="shared" si="41"/>
        <v>2026</v>
      </c>
      <c r="N70" s="82">
        <f t="shared" si="41"/>
        <v>2027</v>
      </c>
      <c r="O70" s="82">
        <f t="shared" si="41"/>
        <v>2028</v>
      </c>
      <c r="P70" s="82">
        <f t="shared" si="41"/>
        <v>2029</v>
      </c>
      <c r="Q70" s="82">
        <f t="shared" si="41"/>
        <v>2030</v>
      </c>
      <c r="R70" s="82">
        <f t="shared" si="41"/>
        <v>2031</v>
      </c>
      <c r="S70" s="82">
        <f t="shared" si="41"/>
        <v>2032</v>
      </c>
      <c r="T70" s="82">
        <f t="shared" si="41"/>
        <v>2033</v>
      </c>
      <c r="U70" s="82">
        <f t="shared" si="41"/>
        <v>2034</v>
      </c>
      <c r="V70" s="82">
        <f t="shared" si="41"/>
        <v>2035</v>
      </c>
      <c r="W70" s="82">
        <f t="shared" si="41"/>
        <v>2036</v>
      </c>
      <c r="X70" s="82">
        <f t="shared" si="41"/>
        <v>2037</v>
      </c>
      <c r="Y70" s="82">
        <f t="shared" si="41"/>
        <v>2038</v>
      </c>
      <c r="Z70" s="82">
        <f t="shared" si="41"/>
        <v>2039</v>
      </c>
      <c r="AA70" s="82">
        <f t="shared" si="41"/>
        <v>2040</v>
      </c>
      <c r="AB70" s="82">
        <f t="shared" si="41"/>
        <v>2041</v>
      </c>
      <c r="AC70" s="82">
        <f t="shared" si="41"/>
        <v>2042</v>
      </c>
      <c r="AD70" s="82">
        <f t="shared" si="41"/>
        <v>2043</v>
      </c>
      <c r="AE70" s="82">
        <f t="shared" si="41"/>
        <v>2044</v>
      </c>
      <c r="AF70" s="82">
        <f t="shared" si="41"/>
        <v>2045</v>
      </c>
      <c r="AG70" s="82">
        <f t="shared" si="41"/>
        <v>2046</v>
      </c>
      <c r="AH70" s="82">
        <f t="shared" si="41"/>
        <v>2047</v>
      </c>
      <c r="AI70" s="82">
        <f t="shared" si="41"/>
        <v>2048</v>
      </c>
      <c r="AJ70" s="82">
        <f t="shared" si="41"/>
        <v>2049</v>
      </c>
      <c r="AK70" s="82">
        <f>AK2</f>
        <v>2050</v>
      </c>
    </row>
    <row r="71" spans="1:37" x14ac:dyDescent="0.2">
      <c r="A71" s="53" t="s">
        <v>89</v>
      </c>
      <c r="B71" s="101"/>
      <c r="C71" s="101"/>
      <c r="D71" s="101"/>
      <c r="E71" s="101"/>
      <c r="F71" s="101"/>
      <c r="G71" s="101"/>
      <c r="H71" s="101"/>
      <c r="I71" s="101"/>
      <c r="J71" s="101"/>
      <c r="K71" s="101">
        <f>K87+K23+K39-K55-K88</f>
        <v>6.031211958000001</v>
      </c>
      <c r="L71" s="102">
        <f>L$83*(SUM(G23:K23)/SUM(G$35:K$35))</f>
        <v>17.548906375130613</v>
      </c>
      <c r="M71" s="102">
        <f t="shared" ref="M71:V82" si="42">M$83*(SUM(H23:L23)/SUM(H$35:L$35))</f>
        <v>14.66423912643199</v>
      </c>
      <c r="N71" s="102">
        <f t="shared" si="42"/>
        <v>15.468407691957387</v>
      </c>
      <c r="O71" s="102">
        <f t="shared" si="42"/>
        <v>15.347700903408892</v>
      </c>
      <c r="P71" s="102">
        <f t="shared" si="42"/>
        <v>15.647514438219781</v>
      </c>
      <c r="Q71" s="102">
        <f t="shared" si="42"/>
        <v>16.081161346999458</v>
      </c>
      <c r="R71" s="102">
        <f t="shared" si="42"/>
        <v>16.858231818227473</v>
      </c>
      <c r="S71" s="102">
        <f t="shared" si="42"/>
        <v>15.944918905900133</v>
      </c>
      <c r="T71" s="102">
        <f t="shared" si="42"/>
        <v>16.485865210798259</v>
      </c>
      <c r="U71" s="102">
        <f t="shared" si="42"/>
        <v>16.897077903736744</v>
      </c>
      <c r="V71" s="102">
        <f t="shared" si="42"/>
        <v>16.444720881324077</v>
      </c>
      <c r="W71" s="102">
        <f t="shared" ref="W71:W82" si="43">W$83*(SUM(R23:V23)/SUM(R$35:V$35))</f>
        <v>16.380933107989517</v>
      </c>
      <c r="X71" s="102">
        <f t="shared" ref="X71:AK82" si="44">X$83*(SUM(S23:W23)/SUM(S$35:W$35))</f>
        <v>16.291515199336505</v>
      </c>
      <c r="Y71" s="102">
        <f t="shared" si="44"/>
        <v>16.34765508866526</v>
      </c>
      <c r="Z71" s="102">
        <f t="shared" si="44"/>
        <v>16.347296326826786</v>
      </c>
      <c r="AA71" s="102">
        <f t="shared" si="44"/>
        <v>16.299529905932769</v>
      </c>
      <c r="AB71" s="102">
        <f t="shared" si="44"/>
        <v>16.276041715049551</v>
      </c>
      <c r="AC71" s="102">
        <f t="shared" si="44"/>
        <v>16.230157201597599</v>
      </c>
      <c r="AD71" s="102">
        <f t="shared" si="44"/>
        <v>16.176802398110798</v>
      </c>
      <c r="AE71" s="102">
        <f t="shared" si="44"/>
        <v>16.151026516399654</v>
      </c>
      <c r="AF71" s="102">
        <f t="shared" si="44"/>
        <v>16.116612237334007</v>
      </c>
      <c r="AG71" s="102">
        <f t="shared" si="44"/>
        <v>16.100926487878475</v>
      </c>
      <c r="AH71" s="102">
        <f t="shared" si="44"/>
        <v>16.066771621045426</v>
      </c>
      <c r="AI71" s="102">
        <f t="shared" si="44"/>
        <v>16.033466117210242</v>
      </c>
      <c r="AJ71" s="102">
        <f t="shared" si="44"/>
        <v>15.995827482490759</v>
      </c>
      <c r="AK71" s="102">
        <f t="shared" si="44"/>
        <v>15.95587894069957</v>
      </c>
    </row>
    <row r="72" spans="1:37" x14ac:dyDescent="0.2">
      <c r="A72" s="53" t="s">
        <v>90</v>
      </c>
      <c r="B72" s="101"/>
      <c r="C72" s="101"/>
      <c r="D72" s="101"/>
      <c r="E72" s="101"/>
      <c r="F72" s="101"/>
      <c r="G72" s="101"/>
      <c r="H72" s="101"/>
      <c r="I72" s="101"/>
      <c r="J72" s="101"/>
      <c r="K72" s="101">
        <f>K88+K24+K40-K56-K89</f>
        <v>14.237203350000005</v>
      </c>
      <c r="L72" s="102">
        <f t="shared" ref="L72:L82" si="45">L$83*(SUM(G24:K24)/SUM(G$35:K$35))</f>
        <v>19.479234632903797</v>
      </c>
      <c r="M72" s="102">
        <f t="shared" si="42"/>
        <v>16.870830259175083</v>
      </c>
      <c r="N72" s="102">
        <f t="shared" si="42"/>
        <v>17.98850795129437</v>
      </c>
      <c r="O72" s="102">
        <f t="shared" si="42"/>
        <v>18.192852478646909</v>
      </c>
      <c r="P72" s="102">
        <f t="shared" si="42"/>
        <v>19.034537440290066</v>
      </c>
      <c r="Q72" s="102">
        <f t="shared" si="42"/>
        <v>18.739343478654646</v>
      </c>
      <c r="R72" s="102">
        <f t="shared" si="42"/>
        <v>19.844054091090381</v>
      </c>
      <c r="S72" s="102">
        <f t="shared" si="42"/>
        <v>18.848033812185488</v>
      </c>
      <c r="T72" s="102">
        <f t="shared" si="42"/>
        <v>19.549055145798782</v>
      </c>
      <c r="U72" s="102">
        <f t="shared" si="42"/>
        <v>20.038014919098426</v>
      </c>
      <c r="V72" s="102">
        <f t="shared" si="42"/>
        <v>19.394787268950719</v>
      </c>
      <c r="W72" s="102">
        <f t="shared" si="43"/>
        <v>19.363998522164074</v>
      </c>
      <c r="X72" s="102">
        <f t="shared" si="44"/>
        <v>19.273433864421609</v>
      </c>
      <c r="Y72" s="102">
        <f t="shared" si="44"/>
        <v>19.342744857325417</v>
      </c>
      <c r="Z72" s="102">
        <f t="shared" si="44"/>
        <v>19.334427745265785</v>
      </c>
      <c r="AA72" s="102">
        <f t="shared" si="44"/>
        <v>19.268088495017533</v>
      </c>
      <c r="AB72" s="102">
        <f t="shared" si="44"/>
        <v>19.248712593467829</v>
      </c>
      <c r="AC72" s="102">
        <f t="shared" si="44"/>
        <v>19.196079651307866</v>
      </c>
      <c r="AD72" s="102">
        <f t="shared" si="44"/>
        <v>19.132080331519571</v>
      </c>
      <c r="AE72" s="102">
        <f t="shared" si="44"/>
        <v>19.099989008388683</v>
      </c>
      <c r="AF72" s="102">
        <f t="shared" si="44"/>
        <v>19.058855025377905</v>
      </c>
      <c r="AG72" s="102">
        <f t="shared" si="44"/>
        <v>19.04162941205362</v>
      </c>
      <c r="AH72" s="102">
        <f t="shared" si="44"/>
        <v>19.001239320087315</v>
      </c>
      <c r="AI72" s="102">
        <f t="shared" si="44"/>
        <v>18.96154838277306</v>
      </c>
      <c r="AJ72" s="102">
        <f t="shared" si="44"/>
        <v>18.916844605536131</v>
      </c>
      <c r="AK72" s="102">
        <f t="shared" si="44"/>
        <v>18.869675346639266</v>
      </c>
    </row>
    <row r="73" spans="1:37" x14ac:dyDescent="0.2">
      <c r="A73" s="53" t="s">
        <v>91</v>
      </c>
      <c r="B73" s="101"/>
      <c r="C73" s="101"/>
      <c r="D73" s="101"/>
      <c r="E73" s="101"/>
      <c r="F73" s="101"/>
      <c r="G73" s="101"/>
      <c r="H73" s="101"/>
      <c r="I73" s="101"/>
      <c r="J73" s="101"/>
      <c r="K73" s="101">
        <f t="shared" ref="K73:K82" si="46">K89+K25+K41-K57-K90</f>
        <v>13.173405811999999</v>
      </c>
      <c r="L73" s="102">
        <f t="shared" si="45"/>
        <v>20.496584286011942</v>
      </c>
      <c r="M73" s="102">
        <f t="shared" si="42"/>
        <v>18.217910527274746</v>
      </c>
      <c r="N73" s="102">
        <f t="shared" si="42"/>
        <v>19.243032437558735</v>
      </c>
      <c r="O73" s="102">
        <f t="shared" si="42"/>
        <v>19.068216677530742</v>
      </c>
      <c r="P73" s="102">
        <f t="shared" si="42"/>
        <v>19.651930198748342</v>
      </c>
      <c r="Q73" s="102">
        <f t="shared" si="42"/>
        <v>19.778483004963096</v>
      </c>
      <c r="R73" s="102">
        <f t="shared" si="42"/>
        <v>20.957346066357871</v>
      </c>
      <c r="S73" s="102">
        <f t="shared" si="42"/>
        <v>19.824381305034148</v>
      </c>
      <c r="T73" s="102">
        <f t="shared" si="42"/>
        <v>20.494634710775415</v>
      </c>
      <c r="U73" s="102">
        <f t="shared" si="42"/>
        <v>21.008188942337657</v>
      </c>
      <c r="V73" s="102">
        <f t="shared" si="42"/>
        <v>20.401723226933491</v>
      </c>
      <c r="W73" s="102">
        <f t="shared" si="43"/>
        <v>20.356349714867125</v>
      </c>
      <c r="X73" s="102">
        <f t="shared" si="44"/>
        <v>20.243816983956474</v>
      </c>
      <c r="Y73" s="102">
        <f t="shared" si="44"/>
        <v>20.311457252827662</v>
      </c>
      <c r="Z73" s="102">
        <f t="shared" si="44"/>
        <v>20.308897933772943</v>
      </c>
      <c r="AA73" s="102">
        <f t="shared" si="44"/>
        <v>20.246552233385934</v>
      </c>
      <c r="AB73" s="102">
        <f t="shared" si="44"/>
        <v>20.22207751215668</v>
      </c>
      <c r="AC73" s="102">
        <f t="shared" si="44"/>
        <v>20.164332838179117</v>
      </c>
      <c r="AD73" s="102">
        <f t="shared" si="44"/>
        <v>20.097436660754187</v>
      </c>
      <c r="AE73" s="102">
        <f t="shared" si="44"/>
        <v>20.065084933867286</v>
      </c>
      <c r="AF73" s="102">
        <f t="shared" si="44"/>
        <v>20.022334596601425</v>
      </c>
      <c r="AG73" s="102">
        <f t="shared" si="44"/>
        <v>20.003413971753051</v>
      </c>
      <c r="AH73" s="102">
        <f t="shared" si="44"/>
        <v>19.960774201253741</v>
      </c>
      <c r="AI73" s="102">
        <f t="shared" si="44"/>
        <v>19.919289007917307</v>
      </c>
      <c r="AJ73" s="102">
        <f t="shared" si="44"/>
        <v>19.872514706383797</v>
      </c>
      <c r="AK73" s="102">
        <f t="shared" si="44"/>
        <v>19.822929895391738</v>
      </c>
    </row>
    <row r="74" spans="1:37" x14ac:dyDescent="0.2">
      <c r="A74" s="53" t="s">
        <v>92</v>
      </c>
      <c r="B74" s="101"/>
      <c r="C74" s="101"/>
      <c r="D74" s="101"/>
      <c r="E74" s="101"/>
      <c r="F74" s="101"/>
      <c r="G74" s="101"/>
      <c r="H74" s="101"/>
      <c r="I74" s="101"/>
      <c r="J74" s="101"/>
      <c r="K74" s="101">
        <f t="shared" si="46"/>
        <v>19.751598996000002</v>
      </c>
      <c r="L74" s="102">
        <f t="shared" si="45"/>
        <v>19.03675253845465</v>
      </c>
      <c r="M74" s="102">
        <f t="shared" si="42"/>
        <v>16.479099463888726</v>
      </c>
      <c r="N74" s="102">
        <f t="shared" si="42"/>
        <v>17.125884400433716</v>
      </c>
      <c r="O74" s="102">
        <f t="shared" si="42"/>
        <v>16.766706006373067</v>
      </c>
      <c r="P74" s="102">
        <f t="shared" si="42"/>
        <v>17.524443560129598</v>
      </c>
      <c r="Q74" s="102">
        <f t="shared" si="42"/>
        <v>17.777840972396561</v>
      </c>
      <c r="R74" s="102">
        <f t="shared" si="42"/>
        <v>18.711546886890293</v>
      </c>
      <c r="S74" s="102">
        <f t="shared" si="42"/>
        <v>17.656800701507411</v>
      </c>
      <c r="T74" s="102">
        <f t="shared" si="42"/>
        <v>18.256498917738451</v>
      </c>
      <c r="U74" s="102">
        <f t="shared" si="42"/>
        <v>18.758767898546509</v>
      </c>
      <c r="V74" s="102">
        <f t="shared" si="42"/>
        <v>18.222436459434462</v>
      </c>
      <c r="W74" s="102">
        <f t="shared" si="43"/>
        <v>18.159935910766137</v>
      </c>
      <c r="X74" s="102">
        <f t="shared" si="44"/>
        <v>18.056764546224628</v>
      </c>
      <c r="Y74" s="102">
        <f t="shared" si="44"/>
        <v>18.121967376656002</v>
      </c>
      <c r="Z74" s="102">
        <f t="shared" si="44"/>
        <v>18.125016025781793</v>
      </c>
      <c r="AA74" s="102">
        <f t="shared" si="44"/>
        <v>18.067592231516755</v>
      </c>
      <c r="AB74" s="102">
        <f t="shared" si="44"/>
        <v>18.042694432656354</v>
      </c>
      <c r="AC74" s="102">
        <f t="shared" si="44"/>
        <v>17.99164978255164</v>
      </c>
      <c r="AD74" s="102">
        <f t="shared" si="44"/>
        <v>17.933046959804436</v>
      </c>
      <c r="AE74" s="102">
        <f t="shared" si="44"/>
        <v>17.904562564419127</v>
      </c>
      <c r="AF74" s="102">
        <f t="shared" si="44"/>
        <v>17.865874489498804</v>
      </c>
      <c r="AG74" s="102">
        <f t="shared" si="44"/>
        <v>17.848683263011807</v>
      </c>
      <c r="AH74" s="102">
        <f t="shared" si="44"/>
        <v>17.810841984366526</v>
      </c>
      <c r="AI74" s="102">
        <f t="shared" si="44"/>
        <v>17.77397988324309</v>
      </c>
      <c r="AJ74" s="102">
        <f t="shared" si="44"/>
        <v>17.732223275890203</v>
      </c>
      <c r="AK74" s="102">
        <f t="shared" si="44"/>
        <v>17.687883172435296</v>
      </c>
    </row>
    <row r="75" spans="1:37" x14ac:dyDescent="0.2">
      <c r="A75" s="53" t="s">
        <v>93</v>
      </c>
      <c r="B75" s="101"/>
      <c r="C75" s="101"/>
      <c r="D75" s="101"/>
      <c r="E75" s="101"/>
      <c r="F75" s="101"/>
      <c r="G75" s="101"/>
      <c r="H75" s="101"/>
      <c r="I75" s="101"/>
      <c r="J75" s="101"/>
      <c r="K75" s="101">
        <f t="shared" si="46"/>
        <v>36.034454433999997</v>
      </c>
      <c r="L75" s="102">
        <f t="shared" si="45"/>
        <v>20.533473497613187</v>
      </c>
      <c r="M75" s="102">
        <f t="shared" si="42"/>
        <v>17.565928477758934</v>
      </c>
      <c r="N75" s="102">
        <f t="shared" si="42"/>
        <v>19.015511841953334</v>
      </c>
      <c r="O75" s="102">
        <f t="shared" si="42"/>
        <v>18.870712195617322</v>
      </c>
      <c r="P75" s="102">
        <f t="shared" si="42"/>
        <v>19.438266578030721</v>
      </c>
      <c r="Q75" s="102">
        <f t="shared" si="42"/>
        <v>19.51927821505727</v>
      </c>
      <c r="R75" s="102">
        <f t="shared" si="42"/>
        <v>20.619985886062022</v>
      </c>
      <c r="S75" s="102">
        <f t="shared" si="42"/>
        <v>19.577851206674172</v>
      </c>
      <c r="T75" s="102">
        <f t="shared" si="42"/>
        <v>20.237320768227754</v>
      </c>
      <c r="U75" s="102">
        <f t="shared" si="42"/>
        <v>20.735861994970008</v>
      </c>
      <c r="V75" s="102">
        <f t="shared" si="42"/>
        <v>20.128087146178842</v>
      </c>
      <c r="W75" s="102">
        <f t="shared" si="43"/>
        <v>20.082131635555516</v>
      </c>
      <c r="X75" s="102">
        <f t="shared" si="44"/>
        <v>19.981015023385822</v>
      </c>
      <c r="Y75" s="102">
        <f t="shared" si="44"/>
        <v>20.045736814403128</v>
      </c>
      <c r="Z75" s="102">
        <f t="shared" si="44"/>
        <v>20.041217844176476</v>
      </c>
      <c r="AA75" s="102">
        <f t="shared" si="44"/>
        <v>19.978850492015027</v>
      </c>
      <c r="AB75" s="102">
        <f t="shared" si="44"/>
        <v>19.955424328971933</v>
      </c>
      <c r="AC75" s="102">
        <f t="shared" si="44"/>
        <v>19.899520199174571</v>
      </c>
      <c r="AD75" s="102">
        <f t="shared" si="44"/>
        <v>19.832931447629193</v>
      </c>
      <c r="AE75" s="102">
        <f t="shared" si="44"/>
        <v>19.80070630815424</v>
      </c>
      <c r="AF75" s="102">
        <f t="shared" si="44"/>
        <v>19.758535885531064</v>
      </c>
      <c r="AG75" s="102">
        <f t="shared" si="44"/>
        <v>19.740042019438725</v>
      </c>
      <c r="AH75" s="102">
        <f t="shared" si="44"/>
        <v>19.698038885396635</v>
      </c>
      <c r="AI75" s="102">
        <f t="shared" si="44"/>
        <v>19.656986906086082</v>
      </c>
      <c r="AJ75" s="102">
        <f t="shared" si="44"/>
        <v>19.610801717281657</v>
      </c>
      <c r="AK75" s="102">
        <f t="shared" si="44"/>
        <v>19.561894256681459</v>
      </c>
    </row>
    <row r="76" spans="1:37" x14ac:dyDescent="0.2">
      <c r="A76" s="53" t="s">
        <v>94</v>
      </c>
      <c r="B76" s="101"/>
      <c r="C76" s="101"/>
      <c r="D76" s="101"/>
      <c r="E76" s="101"/>
      <c r="F76" s="101"/>
      <c r="G76" s="101"/>
      <c r="H76" s="101"/>
      <c r="I76" s="101"/>
      <c r="J76" s="101"/>
      <c r="K76" s="101">
        <f t="shared" si="46"/>
        <v>24.974101138000002</v>
      </c>
      <c r="L76" s="102">
        <f t="shared" si="45"/>
        <v>22.145906282966152</v>
      </c>
      <c r="M76" s="102">
        <f t="shared" si="42"/>
        <v>19.469969369341989</v>
      </c>
      <c r="N76" s="102">
        <f t="shared" si="42"/>
        <v>20.313061942701843</v>
      </c>
      <c r="O76" s="102">
        <f t="shared" si="42"/>
        <v>20.235343596151527</v>
      </c>
      <c r="P76" s="102">
        <f t="shared" si="42"/>
        <v>20.686934519322051</v>
      </c>
      <c r="Q76" s="102">
        <f t="shared" si="42"/>
        <v>21.034092530650625</v>
      </c>
      <c r="R76" s="102">
        <f t="shared" si="42"/>
        <v>22.216340290871369</v>
      </c>
      <c r="S76" s="102">
        <f t="shared" si="42"/>
        <v>20.983414150312402</v>
      </c>
      <c r="T76" s="102">
        <f t="shared" si="42"/>
        <v>21.704290132199226</v>
      </c>
      <c r="U76" s="102">
        <f t="shared" si="42"/>
        <v>22.239639204831839</v>
      </c>
      <c r="V76" s="102">
        <f t="shared" si="42"/>
        <v>21.623729273228399</v>
      </c>
      <c r="W76" s="102">
        <f t="shared" si="43"/>
        <v>21.561730007569313</v>
      </c>
      <c r="X76" s="102">
        <f t="shared" si="44"/>
        <v>21.439291641281198</v>
      </c>
      <c r="Y76" s="102">
        <f t="shared" si="44"/>
        <v>21.513126090042938</v>
      </c>
      <c r="Z76" s="102">
        <f t="shared" si="44"/>
        <v>21.510941289230622</v>
      </c>
      <c r="AA76" s="102">
        <f t="shared" si="44"/>
        <v>21.447116840578438</v>
      </c>
      <c r="AB76" s="102">
        <f t="shared" si="44"/>
        <v>21.418905397503941</v>
      </c>
      <c r="AC76" s="102">
        <f t="shared" si="44"/>
        <v>21.357630364123306</v>
      </c>
      <c r="AD76" s="102">
        <f t="shared" si="44"/>
        <v>21.287247766421714</v>
      </c>
      <c r="AE76" s="102">
        <f t="shared" si="44"/>
        <v>21.253132585334608</v>
      </c>
      <c r="AF76" s="102">
        <f t="shared" si="44"/>
        <v>21.207933348545215</v>
      </c>
      <c r="AG76" s="102">
        <f t="shared" si="44"/>
        <v>21.187576453625358</v>
      </c>
      <c r="AH76" s="102">
        <f t="shared" si="44"/>
        <v>21.142464681019973</v>
      </c>
      <c r="AI76" s="102">
        <f t="shared" si="44"/>
        <v>21.098606710032215</v>
      </c>
      <c r="AJ76" s="102">
        <f t="shared" si="44"/>
        <v>21.04907325068088</v>
      </c>
      <c r="AK76" s="102">
        <f t="shared" si="44"/>
        <v>20.996536238520886</v>
      </c>
    </row>
    <row r="77" spans="1:37" x14ac:dyDescent="0.2">
      <c r="A77" s="53" t="s">
        <v>95</v>
      </c>
      <c r="B77" s="101"/>
      <c r="C77" s="101"/>
      <c r="D77" s="101"/>
      <c r="E77" s="101"/>
      <c r="F77" s="101"/>
      <c r="G77" s="101"/>
      <c r="H77" s="101"/>
      <c r="I77" s="101"/>
      <c r="J77" s="101"/>
      <c r="K77" s="101">
        <f t="shared" si="46"/>
        <v>16.757783932000009</v>
      </c>
      <c r="L77" s="102">
        <f t="shared" si="45"/>
        <v>20.882087225117878</v>
      </c>
      <c r="M77" s="102">
        <f t="shared" si="42"/>
        <v>17.398315002483152</v>
      </c>
      <c r="N77" s="102">
        <f t="shared" si="42"/>
        <v>18.036612501224337</v>
      </c>
      <c r="O77" s="102">
        <f t="shared" si="42"/>
        <v>17.816176557882073</v>
      </c>
      <c r="P77" s="102">
        <f t="shared" si="42"/>
        <v>17.886701116813654</v>
      </c>
      <c r="Q77" s="102">
        <f t="shared" si="42"/>
        <v>18.797617759352047</v>
      </c>
      <c r="R77" s="102">
        <f t="shared" si="42"/>
        <v>19.630256770476109</v>
      </c>
      <c r="S77" s="102">
        <f t="shared" si="42"/>
        <v>18.5014405682778</v>
      </c>
      <c r="T77" s="102">
        <f t="shared" si="42"/>
        <v>19.110808722483508</v>
      </c>
      <c r="U77" s="102">
        <f t="shared" si="42"/>
        <v>19.582435903387484</v>
      </c>
      <c r="V77" s="102">
        <f t="shared" si="42"/>
        <v>19.113456066856401</v>
      </c>
      <c r="W77" s="102">
        <f t="shared" si="43"/>
        <v>19.018391563575733</v>
      </c>
      <c r="X77" s="102">
        <f t="shared" si="44"/>
        <v>18.904195988129949</v>
      </c>
      <c r="Y77" s="102">
        <f t="shared" si="44"/>
        <v>18.969447478269302</v>
      </c>
      <c r="Z77" s="102">
        <f t="shared" si="44"/>
        <v>18.972539384130126</v>
      </c>
      <c r="AA77" s="102">
        <f t="shared" si="44"/>
        <v>18.922301750242518</v>
      </c>
      <c r="AB77" s="102">
        <f t="shared" si="44"/>
        <v>18.890814187274422</v>
      </c>
      <c r="AC77" s="102">
        <f t="shared" si="44"/>
        <v>18.836471570973245</v>
      </c>
      <c r="AD77" s="102">
        <f t="shared" si="44"/>
        <v>18.775200718053533</v>
      </c>
      <c r="AE77" s="102">
        <f t="shared" si="44"/>
        <v>18.746041047194844</v>
      </c>
      <c r="AF77" s="102">
        <f t="shared" si="44"/>
        <v>18.706341625791975</v>
      </c>
      <c r="AG77" s="102">
        <f t="shared" si="44"/>
        <v>18.687452726280775</v>
      </c>
      <c r="AH77" s="102">
        <f t="shared" si="44"/>
        <v>18.647789572231677</v>
      </c>
      <c r="AI77" s="102">
        <f t="shared" si="44"/>
        <v>18.609311890795745</v>
      </c>
      <c r="AJ77" s="102">
        <f t="shared" si="44"/>
        <v>18.565715688828913</v>
      </c>
      <c r="AK77" s="102">
        <f t="shared" si="44"/>
        <v>18.519312939469174</v>
      </c>
    </row>
    <row r="78" spans="1:37" x14ac:dyDescent="0.2">
      <c r="A78" s="53" t="s">
        <v>96</v>
      </c>
      <c r="B78" s="101"/>
      <c r="C78" s="101"/>
      <c r="D78" s="101"/>
      <c r="E78" s="101"/>
      <c r="F78" s="101"/>
      <c r="G78" s="101"/>
      <c r="H78" s="101"/>
      <c r="I78" s="101"/>
      <c r="J78" s="101"/>
      <c r="K78" s="101">
        <f t="shared" si="46"/>
        <v>34.094616332000001</v>
      </c>
      <c r="L78" s="102">
        <f t="shared" si="45"/>
        <v>21.537866490755299</v>
      </c>
      <c r="M78" s="102">
        <f t="shared" si="42"/>
        <v>18.849208041527607</v>
      </c>
      <c r="N78" s="102">
        <f t="shared" si="42"/>
        <v>19.867138355236946</v>
      </c>
      <c r="O78" s="102">
        <f t="shared" si="42"/>
        <v>19.725297914380857</v>
      </c>
      <c r="P78" s="102">
        <f t="shared" si="42"/>
        <v>20.538981197607235</v>
      </c>
      <c r="Q78" s="102">
        <f t="shared" si="42"/>
        <v>20.564450751155196</v>
      </c>
      <c r="R78" s="102">
        <f t="shared" si="42"/>
        <v>21.743613110968113</v>
      </c>
      <c r="S78" s="102">
        <f t="shared" si="42"/>
        <v>20.578704328946337</v>
      </c>
      <c r="T78" s="102">
        <f t="shared" si="42"/>
        <v>21.296931648117276</v>
      </c>
      <c r="U78" s="102">
        <f t="shared" si="42"/>
        <v>21.848859955573538</v>
      </c>
      <c r="V78" s="102">
        <f t="shared" si="42"/>
        <v>21.195657316868363</v>
      </c>
      <c r="W78" s="102">
        <f t="shared" si="43"/>
        <v>21.145324681363064</v>
      </c>
      <c r="X78" s="102">
        <f t="shared" si="44"/>
        <v>21.033106819319016</v>
      </c>
      <c r="Y78" s="102">
        <f t="shared" si="44"/>
        <v>21.10689213337163</v>
      </c>
      <c r="Z78" s="102">
        <f t="shared" si="44"/>
        <v>21.104290061531628</v>
      </c>
      <c r="AA78" s="102">
        <f t="shared" si="44"/>
        <v>21.036200826854948</v>
      </c>
      <c r="AB78" s="102">
        <f t="shared" si="44"/>
        <v>21.011101370326227</v>
      </c>
      <c r="AC78" s="102">
        <f t="shared" si="44"/>
        <v>20.952088411453381</v>
      </c>
      <c r="AD78" s="102">
        <f t="shared" si="44"/>
        <v>20.882872531683962</v>
      </c>
      <c r="AE78" s="102">
        <f t="shared" si="44"/>
        <v>20.848951042987995</v>
      </c>
      <c r="AF78" s="102">
        <f t="shared" si="44"/>
        <v>20.804156474828286</v>
      </c>
      <c r="AG78" s="102">
        <f t="shared" si="44"/>
        <v>20.784670689656952</v>
      </c>
      <c r="AH78" s="102">
        <f t="shared" si="44"/>
        <v>20.740510145622935</v>
      </c>
      <c r="AI78" s="102">
        <f t="shared" si="44"/>
        <v>20.697391666332315</v>
      </c>
      <c r="AJ78" s="102">
        <f t="shared" si="44"/>
        <v>20.648719920353642</v>
      </c>
      <c r="AK78" s="102">
        <f t="shared" si="44"/>
        <v>20.597172206832592</v>
      </c>
    </row>
    <row r="79" spans="1:37" x14ac:dyDescent="0.2">
      <c r="A79" s="53" t="s">
        <v>97</v>
      </c>
      <c r="B79" s="101"/>
      <c r="C79" s="101"/>
      <c r="D79" s="101"/>
      <c r="E79" s="101"/>
      <c r="F79" s="101"/>
      <c r="G79" s="101"/>
      <c r="H79" s="101"/>
      <c r="I79" s="101"/>
      <c r="J79" s="101"/>
      <c r="K79" s="101">
        <f t="shared" si="46"/>
        <v>18.562560823999998</v>
      </c>
      <c r="L79" s="102">
        <f t="shared" si="45"/>
        <v>20.694842405992347</v>
      </c>
      <c r="M79" s="102">
        <f t="shared" si="42"/>
        <v>18.142003676478041</v>
      </c>
      <c r="N79" s="102">
        <f t="shared" si="42"/>
        <v>18.976347159452803</v>
      </c>
      <c r="O79" s="102">
        <f t="shared" si="42"/>
        <v>18.101280299070464</v>
      </c>
      <c r="P79" s="102">
        <f t="shared" si="42"/>
        <v>18.840017613254755</v>
      </c>
      <c r="Q79" s="102">
        <f t="shared" si="42"/>
        <v>19.373822051910967</v>
      </c>
      <c r="R79" s="102">
        <f t="shared" si="42"/>
        <v>20.401799213659178</v>
      </c>
      <c r="S79" s="102">
        <f t="shared" si="42"/>
        <v>19.216500768186485</v>
      </c>
      <c r="T79" s="102">
        <f t="shared" si="42"/>
        <v>19.798981618534725</v>
      </c>
      <c r="U79" s="102">
        <f t="shared" si="42"/>
        <v>20.360456836016926</v>
      </c>
      <c r="V79" s="102">
        <f t="shared" si="42"/>
        <v>19.818674061106488</v>
      </c>
      <c r="W79" s="102">
        <f t="shared" si="43"/>
        <v>19.743112893590517</v>
      </c>
      <c r="X79" s="102">
        <f t="shared" si="44"/>
        <v>19.620338272423901</v>
      </c>
      <c r="Y79" s="102">
        <f t="shared" si="44"/>
        <v>19.685390224186428</v>
      </c>
      <c r="Z79" s="102">
        <f t="shared" si="44"/>
        <v>19.694706719985664</v>
      </c>
      <c r="AA79" s="102">
        <f t="shared" si="44"/>
        <v>19.636533516786681</v>
      </c>
      <c r="AB79" s="102">
        <f t="shared" si="44"/>
        <v>19.606887641186212</v>
      </c>
      <c r="AC79" s="102">
        <f t="shared" si="44"/>
        <v>19.549775203304712</v>
      </c>
      <c r="AD79" s="102">
        <f t="shared" si="44"/>
        <v>19.486132893446051</v>
      </c>
      <c r="AE79" s="102">
        <f t="shared" si="44"/>
        <v>19.456307110745833</v>
      </c>
      <c r="AF79" s="102">
        <f t="shared" si="44"/>
        <v>19.414482910482509</v>
      </c>
      <c r="AG79" s="102">
        <f t="shared" si="44"/>
        <v>19.395268885852325</v>
      </c>
      <c r="AH79" s="102">
        <f t="shared" si="44"/>
        <v>19.353999693454643</v>
      </c>
      <c r="AI79" s="102">
        <f t="shared" si="44"/>
        <v>19.314074582227626</v>
      </c>
      <c r="AJ79" s="102">
        <f t="shared" si="44"/>
        <v>19.268848550027617</v>
      </c>
      <c r="AK79" s="102">
        <f t="shared" si="44"/>
        <v>19.220631336689767</v>
      </c>
    </row>
    <row r="80" spans="1:37" x14ac:dyDescent="0.2">
      <c r="A80" s="53" t="s">
        <v>98</v>
      </c>
      <c r="B80" s="101"/>
      <c r="C80" s="101"/>
      <c r="D80" s="101"/>
      <c r="E80" s="101"/>
      <c r="F80" s="101"/>
      <c r="G80" s="101"/>
      <c r="H80" s="101"/>
      <c r="I80" s="101"/>
      <c r="J80" s="101"/>
      <c r="K80" s="101">
        <f t="shared" si="46"/>
        <v>5.6877421459999979</v>
      </c>
      <c r="L80" s="102">
        <f t="shared" si="45"/>
        <v>21.44727539740672</v>
      </c>
      <c r="M80" s="102">
        <f t="shared" si="42"/>
        <v>18.79618877394833</v>
      </c>
      <c r="N80" s="102">
        <f t="shared" si="42"/>
        <v>19.954228224570091</v>
      </c>
      <c r="O80" s="102">
        <f t="shared" si="42"/>
        <v>18.772173467735257</v>
      </c>
      <c r="P80" s="102">
        <f t="shared" si="42"/>
        <v>19.4578310251365</v>
      </c>
      <c r="Q80" s="102">
        <f t="shared" si="42"/>
        <v>20.123318831428026</v>
      </c>
      <c r="R80" s="102">
        <f t="shared" si="42"/>
        <v>21.200951195473696</v>
      </c>
      <c r="S80" s="102">
        <f t="shared" si="42"/>
        <v>19.980647147868559</v>
      </c>
      <c r="T80" s="102">
        <f t="shared" si="42"/>
        <v>20.539875156211703</v>
      </c>
      <c r="U80" s="102">
        <f t="shared" si="42"/>
        <v>21.123684020402759</v>
      </c>
      <c r="V80" s="102">
        <f t="shared" si="42"/>
        <v>20.581329624176515</v>
      </c>
      <c r="W80" s="102">
        <f t="shared" si="43"/>
        <v>20.502084326283473</v>
      </c>
      <c r="X80" s="102">
        <f t="shared" si="44"/>
        <v>20.371917509806547</v>
      </c>
      <c r="Y80" s="102">
        <f t="shared" si="44"/>
        <v>20.434177674348739</v>
      </c>
      <c r="Z80" s="102">
        <f t="shared" si="44"/>
        <v>20.446102157571755</v>
      </c>
      <c r="AA80" s="102">
        <f t="shared" si="44"/>
        <v>20.38821345508358</v>
      </c>
      <c r="AB80" s="102">
        <f t="shared" si="44"/>
        <v>20.356685259176437</v>
      </c>
      <c r="AC80" s="102">
        <f t="shared" si="44"/>
        <v>20.296650453971505</v>
      </c>
      <c r="AD80" s="102">
        <f t="shared" si="44"/>
        <v>20.230201292778901</v>
      </c>
      <c r="AE80" s="102">
        <f t="shared" si="44"/>
        <v>20.19977644292964</v>
      </c>
      <c r="AF80" s="102">
        <f t="shared" si="44"/>
        <v>20.156575345889838</v>
      </c>
      <c r="AG80" s="102">
        <f t="shared" si="44"/>
        <v>20.136421173320667</v>
      </c>
      <c r="AH80" s="102">
        <f t="shared" si="44"/>
        <v>20.093470463369503</v>
      </c>
      <c r="AI80" s="102">
        <f t="shared" si="44"/>
        <v>20.052034084819962</v>
      </c>
      <c r="AJ80" s="102">
        <f t="shared" si="44"/>
        <v>20.005167426444601</v>
      </c>
      <c r="AK80" s="102">
        <f t="shared" si="44"/>
        <v>19.955110112742254</v>
      </c>
    </row>
    <row r="81" spans="1:37" x14ac:dyDescent="0.2">
      <c r="A81" s="53" t="s">
        <v>99</v>
      </c>
      <c r="B81" s="101"/>
      <c r="C81" s="101"/>
      <c r="D81" s="101"/>
      <c r="E81" s="101"/>
      <c r="F81" s="101"/>
      <c r="G81" s="101"/>
      <c r="H81" s="101"/>
      <c r="I81" s="101"/>
      <c r="J81" s="101"/>
      <c r="K81" s="101">
        <f t="shared" si="46"/>
        <v>1.2579046459999983</v>
      </c>
      <c r="L81" s="102">
        <f t="shared" si="45"/>
        <v>24.645326725672803</v>
      </c>
      <c r="M81" s="102">
        <f t="shared" si="42"/>
        <v>21.48743207396015</v>
      </c>
      <c r="N81" s="102">
        <f t="shared" si="42"/>
        <v>22.893289020690972</v>
      </c>
      <c r="O81" s="102">
        <f t="shared" si="42"/>
        <v>21.862498688582349</v>
      </c>
      <c r="P81" s="102">
        <f t="shared" si="42"/>
        <v>22.741969673461242</v>
      </c>
      <c r="Q81" s="102">
        <f t="shared" si="42"/>
        <v>23.236993522502168</v>
      </c>
      <c r="R81" s="102">
        <f t="shared" si="42"/>
        <v>24.506096263390326</v>
      </c>
      <c r="S81" s="102">
        <f t="shared" si="42"/>
        <v>23.143918529108689</v>
      </c>
      <c r="T81" s="102">
        <f t="shared" si="42"/>
        <v>23.837420042845125</v>
      </c>
      <c r="U81" s="102">
        <f t="shared" si="42"/>
        <v>24.499302640401687</v>
      </c>
      <c r="V81" s="102">
        <f t="shared" si="42"/>
        <v>23.831274673260207</v>
      </c>
      <c r="W81" s="102">
        <f t="shared" si="43"/>
        <v>23.752054062407073</v>
      </c>
      <c r="X81" s="102">
        <f t="shared" si="44"/>
        <v>23.611254648376224</v>
      </c>
      <c r="Y81" s="102">
        <f t="shared" si="44"/>
        <v>23.686024896771322</v>
      </c>
      <c r="Z81" s="102">
        <f t="shared" si="44"/>
        <v>23.694519162675476</v>
      </c>
      <c r="AA81" s="102">
        <f t="shared" si="44"/>
        <v>23.623825505574896</v>
      </c>
      <c r="AB81" s="102">
        <f t="shared" si="44"/>
        <v>23.590339960197532</v>
      </c>
      <c r="AC81" s="102">
        <f t="shared" si="44"/>
        <v>23.522031604220921</v>
      </c>
      <c r="AD81" s="102">
        <f t="shared" si="44"/>
        <v>23.4446498416455</v>
      </c>
      <c r="AE81" s="102">
        <f t="shared" si="44"/>
        <v>23.408458793424469</v>
      </c>
      <c r="AF81" s="102">
        <f t="shared" si="44"/>
        <v>23.358281932033492</v>
      </c>
      <c r="AG81" s="102">
        <f t="shared" si="44"/>
        <v>23.335466642665704</v>
      </c>
      <c r="AH81" s="102">
        <f t="shared" si="44"/>
        <v>23.285764195823674</v>
      </c>
      <c r="AI81" s="102">
        <f t="shared" si="44"/>
        <v>23.237593330520596</v>
      </c>
      <c r="AJ81" s="102">
        <f t="shared" si="44"/>
        <v>23.183171350500874</v>
      </c>
      <c r="AK81" s="102">
        <f t="shared" si="44"/>
        <v>23.125206493844285</v>
      </c>
    </row>
    <row r="82" spans="1:37" x14ac:dyDescent="0.2">
      <c r="A82" s="53" t="s">
        <v>100</v>
      </c>
      <c r="B82" s="101"/>
      <c r="C82" s="101"/>
      <c r="D82" s="101"/>
      <c r="E82" s="101"/>
      <c r="F82" s="101"/>
      <c r="G82" s="101"/>
      <c r="H82" s="101"/>
      <c r="I82" s="101"/>
      <c r="J82" s="101"/>
      <c r="K82" s="101">
        <f t="shared" si="46"/>
        <v>24.271776769999995</v>
      </c>
      <c r="L82" s="102">
        <f t="shared" si="45"/>
        <v>22.819578064538725</v>
      </c>
      <c r="M82" s="102">
        <f t="shared" si="42"/>
        <v>20.231350932733093</v>
      </c>
      <c r="N82" s="102">
        <f t="shared" si="42"/>
        <v>21.104091251345903</v>
      </c>
      <c r="O82" s="102">
        <f t="shared" si="42"/>
        <v>20.35933310371454</v>
      </c>
      <c r="P82" s="102">
        <f t="shared" si="42"/>
        <v>21.456254258759508</v>
      </c>
      <c r="Q82" s="102">
        <f t="shared" si="42"/>
        <v>21.677235278084478</v>
      </c>
      <c r="R82" s="102">
        <f t="shared" si="42"/>
        <v>22.896343100079378</v>
      </c>
      <c r="S82" s="102">
        <f t="shared" si="42"/>
        <v>21.592200004414391</v>
      </c>
      <c r="T82" s="102">
        <f t="shared" si="42"/>
        <v>22.292063782093138</v>
      </c>
      <c r="U82" s="102">
        <f t="shared" si="42"/>
        <v>22.928584771977892</v>
      </c>
      <c r="V82" s="102">
        <f t="shared" si="42"/>
        <v>22.264916059428</v>
      </c>
      <c r="W82" s="102">
        <f t="shared" si="43"/>
        <v>22.197266812998087</v>
      </c>
      <c r="X82" s="102">
        <f t="shared" si="44"/>
        <v>22.06669243450639</v>
      </c>
      <c r="Y82" s="102">
        <f t="shared" si="44"/>
        <v>22.143681519311652</v>
      </c>
      <c r="Z82" s="102">
        <f t="shared" si="44"/>
        <v>22.150359695349117</v>
      </c>
      <c r="AA82" s="102">
        <f t="shared" si="44"/>
        <v>22.079495403485662</v>
      </c>
      <c r="AB82" s="102">
        <f t="shared" si="44"/>
        <v>22.049779822588476</v>
      </c>
      <c r="AC82" s="102">
        <f t="shared" si="44"/>
        <v>21.986615138119273</v>
      </c>
      <c r="AD82" s="102">
        <f t="shared" si="44"/>
        <v>21.914905570998769</v>
      </c>
      <c r="AE82" s="102">
        <f t="shared" si="44"/>
        <v>21.880487397143611</v>
      </c>
      <c r="AF82" s="102">
        <f t="shared" si="44"/>
        <v>21.833121328535132</v>
      </c>
      <c r="AG82" s="102">
        <f t="shared" si="44"/>
        <v>21.81213820516864</v>
      </c>
      <c r="AH82" s="102">
        <f t="shared" si="44"/>
        <v>21.765791344377046</v>
      </c>
      <c r="AI82" s="102">
        <f t="shared" si="44"/>
        <v>21.72076881604951</v>
      </c>
      <c r="AJ82" s="102">
        <f t="shared" si="44"/>
        <v>21.669787286790708</v>
      </c>
      <c r="AK82" s="102">
        <f t="shared" si="44"/>
        <v>21.615583931925677</v>
      </c>
    </row>
    <row r="83" spans="1:37" x14ac:dyDescent="0.2">
      <c r="A83" s="86" t="s">
        <v>101</v>
      </c>
      <c r="B83" s="87"/>
      <c r="C83" s="87"/>
      <c r="D83" s="87"/>
      <c r="E83" s="87"/>
      <c r="F83" s="87"/>
      <c r="G83" s="87"/>
      <c r="H83" s="87"/>
      <c r="I83" s="87"/>
      <c r="J83" s="87"/>
      <c r="K83" s="88">
        <f>SUM(K71:K82)</f>
        <v>214.83436033799998</v>
      </c>
      <c r="L83" s="88">
        <f t="shared" ref="L83:T83" si="47">L7</f>
        <v>251.26783392256414</v>
      </c>
      <c r="M83" s="88">
        <f t="shared" si="47"/>
        <v>218.17247572500185</v>
      </c>
      <c r="N83" s="88">
        <f t="shared" si="47"/>
        <v>229.98611277842039</v>
      </c>
      <c r="O83" s="88">
        <f t="shared" si="47"/>
        <v>225.118291889094</v>
      </c>
      <c r="P83" s="88">
        <f t="shared" si="47"/>
        <v>232.90538161977346</v>
      </c>
      <c r="Q83" s="88">
        <f t="shared" si="47"/>
        <v>236.70363774315456</v>
      </c>
      <c r="R83" s="88">
        <f t="shared" si="47"/>
        <v>249.58656469354619</v>
      </c>
      <c r="S83" s="88">
        <f t="shared" si="47"/>
        <v>235.84881142841601</v>
      </c>
      <c r="T83" s="88">
        <f t="shared" si="47"/>
        <v>243.60374585582338</v>
      </c>
      <c r="U83" s="88">
        <f>U7</f>
        <v>250.02087499128146</v>
      </c>
      <c r="V83" s="88">
        <f>V7</f>
        <v>243.02079205774601</v>
      </c>
      <c r="W83" s="88">
        <f t="shared" ref="W83:AK83" si="48">W7</f>
        <v>242.26331323912964</v>
      </c>
      <c r="X83" s="88">
        <f t="shared" si="48"/>
        <v>240.89334293116826</v>
      </c>
      <c r="Y83" s="88">
        <f t="shared" si="48"/>
        <v>241.70830140617949</v>
      </c>
      <c r="Z83" s="88">
        <f t="shared" si="48"/>
        <v>241.73031434629817</v>
      </c>
      <c r="AA83" s="88">
        <f t="shared" si="48"/>
        <v>240.99430065647471</v>
      </c>
      <c r="AB83" s="88">
        <f t="shared" si="48"/>
        <v>240.66946422055557</v>
      </c>
      <c r="AC83" s="88">
        <f t="shared" si="48"/>
        <v>239.98300241897712</v>
      </c>
      <c r="AD83" s="88">
        <f t="shared" si="48"/>
        <v>239.19350841284663</v>
      </c>
      <c r="AE83" s="88">
        <f t="shared" si="48"/>
        <v>238.81452375098999</v>
      </c>
      <c r="AF83" s="88">
        <f t="shared" si="48"/>
        <v>238.30310520044966</v>
      </c>
      <c r="AG83" s="88">
        <f t="shared" si="48"/>
        <v>238.07368993070614</v>
      </c>
      <c r="AH83" s="88">
        <f t="shared" si="48"/>
        <v>237.5674561080491</v>
      </c>
      <c r="AI83" s="88">
        <f t="shared" si="48"/>
        <v>237.07505137800777</v>
      </c>
      <c r="AJ83" s="88">
        <f t="shared" si="48"/>
        <v>236.51869526120979</v>
      </c>
      <c r="AK83" s="88">
        <f t="shared" si="48"/>
        <v>235.92781487187196</v>
      </c>
    </row>
    <row r="84" spans="1:37" x14ac:dyDescent="0.2">
      <c r="J84" s="97">
        <f>J7</f>
        <v>233.9316926579456</v>
      </c>
    </row>
    <row r="85" spans="1:37" ht="12" thickBot="1" x14ac:dyDescent="0.25">
      <c r="A85" s="81" t="s">
        <v>105</v>
      </c>
      <c r="B85" s="80"/>
      <c r="C85" s="80"/>
      <c r="D85" s="80"/>
      <c r="E85" s="80"/>
      <c r="F85" s="80"/>
      <c r="G85" s="80"/>
      <c r="H85" s="80"/>
      <c r="I85" s="80"/>
      <c r="J85" s="103"/>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row>
    <row r="86" spans="1:37" ht="12" thickBot="1" x14ac:dyDescent="0.25">
      <c r="A86" s="82"/>
      <c r="B86" s="92">
        <f t="shared" ref="B86:T86" si="49">B2</f>
        <v>2015</v>
      </c>
      <c r="C86" s="92">
        <f t="shared" si="49"/>
        <v>2016</v>
      </c>
      <c r="D86" s="92">
        <f t="shared" si="49"/>
        <v>2017</v>
      </c>
      <c r="E86" s="92">
        <f t="shared" si="49"/>
        <v>2018</v>
      </c>
      <c r="F86" s="92">
        <f t="shared" si="49"/>
        <v>2019</v>
      </c>
      <c r="G86" s="92">
        <f t="shared" si="49"/>
        <v>2020</v>
      </c>
      <c r="H86" s="92">
        <f t="shared" si="49"/>
        <v>2021</v>
      </c>
      <c r="I86" s="92">
        <f t="shared" si="49"/>
        <v>2022</v>
      </c>
      <c r="J86" s="92">
        <f t="shared" si="49"/>
        <v>2023</v>
      </c>
      <c r="K86" s="92">
        <f t="shared" si="49"/>
        <v>2024</v>
      </c>
      <c r="L86" s="92">
        <f t="shared" si="49"/>
        <v>2025</v>
      </c>
      <c r="M86" s="92">
        <f t="shared" si="49"/>
        <v>2026</v>
      </c>
      <c r="N86" s="92">
        <f t="shared" si="49"/>
        <v>2027</v>
      </c>
      <c r="O86" s="92">
        <f t="shared" si="49"/>
        <v>2028</v>
      </c>
      <c r="P86" s="92">
        <f t="shared" si="49"/>
        <v>2029</v>
      </c>
      <c r="Q86" s="92">
        <f t="shared" si="49"/>
        <v>2030</v>
      </c>
      <c r="R86" s="92">
        <f t="shared" si="49"/>
        <v>2031</v>
      </c>
      <c r="S86" s="92">
        <f t="shared" si="49"/>
        <v>2032</v>
      </c>
      <c r="T86" s="92">
        <f t="shared" si="49"/>
        <v>2033</v>
      </c>
      <c r="U86" s="92">
        <f>U2</f>
        <v>2034</v>
      </c>
      <c r="V86" s="92">
        <f>V2</f>
        <v>2035</v>
      </c>
      <c r="W86" s="92">
        <f t="shared" ref="W86:AK86" si="50">W2</f>
        <v>2036</v>
      </c>
      <c r="X86" s="92">
        <f t="shared" si="50"/>
        <v>2037</v>
      </c>
      <c r="Y86" s="92">
        <f t="shared" si="50"/>
        <v>2038</v>
      </c>
      <c r="Z86" s="92">
        <f t="shared" si="50"/>
        <v>2039</v>
      </c>
      <c r="AA86" s="92">
        <f t="shared" si="50"/>
        <v>2040</v>
      </c>
      <c r="AB86" s="92">
        <f t="shared" si="50"/>
        <v>2041</v>
      </c>
      <c r="AC86" s="92">
        <f t="shared" si="50"/>
        <v>2042</v>
      </c>
      <c r="AD86" s="92">
        <f t="shared" si="50"/>
        <v>2043</v>
      </c>
      <c r="AE86" s="92">
        <f t="shared" si="50"/>
        <v>2044</v>
      </c>
      <c r="AF86" s="92">
        <f t="shared" si="50"/>
        <v>2045</v>
      </c>
      <c r="AG86" s="92">
        <f t="shared" si="50"/>
        <v>2046</v>
      </c>
      <c r="AH86" s="92">
        <f t="shared" si="50"/>
        <v>2047</v>
      </c>
      <c r="AI86" s="92">
        <f t="shared" si="50"/>
        <v>2048</v>
      </c>
      <c r="AJ86" s="92">
        <f t="shared" si="50"/>
        <v>2049</v>
      </c>
      <c r="AK86" s="92">
        <f t="shared" si="50"/>
        <v>2050</v>
      </c>
    </row>
    <row r="87" spans="1:37" x14ac:dyDescent="0.2">
      <c r="A87" s="53" t="s">
        <v>89</v>
      </c>
      <c r="B87" s="84"/>
      <c r="C87" s="84"/>
      <c r="D87" s="84"/>
      <c r="E87" s="84"/>
      <c r="F87" s="84"/>
      <c r="G87" s="84">
        <f>monthly_data!$H64*264.172/1000000</f>
        <v>2.9922762440000006</v>
      </c>
      <c r="H87" s="84">
        <f>monthly_data!$H76*264.172/1000000</f>
        <v>2.0071788560000003</v>
      </c>
      <c r="I87" s="84">
        <f>monthly_data!$H88*264.172/1000000</f>
        <v>0.88339116800000006</v>
      </c>
      <c r="J87" s="84">
        <f>monthly_data!$H100*264.172/1000000</f>
        <v>1.3007829280000001</v>
      </c>
      <c r="K87" s="84">
        <f>monthly_data!$H112*264.172/1000000</f>
        <v>3.1254189320000005</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row>
    <row r="88" spans="1:37" x14ac:dyDescent="0.2">
      <c r="A88" s="53" t="s">
        <v>90</v>
      </c>
      <c r="B88" s="84"/>
      <c r="C88" s="84"/>
      <c r="D88" s="84"/>
      <c r="E88" s="84"/>
      <c r="F88" s="84"/>
      <c r="G88" s="84">
        <f>monthly_data!$H65*264.172/1000000</f>
        <v>3.2342577960000001</v>
      </c>
      <c r="H88" s="84">
        <f>monthly_data!$H77*264.172/1000000</f>
        <v>1.6854173600000002</v>
      </c>
      <c r="I88" s="84">
        <f>monthly_data!$H89*264.172/1000000</f>
        <v>1.4748722760000001</v>
      </c>
      <c r="J88" s="84">
        <f>monthly_data!$H101*264.172/1000000</f>
        <v>1.1216743120000001</v>
      </c>
      <c r="K88" s="84">
        <f>monthly_data!$H113*264.172/1000000</f>
        <v>7.1957811080000011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row>
    <row r="89" spans="1:37" x14ac:dyDescent="0.2">
      <c r="A89" s="53" t="s">
        <v>91</v>
      </c>
      <c r="B89" s="84"/>
      <c r="C89" s="84"/>
      <c r="D89" s="84"/>
      <c r="E89" s="84"/>
      <c r="F89" s="84"/>
      <c r="G89" s="84">
        <f>monthly_data!$H66*264.172/1000000</f>
        <v>2.8881924760000004</v>
      </c>
      <c r="H89" s="84">
        <f>monthly_data!$H78*264.172/1000000</f>
        <v>1.3702601640000001</v>
      </c>
      <c r="I89" s="84">
        <f>monthly_data!$H90*264.172/1000000</f>
        <v>1.183226388</v>
      </c>
      <c r="J89" s="84">
        <f>monthly_data!$H102*264.172/1000000</f>
        <v>1.6262428320000002</v>
      </c>
      <c r="K89" s="84">
        <f>monthly_data!$H114*264.172/1000000</f>
        <v>7.9684842080000005</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row>
    <row r="90" spans="1:37" x14ac:dyDescent="0.2">
      <c r="A90" s="53" t="s">
        <v>92</v>
      </c>
      <c r="B90" s="84"/>
      <c r="C90" s="84"/>
      <c r="D90" s="84"/>
      <c r="E90" s="84"/>
      <c r="F90" s="84"/>
      <c r="G90" s="84">
        <f>monthly_data!$H67*264.172/1000000</f>
        <v>2.8118467680000001</v>
      </c>
      <c r="H90" s="84">
        <f>monthly_data!$H79*264.172/1000000</f>
        <v>1.6312621</v>
      </c>
      <c r="I90" s="84">
        <f>monthly_data!$H91*264.172/1000000</f>
        <v>1.0450644320000002</v>
      </c>
      <c r="J90" s="84">
        <f>monthly_data!$H103*264.172/1000000</f>
        <v>1.3647125520000001</v>
      </c>
      <c r="K90" s="84">
        <f>monthly_data!$H115*264.172/1000000</f>
        <v>17.311455332000001</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row>
    <row r="91" spans="1:37" x14ac:dyDescent="0.2">
      <c r="A91" s="53" t="s">
        <v>93</v>
      </c>
      <c r="B91" s="84"/>
      <c r="C91" s="84"/>
      <c r="D91" s="84"/>
      <c r="E91" s="84"/>
      <c r="F91" s="84"/>
      <c r="G91" s="84">
        <f>monthly_data!$H68*264.172/1000000</f>
        <v>2.8004873720000005</v>
      </c>
      <c r="H91" s="84">
        <f>monthly_data!$H80*264.172/1000000</f>
        <v>1.170810304</v>
      </c>
      <c r="I91" s="84">
        <f>monthly_data!$H92*264.172/1000000</f>
        <v>1.20462432</v>
      </c>
      <c r="J91" s="84">
        <f>monthly_data!$H104*264.172/1000000</f>
        <v>1.474343932</v>
      </c>
      <c r="K91" s="84">
        <f>monthly_data!$H116*264.172/1000000</f>
        <v>16.449726268000003</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row>
    <row r="92" spans="1:37" x14ac:dyDescent="0.2">
      <c r="A92" s="53" t="s">
        <v>94</v>
      </c>
      <c r="B92" s="84"/>
      <c r="C92" s="84"/>
      <c r="D92" s="84"/>
      <c r="E92" s="84"/>
      <c r="F92" s="84"/>
      <c r="G92" s="84">
        <f>monthly_data!$H69*264.172/1000000</f>
        <v>3.0149950360000002</v>
      </c>
      <c r="H92" s="84">
        <f>monthly_data!$H81*264.172/1000000</f>
        <v>1.5160831080000003</v>
      </c>
      <c r="I92" s="84">
        <f>monthly_data!$H93*264.172/1000000</f>
        <v>1.1467706520000001</v>
      </c>
      <c r="J92" s="84">
        <f>monthly_data!$H105*264.172/1000000</f>
        <v>1.7675748520000001</v>
      </c>
      <c r="K92" s="84">
        <f>monthly_data!$H117*264.172/1000000</f>
        <v>12.626629084000001</v>
      </c>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row>
    <row r="93" spans="1:37" x14ac:dyDescent="0.2">
      <c r="A93" s="53" t="s">
        <v>95</v>
      </c>
      <c r="B93" s="84"/>
      <c r="C93" s="84"/>
      <c r="D93" s="84"/>
      <c r="E93" s="84"/>
      <c r="F93" s="84"/>
      <c r="G93" s="84">
        <f>monthly_data!$H70*264.172/1000000</f>
        <v>3.1169654280000003</v>
      </c>
      <c r="H93" s="84">
        <f>monthly_data!$H82*264.172/1000000</f>
        <v>1.3686751320000001</v>
      </c>
      <c r="I93" s="84">
        <f>monthly_data!$H94*264.172/1000000</f>
        <v>0.94864165200000017</v>
      </c>
      <c r="J93" s="84">
        <f>monthly_data!$H106*264.172/1000000</f>
        <v>1.4524176560000002</v>
      </c>
      <c r="K93" s="84">
        <f>monthly_data!$H118*264.172/1000000</f>
        <v>11.468234864000001</v>
      </c>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row>
    <row r="94" spans="1:37" x14ac:dyDescent="0.2">
      <c r="A94" s="53" t="s">
        <v>96</v>
      </c>
      <c r="B94" s="84"/>
      <c r="C94" s="84"/>
      <c r="D94" s="84"/>
      <c r="E94" s="84"/>
      <c r="F94" s="84"/>
      <c r="G94" s="84">
        <f>monthly_data!$H71*264.172/1000000</f>
        <v>2.817130208</v>
      </c>
      <c r="H94" s="84">
        <f>monthly_data!$H83*264.172/1000000</f>
        <v>1.2939144560000002</v>
      </c>
      <c r="I94" s="84">
        <f>monthly_data!$H95*264.172/1000000</f>
        <v>0.51434288400000006</v>
      </c>
      <c r="J94" s="84">
        <f>monthly_data!$H107*264.172/1000000</f>
        <v>0.67601614800000009</v>
      </c>
      <c r="K94" s="84">
        <f>monthly_data!$H119*264.172/1000000</f>
        <v>16.161778787999999</v>
      </c>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row>
    <row r="95" spans="1:37" x14ac:dyDescent="0.2">
      <c r="A95" s="53" t="s">
        <v>97</v>
      </c>
      <c r="B95" s="84"/>
      <c r="C95" s="84"/>
      <c r="D95" s="84"/>
      <c r="E95" s="84"/>
      <c r="F95" s="84"/>
      <c r="G95" s="84">
        <f>monthly_data!$H72*264.172/1000000</f>
        <v>2.7228208040000004</v>
      </c>
      <c r="H95" s="84">
        <f>monthly_data!$H84*264.172/1000000</f>
        <v>1.032120004</v>
      </c>
      <c r="I95" s="84">
        <f>monthly_data!$H96*264.172/1000000</f>
        <v>1.3338044280000001</v>
      </c>
      <c r="J95" s="84">
        <f>monthly_data!$H108*264.172/1000000</f>
        <v>1.363391692</v>
      </c>
      <c r="K95" s="84">
        <f>monthly_data!$H120*264.172/1000000</f>
        <v>7.5661502519999999</v>
      </c>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row>
    <row r="96" spans="1:37" x14ac:dyDescent="0.2">
      <c r="A96" s="53" t="s">
        <v>98</v>
      </c>
      <c r="B96" s="84"/>
      <c r="C96" s="84"/>
      <c r="D96" s="84"/>
      <c r="E96" s="84"/>
      <c r="F96" s="84"/>
      <c r="G96" s="84">
        <f>monthly_data!$H73*264.172/1000000</f>
        <v>2.2002885879999998</v>
      </c>
      <c r="H96" s="84">
        <f>monthly_data!$H85*264.172/1000000</f>
        <v>1.1261652360000001</v>
      </c>
      <c r="I96" s="84">
        <f>monthly_data!$H97*264.172/1000000</f>
        <v>1.3356536320000003</v>
      </c>
      <c r="J96" s="84">
        <f>monthly_data!$H109*264.172/1000000</f>
        <v>1.0688399120000001</v>
      </c>
      <c r="K96" s="84">
        <f>monthly_data!$H121*264.172/1000000</f>
        <v>9.7088493440000008</v>
      </c>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row>
    <row r="97" spans="1:37" x14ac:dyDescent="0.2">
      <c r="A97" s="53" t="s">
        <v>99</v>
      </c>
      <c r="B97" s="84"/>
      <c r="C97" s="84"/>
      <c r="D97" s="84"/>
      <c r="E97" s="84"/>
      <c r="F97" s="84"/>
      <c r="G97" s="84">
        <f>monthly_data!$H74*264.172/1000000</f>
        <v>3.0863214760000002</v>
      </c>
      <c r="H97" s="84">
        <f>monthly_data!$H86*264.172/1000000</f>
        <v>1.1930007520000001</v>
      </c>
      <c r="I97" s="84">
        <f>monthly_data!$H98*264.172/1000000</f>
        <v>1.1470348240000001</v>
      </c>
      <c r="J97" s="84">
        <f>monthly_data!$H110*264.172/1000000</f>
        <v>2.7434262200000004</v>
      </c>
      <c r="K97" s="84">
        <f>monthly_data!$H122*264.172/1000000</f>
        <v>8.5758156359999997</v>
      </c>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row>
    <row r="98" spans="1:37" x14ac:dyDescent="0.2">
      <c r="A98" s="86" t="s">
        <v>100</v>
      </c>
      <c r="B98" s="84"/>
      <c r="C98" s="84"/>
      <c r="D98" s="84"/>
      <c r="E98" s="84"/>
      <c r="F98" s="84"/>
      <c r="G98" s="84">
        <f>monthly_data!$H75*264.172/1000000</f>
        <v>2.3416206079999999</v>
      </c>
      <c r="H98" s="84">
        <f>monthly_data!$H87*264.172/1000000</f>
        <v>1.8296552720000001</v>
      </c>
      <c r="I98" s="84">
        <f>monthly_data!$H99*264.172/1000000</f>
        <v>1.3364461480000001</v>
      </c>
      <c r="J98" s="84">
        <f>monthly_data!$H111*264.172/1000000</f>
        <v>2.9426119080000004</v>
      </c>
      <c r="K98" s="84">
        <f>monthly_data!$H123*264.172/1000000</f>
        <v>12.957636600000001</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row>
    <row r="99" spans="1:37" x14ac:dyDescent="0.2">
      <c r="A99" s="99"/>
      <c r="B99" s="104"/>
      <c r="C99" s="104"/>
      <c r="D99" s="105"/>
      <c r="E99" s="105"/>
      <c r="F99" s="105"/>
      <c r="G99" s="105"/>
      <c r="H99" s="105"/>
      <c r="I99" s="105"/>
      <c r="J99" s="106"/>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row>
    <row r="100" spans="1:37" ht="12" thickBot="1" x14ac:dyDescent="0.25">
      <c r="A100" s="81" t="s">
        <v>106</v>
      </c>
    </row>
    <row r="101" spans="1:37" ht="12" thickBot="1" x14ac:dyDescent="0.25">
      <c r="A101" s="82"/>
      <c r="B101" s="82">
        <f>B2</f>
        <v>2015</v>
      </c>
      <c r="C101" s="82">
        <f t="shared" ref="C101:AJ101" si="51">C2</f>
        <v>2016</v>
      </c>
      <c r="D101" s="82">
        <f t="shared" si="51"/>
        <v>2017</v>
      </c>
      <c r="E101" s="82">
        <f t="shared" si="51"/>
        <v>2018</v>
      </c>
      <c r="F101" s="82">
        <f t="shared" si="51"/>
        <v>2019</v>
      </c>
      <c r="G101" s="82">
        <f t="shared" si="51"/>
        <v>2020</v>
      </c>
      <c r="H101" s="82">
        <f t="shared" si="51"/>
        <v>2021</v>
      </c>
      <c r="I101" s="82">
        <f t="shared" si="51"/>
        <v>2022</v>
      </c>
      <c r="J101" s="82">
        <f t="shared" si="51"/>
        <v>2023</v>
      </c>
      <c r="K101" s="82">
        <f t="shared" si="51"/>
        <v>2024</v>
      </c>
      <c r="L101" s="82">
        <f t="shared" si="51"/>
        <v>2025</v>
      </c>
      <c r="M101" s="82">
        <f t="shared" si="51"/>
        <v>2026</v>
      </c>
      <c r="N101" s="82">
        <f t="shared" si="51"/>
        <v>2027</v>
      </c>
      <c r="O101" s="82">
        <f t="shared" si="51"/>
        <v>2028</v>
      </c>
      <c r="P101" s="82">
        <f t="shared" si="51"/>
        <v>2029</v>
      </c>
      <c r="Q101" s="82">
        <f t="shared" si="51"/>
        <v>2030</v>
      </c>
      <c r="R101" s="82">
        <f t="shared" si="51"/>
        <v>2031</v>
      </c>
      <c r="S101" s="82">
        <f t="shared" si="51"/>
        <v>2032</v>
      </c>
      <c r="T101" s="82">
        <f t="shared" si="51"/>
        <v>2033</v>
      </c>
      <c r="U101" s="82">
        <f t="shared" si="51"/>
        <v>2034</v>
      </c>
      <c r="V101" s="82">
        <f t="shared" si="51"/>
        <v>2035</v>
      </c>
      <c r="W101" s="82">
        <f t="shared" si="51"/>
        <v>2036</v>
      </c>
      <c r="X101" s="82">
        <f t="shared" si="51"/>
        <v>2037</v>
      </c>
      <c r="Y101" s="82">
        <f t="shared" si="51"/>
        <v>2038</v>
      </c>
      <c r="Z101" s="82">
        <f t="shared" si="51"/>
        <v>2039</v>
      </c>
      <c r="AA101" s="82">
        <f t="shared" si="51"/>
        <v>2040</v>
      </c>
      <c r="AB101" s="82">
        <f t="shared" si="51"/>
        <v>2041</v>
      </c>
      <c r="AC101" s="82">
        <f t="shared" si="51"/>
        <v>2042</v>
      </c>
      <c r="AD101" s="82">
        <f t="shared" si="51"/>
        <v>2043</v>
      </c>
      <c r="AE101" s="82">
        <f t="shared" si="51"/>
        <v>2044</v>
      </c>
      <c r="AF101" s="82">
        <f t="shared" si="51"/>
        <v>2045</v>
      </c>
      <c r="AG101" s="82">
        <f t="shared" si="51"/>
        <v>2046</v>
      </c>
      <c r="AH101" s="82">
        <f t="shared" si="51"/>
        <v>2047</v>
      </c>
      <c r="AI101" s="82">
        <f t="shared" si="51"/>
        <v>2048</v>
      </c>
      <c r="AJ101" s="82">
        <f t="shared" si="51"/>
        <v>2049</v>
      </c>
      <c r="AK101" s="82">
        <f>AK2</f>
        <v>2050</v>
      </c>
    </row>
    <row r="102" spans="1:37" x14ac:dyDescent="0.2">
      <c r="A102" s="53" t="s">
        <v>89</v>
      </c>
      <c r="B102" s="101">
        <f>monthly_data!V4/3.31/1000000</f>
        <v>0.90969969788519633</v>
      </c>
      <c r="C102" s="101">
        <f>monthly_data!$V16/3.31/1000000</f>
        <v>5.7876570996978849</v>
      </c>
      <c r="D102" s="101">
        <f>monthly_data!$V28/3.31/1000000</f>
        <v>0.72277885196374625</v>
      </c>
      <c r="E102" s="101">
        <f>monthly_data!$V40/3.31/1000000</f>
        <v>0.86256374622356491</v>
      </c>
      <c r="F102" s="101">
        <f>monthly_data!$V52/3.31/1000000</f>
        <v>7.3893063444108762</v>
      </c>
      <c r="G102" s="101">
        <f>monthly_data!$V64/3.31/1000000</f>
        <v>10.308136253776436</v>
      </c>
      <c r="H102" s="101">
        <f>monthly_data!$V76/3.31/1000000</f>
        <v>13.593798489425982</v>
      </c>
      <c r="I102" s="101">
        <f>monthly_data!$V88/3.31/1000000</f>
        <v>8.1089936555891242</v>
      </c>
      <c r="J102" s="101">
        <f>monthly_data!$V100/3.31/1000000</f>
        <v>3.2659830815709969</v>
      </c>
      <c r="K102" s="101">
        <f>monthly_data!$V112/3.31/1000000</f>
        <v>3.6895271903323259</v>
      </c>
      <c r="L102" s="102">
        <f t="shared" ref="L102:V112" si="52">L$114*(SUM(G102:K102)/SUM(G$114:K$114))</f>
        <v>7.793287734138973</v>
      </c>
      <c r="M102" s="102">
        <f t="shared" si="52"/>
        <v>7.2903180302114805</v>
      </c>
      <c r="N102" s="102">
        <f t="shared" si="52"/>
        <v>6.0296219383685807</v>
      </c>
      <c r="O102" s="102">
        <f t="shared" si="52"/>
        <v>5.6137475949244715</v>
      </c>
      <c r="P102" s="102">
        <f t="shared" si="52"/>
        <v>6.0833004975951663</v>
      </c>
      <c r="Q102" s="102">
        <f t="shared" si="52"/>
        <v>6.9019690140003958</v>
      </c>
      <c r="R102" s="102">
        <f t="shared" si="52"/>
        <v>7.0334504025747435</v>
      </c>
      <c r="S102" s="102">
        <f t="shared" si="52"/>
        <v>6.3324178894926719</v>
      </c>
      <c r="T102" s="102">
        <f t="shared" si="52"/>
        <v>6.3929770797174905</v>
      </c>
      <c r="U102" s="102">
        <f t="shared" si="52"/>
        <v>6.5488229766760941</v>
      </c>
      <c r="V102" s="102">
        <f t="shared" si="52"/>
        <v>6.3181404418117157</v>
      </c>
      <c r="W102" s="102">
        <f t="shared" ref="W102:W112" si="53">W$114*(SUM(R102:V102)/SUM(R$114:V$114))</f>
        <v>6.2045921935688932</v>
      </c>
      <c r="X102" s="102">
        <f t="shared" ref="X102:AK112" si="54">X$114*(SUM(S102:W102)/SUM(S$114:W$114))</f>
        <v>6.0397477960565968</v>
      </c>
      <c r="Y102" s="102">
        <f t="shared" si="54"/>
        <v>5.9801059554706733</v>
      </c>
      <c r="Z102" s="102">
        <f t="shared" si="54"/>
        <v>5.8966616972919725</v>
      </c>
      <c r="AA102" s="102">
        <f t="shared" si="54"/>
        <v>5.7665634574838602</v>
      </c>
      <c r="AB102" s="102">
        <f t="shared" si="54"/>
        <v>5.6567717968069209</v>
      </c>
      <c r="AC102" s="102">
        <f t="shared" si="54"/>
        <v>5.5471669032824069</v>
      </c>
      <c r="AD102" s="102">
        <f t="shared" si="54"/>
        <v>5.448406595290594</v>
      </c>
      <c r="AE102" s="102">
        <f t="shared" si="54"/>
        <v>5.3420038804310277</v>
      </c>
      <c r="AF102" s="102">
        <f t="shared" si="54"/>
        <v>5.2311804301114906</v>
      </c>
      <c r="AG102" s="102">
        <f t="shared" si="54"/>
        <v>5.1241639267368813</v>
      </c>
      <c r="AH102" s="102">
        <f t="shared" si="54"/>
        <v>5.017604272102651</v>
      </c>
      <c r="AI102" s="102">
        <f t="shared" si="54"/>
        <v>4.9116542276013799</v>
      </c>
      <c r="AJ102" s="102">
        <f t="shared" si="54"/>
        <v>4.8043100834065244</v>
      </c>
      <c r="AK102" s="102">
        <f t="shared" si="54"/>
        <v>4.6967923839135004</v>
      </c>
    </row>
    <row r="103" spans="1:37" x14ac:dyDescent="0.2">
      <c r="A103" s="53" t="s">
        <v>90</v>
      </c>
      <c r="B103" s="101">
        <f>monthly_data!V5/3.31/1000000</f>
        <v>5.3061894259818727</v>
      </c>
      <c r="C103" s="101">
        <f>monthly_data!$V17/3.31/1000000</f>
        <v>0.77149939577039273</v>
      </c>
      <c r="D103" s="101">
        <f>monthly_data!$V29/3.31/1000000</f>
        <v>6.1008495468277939</v>
      </c>
      <c r="E103" s="101">
        <f>monthly_data!$V41/3.31/1000000</f>
        <v>8.2325093655589114</v>
      </c>
      <c r="F103" s="101">
        <f>monthly_data!$V53/3.31/1000000</f>
        <v>2.1787758308157099</v>
      </c>
      <c r="G103" s="101">
        <f>monthly_data!$V65/3.31/1000000</f>
        <v>6.6212610271903323</v>
      </c>
      <c r="H103" s="101">
        <f>monthly_data!$V77/3.31/1000000</f>
        <v>2.605356495468278</v>
      </c>
      <c r="I103" s="101">
        <f>monthly_data!$V89/3.31/1000000</f>
        <v>3.4752456193353471</v>
      </c>
      <c r="J103" s="101">
        <f>monthly_data!$V101/3.31/1000000</f>
        <v>4.9484117824773417</v>
      </c>
      <c r="K103" s="101">
        <f>monthly_data!$V113/3.31/1000000</f>
        <v>7.8106244712990929</v>
      </c>
      <c r="L103" s="102">
        <f t="shared" si="52"/>
        <v>5.0921798791540782</v>
      </c>
      <c r="M103" s="102">
        <f t="shared" si="52"/>
        <v>4.7863636495468276</v>
      </c>
      <c r="N103" s="102">
        <f t="shared" si="52"/>
        <v>5.2225650803625383</v>
      </c>
      <c r="O103" s="102">
        <f t="shared" si="52"/>
        <v>5.5720289725679759</v>
      </c>
      <c r="P103" s="102">
        <f t="shared" si="52"/>
        <v>5.6967524105861029</v>
      </c>
      <c r="Q103" s="102">
        <f t="shared" si="52"/>
        <v>5.5471695747006304</v>
      </c>
      <c r="R103" s="102">
        <f t="shared" si="52"/>
        <v>5.910953180425353</v>
      </c>
      <c r="S103" s="102">
        <f t="shared" si="52"/>
        <v>5.5898938437285191</v>
      </c>
      <c r="T103" s="102">
        <f t="shared" si="52"/>
        <v>5.6633595964017163</v>
      </c>
      <c r="U103" s="102">
        <f t="shared" si="52"/>
        <v>5.681625721168464</v>
      </c>
      <c r="V103" s="102">
        <f t="shared" si="52"/>
        <v>5.4017745425722534</v>
      </c>
      <c r="W103" s="102">
        <f t="shared" si="53"/>
        <v>5.3719704632598262</v>
      </c>
      <c r="X103" s="102">
        <f t="shared" si="54"/>
        <v>5.2631808612422279</v>
      </c>
      <c r="Y103" s="102">
        <f t="shared" si="54"/>
        <v>5.1976025991360846</v>
      </c>
      <c r="Z103" s="102">
        <f t="shared" si="54"/>
        <v>5.1048009300285484</v>
      </c>
      <c r="AA103" s="102">
        <f t="shared" si="54"/>
        <v>4.9898543476119022</v>
      </c>
      <c r="AB103" s="102">
        <f t="shared" si="54"/>
        <v>4.9072219994649613</v>
      </c>
      <c r="AC103" s="102">
        <f t="shared" si="54"/>
        <v>4.8141222783218209</v>
      </c>
      <c r="AD103" s="102">
        <f t="shared" si="54"/>
        <v>4.7243387622792579</v>
      </c>
      <c r="AE103" s="102">
        <f t="shared" si="54"/>
        <v>4.629770138342991</v>
      </c>
      <c r="AF103" s="102">
        <f t="shared" si="54"/>
        <v>4.5347920451199588</v>
      </c>
      <c r="AG103" s="102">
        <f t="shared" si="54"/>
        <v>4.4437250120380138</v>
      </c>
      <c r="AH103" s="102">
        <f t="shared" si="54"/>
        <v>4.3510120017605969</v>
      </c>
      <c r="AI103" s="102">
        <f t="shared" si="54"/>
        <v>4.25840526958405</v>
      </c>
      <c r="AJ103" s="102">
        <f t="shared" si="54"/>
        <v>4.1652311870915</v>
      </c>
      <c r="AK103" s="102">
        <f t="shared" si="54"/>
        <v>4.0723208041798697</v>
      </c>
    </row>
    <row r="104" spans="1:37" x14ac:dyDescent="0.2">
      <c r="A104" s="53" t="s">
        <v>91</v>
      </c>
      <c r="B104" s="101">
        <f>monthly_data!V6/3.31/1000000</f>
        <v>12.059551359516616</v>
      </c>
      <c r="C104" s="101">
        <f>monthly_data!$V18/3.31/1000000</f>
        <v>11.935506042296073</v>
      </c>
      <c r="D104" s="101">
        <f>monthly_data!$V30/3.31/1000000</f>
        <v>5.1062716012084595</v>
      </c>
      <c r="E104" s="101">
        <f>monthly_data!$V42/3.31/1000000</f>
        <v>11.992991842900302</v>
      </c>
      <c r="F104" s="101">
        <f>monthly_data!$V54/3.31/1000000</f>
        <v>17.066822356495472</v>
      </c>
      <c r="G104" s="101">
        <f>monthly_data!$V66/3.31/1000000</f>
        <v>8.9473700906344416</v>
      </c>
      <c r="H104" s="101">
        <f>monthly_data!$V78/3.31/1000000</f>
        <v>9.1069921450151057</v>
      </c>
      <c r="I104" s="101">
        <f>monthly_data!$V90/3.31/1000000</f>
        <v>6.2501936555891238</v>
      </c>
      <c r="J104" s="101">
        <f>monthly_data!$V102/3.31/1000000</f>
        <v>9.6515897280966776</v>
      </c>
      <c r="K104" s="101">
        <f>monthly_data!$V114/3.31/1000000</f>
        <v>22.481468580060422</v>
      </c>
      <c r="L104" s="102">
        <f t="shared" si="52"/>
        <v>11.287522839879154</v>
      </c>
      <c r="M104" s="102">
        <f t="shared" si="52"/>
        <v>11.755553389728098</v>
      </c>
      <c r="N104" s="102">
        <f t="shared" si="52"/>
        <v>12.285265638670696</v>
      </c>
      <c r="O104" s="102">
        <f t="shared" si="52"/>
        <v>13.49228003528701</v>
      </c>
      <c r="P104" s="102">
        <f t="shared" si="52"/>
        <v>14.260418096725076</v>
      </c>
      <c r="Q104" s="102">
        <f t="shared" si="52"/>
        <v>13.269726416505856</v>
      </c>
      <c r="R104" s="102">
        <f t="shared" si="52"/>
        <v>14.336906298416345</v>
      </c>
      <c r="S104" s="102">
        <f t="shared" si="52"/>
        <v>13.528919297120996</v>
      </c>
      <c r="T104" s="102">
        <f t="shared" si="52"/>
        <v>13.777650028811054</v>
      </c>
      <c r="U104" s="102">
        <f t="shared" si="52"/>
        <v>13.834724027515863</v>
      </c>
      <c r="V104" s="102">
        <f t="shared" si="52"/>
        <v>13.079307287896798</v>
      </c>
      <c r="W104" s="102">
        <f t="shared" si="53"/>
        <v>13.037879768847597</v>
      </c>
      <c r="X104" s="102">
        <f t="shared" si="54"/>
        <v>12.775572858326274</v>
      </c>
      <c r="Y104" s="102">
        <f t="shared" si="54"/>
        <v>12.623927338551754</v>
      </c>
      <c r="Z104" s="102">
        <f t="shared" si="54"/>
        <v>12.394264899963412</v>
      </c>
      <c r="AA104" s="102">
        <f t="shared" si="54"/>
        <v>12.10761054945932</v>
      </c>
      <c r="AB104" s="102">
        <f t="shared" si="54"/>
        <v>11.912370279863103</v>
      </c>
      <c r="AC104" s="102">
        <f t="shared" si="54"/>
        <v>11.686874927866535</v>
      </c>
      <c r="AD104" s="102">
        <f t="shared" si="54"/>
        <v>11.46918769694415</v>
      </c>
      <c r="AE104" s="102">
        <f t="shared" si="54"/>
        <v>11.238509884384339</v>
      </c>
      <c r="AF104" s="102">
        <f t="shared" si="54"/>
        <v>11.007457582344218</v>
      </c>
      <c r="AG104" s="102">
        <f t="shared" si="54"/>
        <v>10.787242236118264</v>
      </c>
      <c r="AH104" s="102">
        <f t="shared" si="54"/>
        <v>10.562183325885751</v>
      </c>
      <c r="AI104" s="102">
        <f t="shared" si="54"/>
        <v>10.337288099373486</v>
      </c>
      <c r="AJ104" s="102">
        <f t="shared" si="54"/>
        <v>10.110949390539915</v>
      </c>
      <c r="AK104" s="102">
        <f t="shared" si="54"/>
        <v>9.8854298319008684</v>
      </c>
    </row>
    <row r="105" spans="1:37" x14ac:dyDescent="0.2">
      <c r="A105" s="53" t="s">
        <v>92</v>
      </c>
      <c r="B105" s="101">
        <f>monthly_data!V7/3.31/1000000</f>
        <v>10.227512688821752</v>
      </c>
      <c r="C105" s="101">
        <f>monthly_data!$V19/3.31/1000000</f>
        <v>17.139910574018128</v>
      </c>
      <c r="D105" s="101">
        <f>monthly_data!$V31/3.31/1000000</f>
        <v>24.334438972809668</v>
      </c>
      <c r="E105" s="101">
        <f>monthly_data!$V43/3.31/1000000</f>
        <v>23.685502114803622</v>
      </c>
      <c r="F105" s="101">
        <f>monthly_data!$V55/3.31/1000000</f>
        <v>19.886958308157098</v>
      </c>
      <c r="G105" s="101">
        <f>monthly_data!$V67/3.31/1000000</f>
        <v>20.392370392749246</v>
      </c>
      <c r="H105" s="101">
        <f>monthly_data!$V79/3.31/1000000</f>
        <v>18.324648640483382</v>
      </c>
      <c r="I105" s="101">
        <f>monthly_data!$V91/3.31/1000000</f>
        <v>18.31004078549849</v>
      </c>
      <c r="J105" s="101">
        <f>monthly_data!$V103/3.31/1000000</f>
        <v>39.958838670694867</v>
      </c>
      <c r="K105" s="101">
        <f>monthly_data!$V115/3.31/1000000</f>
        <v>16.447461329305135</v>
      </c>
      <c r="L105" s="102">
        <f t="shared" si="52"/>
        <v>22.686671963746225</v>
      </c>
      <c r="M105" s="102">
        <f t="shared" si="52"/>
        <v>23.14553227794562</v>
      </c>
      <c r="N105" s="102">
        <f t="shared" si="52"/>
        <v>24.109709005438066</v>
      </c>
      <c r="O105" s="102">
        <f t="shared" si="52"/>
        <v>25.269642649425979</v>
      </c>
      <c r="P105" s="102">
        <f t="shared" si="52"/>
        <v>22.331803445172202</v>
      </c>
      <c r="Q105" s="102">
        <f t="shared" si="52"/>
        <v>24.726418913426254</v>
      </c>
      <c r="R105" s="102">
        <f t="shared" si="52"/>
        <v>26.350542879816349</v>
      </c>
      <c r="S105" s="102">
        <f t="shared" si="52"/>
        <v>24.557623378655769</v>
      </c>
      <c r="T105" s="102">
        <f t="shared" si="52"/>
        <v>24.647206253299313</v>
      </c>
      <c r="U105" s="102">
        <f t="shared" si="52"/>
        <v>24.522718974073978</v>
      </c>
      <c r="V105" s="102">
        <f t="shared" si="52"/>
        <v>23.744084160505441</v>
      </c>
      <c r="W105" s="102">
        <f t="shared" si="53"/>
        <v>23.547802579996763</v>
      </c>
      <c r="X105" s="102">
        <f t="shared" si="54"/>
        <v>22.987325971593346</v>
      </c>
      <c r="Y105" s="102">
        <f t="shared" si="54"/>
        <v>22.673696720151302</v>
      </c>
      <c r="Z105" s="102">
        <f t="shared" si="54"/>
        <v>22.279917590361883</v>
      </c>
      <c r="AA105" s="102">
        <f t="shared" si="54"/>
        <v>21.830283309660857</v>
      </c>
      <c r="AB105" s="102">
        <f t="shared" si="54"/>
        <v>21.447635352652359</v>
      </c>
      <c r="AC105" s="102">
        <f t="shared" si="54"/>
        <v>21.027699820296736</v>
      </c>
      <c r="AD105" s="102">
        <f t="shared" si="54"/>
        <v>20.635877449073302</v>
      </c>
      <c r="AE105" s="102">
        <f t="shared" si="54"/>
        <v>20.228347795723622</v>
      </c>
      <c r="AF105" s="102">
        <f t="shared" si="54"/>
        <v>19.817879751001485</v>
      </c>
      <c r="AG105" s="102">
        <f t="shared" si="54"/>
        <v>19.415439895509955</v>
      </c>
      <c r="AH105" s="102">
        <f t="shared" si="54"/>
        <v>19.009026621497807</v>
      </c>
      <c r="AI105" s="102">
        <f t="shared" si="54"/>
        <v>18.605302515112324</v>
      </c>
      <c r="AJ105" s="102">
        <f t="shared" si="54"/>
        <v>18.199178455703038</v>
      </c>
      <c r="AK105" s="102">
        <f t="shared" si="54"/>
        <v>17.793326293521925</v>
      </c>
    </row>
    <row r="106" spans="1:37" x14ac:dyDescent="0.2">
      <c r="A106" s="53" t="s">
        <v>93</v>
      </c>
      <c r="B106" s="101">
        <f>monthly_data!V8/3.31/1000000</f>
        <v>15.278505438066466</v>
      </c>
      <c r="C106" s="101">
        <f>monthly_data!$V20/3.31/1000000</f>
        <v>10.479380966767371</v>
      </c>
      <c r="D106" s="101">
        <f>monthly_data!$V32/3.31/1000000</f>
        <v>9.3405966767371602</v>
      </c>
      <c r="E106" s="101">
        <f>monthly_data!$V44/3.31/1000000</f>
        <v>14.240647734138973</v>
      </c>
      <c r="F106" s="101">
        <f>monthly_data!$V56/3.31/1000000</f>
        <v>25.340098489425984</v>
      </c>
      <c r="G106" s="101">
        <f>monthly_data!$V68/3.31/1000000</f>
        <v>23.734912688821751</v>
      </c>
      <c r="H106" s="101">
        <f>monthly_data!$V80/3.31/1000000</f>
        <v>21.334992145015107</v>
      </c>
      <c r="I106" s="101">
        <f>monthly_data!$V92/3.31/1000000</f>
        <v>20.959660422960724</v>
      </c>
      <c r="J106" s="101">
        <f>monthly_data!$V104/3.31/1000000</f>
        <v>31.136218126888217</v>
      </c>
      <c r="K106" s="101">
        <f>monthly_data!$V116/3.31/1000000</f>
        <v>24.478232326283987</v>
      </c>
      <c r="L106" s="102">
        <f t="shared" si="52"/>
        <v>24.328803141993959</v>
      </c>
      <c r="M106" s="102">
        <f t="shared" si="52"/>
        <v>24.447581232628398</v>
      </c>
      <c r="N106" s="102">
        <f t="shared" si="52"/>
        <v>25.070099050151054</v>
      </c>
      <c r="O106" s="102">
        <f t="shared" si="52"/>
        <v>25.892186775589124</v>
      </c>
      <c r="P106" s="102">
        <f t="shared" si="52"/>
        <v>24.843380505329304</v>
      </c>
      <c r="Q106" s="102">
        <f t="shared" si="52"/>
        <v>26.207077899543037</v>
      </c>
      <c r="R106" s="102">
        <f t="shared" si="52"/>
        <v>27.86596143935494</v>
      </c>
      <c r="S106" s="102">
        <f t="shared" si="52"/>
        <v>25.975741133993491</v>
      </c>
      <c r="T106" s="102">
        <f t="shared" si="52"/>
        <v>26.156869550761979</v>
      </c>
      <c r="U106" s="102">
        <f t="shared" si="52"/>
        <v>26.209806105796545</v>
      </c>
      <c r="V106" s="102">
        <f t="shared" si="52"/>
        <v>25.192068174706964</v>
      </c>
      <c r="W106" s="102">
        <f t="shared" si="53"/>
        <v>24.988995345200774</v>
      </c>
      <c r="X106" s="102">
        <f t="shared" si="54"/>
        <v>24.412699732406075</v>
      </c>
      <c r="Y106" s="102">
        <f t="shared" si="54"/>
        <v>24.099483151865339</v>
      </c>
      <c r="Z106" s="102">
        <f t="shared" si="54"/>
        <v>23.688570595100309</v>
      </c>
      <c r="AA106" s="102">
        <f t="shared" si="54"/>
        <v>23.184623740257322</v>
      </c>
      <c r="AB106" s="102">
        <f t="shared" si="54"/>
        <v>22.782984780168249</v>
      </c>
      <c r="AC106" s="102">
        <f t="shared" si="54"/>
        <v>22.341614254733987</v>
      </c>
      <c r="AD106" s="102">
        <f t="shared" si="54"/>
        <v>21.927384160000642</v>
      </c>
      <c r="AE106" s="102">
        <f t="shared" si="54"/>
        <v>21.493077157557234</v>
      </c>
      <c r="AF106" s="102">
        <f t="shared" si="54"/>
        <v>21.053995760477044</v>
      </c>
      <c r="AG106" s="102">
        <f t="shared" si="54"/>
        <v>20.627827552568775</v>
      </c>
      <c r="AH106" s="102">
        <f t="shared" si="54"/>
        <v>20.196776186337544</v>
      </c>
      <c r="AI106" s="102">
        <f t="shared" si="54"/>
        <v>19.767820147055058</v>
      </c>
      <c r="AJ106" s="102">
        <f t="shared" si="54"/>
        <v>19.335924165792985</v>
      </c>
      <c r="AK106" s="102">
        <f t="shared" si="54"/>
        <v>18.904489981772784</v>
      </c>
    </row>
    <row r="107" spans="1:37" x14ac:dyDescent="0.2">
      <c r="A107" s="53" t="s">
        <v>94</v>
      </c>
      <c r="B107" s="101">
        <f>monthly_data!V9/3.31/1000000</f>
        <v>19.50346344410876</v>
      </c>
      <c r="C107" s="101">
        <f>monthly_data!$V21/3.31/1000000</f>
        <v>8.8020317220543802</v>
      </c>
      <c r="D107" s="101">
        <f>monthly_data!$V33/3.31/1000000</f>
        <v>13.597306646525679</v>
      </c>
      <c r="E107" s="101">
        <f>monthly_data!$V45/3.31/1000000</f>
        <v>31.507003927492448</v>
      </c>
      <c r="F107" s="101">
        <f>monthly_data!$V57/3.31/1000000</f>
        <v>12.537983383685802</v>
      </c>
      <c r="G107" s="101">
        <f>monthly_data!$V69/3.31/1000000</f>
        <v>21.967876737160122</v>
      </c>
      <c r="H107" s="101">
        <f>monthly_data!$V81/3.31/1000000</f>
        <v>25.140775226586104</v>
      </c>
      <c r="I107" s="101">
        <f>monthly_data!$V93/3.31/1000000</f>
        <v>20.559205438066464</v>
      </c>
      <c r="J107" s="101">
        <f>monthly_data!$V105/3.31/1000000</f>
        <v>36.879859214501508</v>
      </c>
      <c r="K107" s="101">
        <f>monthly_data!$V117/3.31/1000000</f>
        <v>20.007703927492447</v>
      </c>
      <c r="L107" s="102">
        <f t="shared" si="52"/>
        <v>24.911084108761326</v>
      </c>
      <c r="M107" s="102">
        <f t="shared" si="52"/>
        <v>25.499725583081574</v>
      </c>
      <c r="N107" s="102">
        <f t="shared" si="52"/>
        <v>25.571515654380665</v>
      </c>
      <c r="O107" s="102">
        <f t="shared" si="52"/>
        <v>26.573977697643503</v>
      </c>
      <c r="P107" s="102">
        <f t="shared" si="52"/>
        <v>24.5128013942719</v>
      </c>
      <c r="Q107" s="102">
        <f t="shared" si="52"/>
        <v>26.730254477046696</v>
      </c>
      <c r="R107" s="102">
        <f t="shared" si="52"/>
        <v>28.400968308315768</v>
      </c>
      <c r="S107" s="102">
        <f t="shared" si="52"/>
        <v>26.357903506331709</v>
      </c>
      <c r="T107" s="102">
        <f t="shared" si="52"/>
        <v>26.515181076721916</v>
      </c>
      <c r="U107" s="102">
        <f t="shared" si="52"/>
        <v>26.503421752537598</v>
      </c>
      <c r="V107" s="102">
        <f t="shared" si="52"/>
        <v>25.590123548171306</v>
      </c>
      <c r="W107" s="102">
        <f t="shared" si="53"/>
        <v>25.363097170615308</v>
      </c>
      <c r="X107" s="102">
        <f t="shared" si="54"/>
        <v>24.755791588426405</v>
      </c>
      <c r="Y107" s="102">
        <f t="shared" si="54"/>
        <v>24.434926492243171</v>
      </c>
      <c r="Z107" s="102">
        <f t="shared" si="54"/>
        <v>24.019388484356028</v>
      </c>
      <c r="AA107" s="102">
        <f t="shared" si="54"/>
        <v>23.522121962207514</v>
      </c>
      <c r="AB107" s="102">
        <f t="shared" si="54"/>
        <v>23.108705680734765</v>
      </c>
      <c r="AC107" s="102">
        <f t="shared" si="54"/>
        <v>22.657840717179155</v>
      </c>
      <c r="AD107" s="102">
        <f t="shared" si="54"/>
        <v>22.238210103721105</v>
      </c>
      <c r="AE107" s="102">
        <f t="shared" si="54"/>
        <v>21.798911220706163</v>
      </c>
      <c r="AF107" s="102">
        <f t="shared" si="54"/>
        <v>21.354760956732349</v>
      </c>
      <c r="AG107" s="102">
        <f t="shared" si="54"/>
        <v>20.921319755196155</v>
      </c>
      <c r="AH107" s="102">
        <f t="shared" si="54"/>
        <v>20.483841187052313</v>
      </c>
      <c r="AI107" s="102">
        <f t="shared" si="54"/>
        <v>20.049036774864952</v>
      </c>
      <c r="AJ107" s="102">
        <f t="shared" si="54"/>
        <v>19.611205232754592</v>
      </c>
      <c r="AK107" s="102">
        <f t="shared" si="54"/>
        <v>19.173658378380122</v>
      </c>
    </row>
    <row r="108" spans="1:37" x14ac:dyDescent="0.2">
      <c r="A108" s="53" t="s">
        <v>95</v>
      </c>
      <c r="B108" s="101">
        <f>monthly_data!V10/3.31/1000000</f>
        <v>10.535381570996979</v>
      </c>
      <c r="C108" s="101">
        <f>monthly_data!$V22/3.31/1000000</f>
        <v>13.949960422960725</v>
      </c>
      <c r="D108" s="101">
        <f>monthly_data!$V34/3.31/1000000</f>
        <v>21.160698489425982</v>
      </c>
      <c r="E108" s="101">
        <f>monthly_data!$V46/3.31/1000000</f>
        <v>14.91121087613293</v>
      </c>
      <c r="F108" s="101">
        <f>monthly_data!$V58/3.31/1000000</f>
        <v>16.446220845921449</v>
      </c>
      <c r="G108" s="101">
        <f>monthly_data!$V70/3.31/1000000</f>
        <v>15.113848640483383</v>
      </c>
      <c r="H108" s="101">
        <f>monthly_data!$V82/3.31/1000000</f>
        <v>17.240367069486407</v>
      </c>
      <c r="I108" s="101">
        <f>monthly_data!$V94/3.31/1000000</f>
        <v>21.740010574018129</v>
      </c>
      <c r="J108" s="101">
        <f>monthly_data!$V106/3.31/1000000</f>
        <v>27.539138670694864</v>
      </c>
      <c r="K108" s="101">
        <f>monthly_data!$V118/3.31/1000000</f>
        <v>25.171793051359515</v>
      </c>
      <c r="L108" s="102">
        <f t="shared" si="52"/>
        <v>21.361031601208463</v>
      </c>
      <c r="M108" s="102">
        <f t="shared" si="52"/>
        <v>22.610468193353476</v>
      </c>
      <c r="N108" s="102">
        <f t="shared" si="52"/>
        <v>23.684488418126893</v>
      </c>
      <c r="O108" s="102">
        <f t="shared" si="52"/>
        <v>24.073383986948645</v>
      </c>
      <c r="P108" s="102">
        <f t="shared" si="52"/>
        <v>23.380233050199394</v>
      </c>
      <c r="Q108" s="102">
        <f t="shared" si="52"/>
        <v>24.214454447331534</v>
      </c>
      <c r="R108" s="102">
        <f t="shared" si="52"/>
        <v>25.99355315708927</v>
      </c>
      <c r="S108" s="102">
        <f t="shared" si="52"/>
        <v>24.269222611939149</v>
      </c>
      <c r="T108" s="102">
        <f t="shared" si="52"/>
        <v>24.386169450701598</v>
      </c>
      <c r="U108" s="102">
        <f t="shared" si="52"/>
        <v>24.448726543452185</v>
      </c>
      <c r="V108" s="102">
        <f t="shared" si="52"/>
        <v>23.460157757009984</v>
      </c>
      <c r="W108" s="102">
        <f t="shared" si="53"/>
        <v>23.30735636899978</v>
      </c>
      <c r="X108" s="102">
        <f t="shared" si="54"/>
        <v>22.769303859910501</v>
      </c>
      <c r="Y108" s="102">
        <f t="shared" si="54"/>
        <v>22.469181354735088</v>
      </c>
      <c r="Z108" s="102">
        <f t="shared" si="54"/>
        <v>22.086297650879349</v>
      </c>
      <c r="AA108" s="102">
        <f t="shared" si="54"/>
        <v>21.614215594020784</v>
      </c>
      <c r="AB108" s="102">
        <f t="shared" si="54"/>
        <v>21.244613277720994</v>
      </c>
      <c r="AC108" s="102">
        <f t="shared" si="54"/>
        <v>20.831969818043309</v>
      </c>
      <c r="AD108" s="102">
        <f t="shared" si="54"/>
        <v>20.444559821046226</v>
      </c>
      <c r="AE108" s="102">
        <f t="shared" si="54"/>
        <v>20.039733983128972</v>
      </c>
      <c r="AF108" s="102">
        <f t="shared" si="54"/>
        <v>19.630431908274801</v>
      </c>
      <c r="AG108" s="102">
        <f t="shared" si="54"/>
        <v>19.233602644305243</v>
      </c>
      <c r="AH108" s="102">
        <f t="shared" si="54"/>
        <v>18.831400214508388</v>
      </c>
      <c r="AI108" s="102">
        <f t="shared" si="54"/>
        <v>18.431306047994429</v>
      </c>
      <c r="AJ108" s="102">
        <f t="shared" si="54"/>
        <v>18.028667209066992</v>
      </c>
      <c r="AK108" s="102">
        <f t="shared" si="54"/>
        <v>17.626447362243471</v>
      </c>
    </row>
    <row r="109" spans="1:37" x14ac:dyDescent="0.2">
      <c r="A109" s="53" t="s">
        <v>96</v>
      </c>
      <c r="B109" s="101">
        <f>monthly_data!V11/3.31/1000000</f>
        <v>10.575861027190331</v>
      </c>
      <c r="C109" s="101">
        <f>monthly_data!$V23/3.31/1000000</f>
        <v>16.023422658610272</v>
      </c>
      <c r="D109" s="101">
        <f>monthly_data!$V35/3.31/1000000</f>
        <v>15.750191238670693</v>
      </c>
      <c r="E109" s="101">
        <f>monthly_data!$V47/3.31/1000000</f>
        <v>18.14965166163142</v>
      </c>
      <c r="F109" s="101">
        <f>monthly_data!$V59/3.31/1000000</f>
        <v>19.915367975830815</v>
      </c>
      <c r="G109" s="101">
        <f>monthly_data!$V71/3.31/1000000</f>
        <v>21.319949546827793</v>
      </c>
      <c r="H109" s="101">
        <f>monthly_data!$V83/3.31/1000000</f>
        <v>21.160633232628399</v>
      </c>
      <c r="I109" s="101">
        <f>monthly_data!$V95/3.31/1000000</f>
        <v>24.544406042296071</v>
      </c>
      <c r="J109" s="101">
        <f>monthly_data!$V107/3.31/1000000</f>
        <v>23.833429909365556</v>
      </c>
      <c r="K109" s="101">
        <f>monthly_data!$V119/3.31/1000000</f>
        <v>25.587955589123869</v>
      </c>
      <c r="L109" s="102">
        <f t="shared" si="52"/>
        <v>23.289274864048338</v>
      </c>
      <c r="M109" s="102">
        <f t="shared" si="52"/>
        <v>23.683139927492448</v>
      </c>
      <c r="N109" s="102">
        <f t="shared" si="52"/>
        <v>24.187641266465256</v>
      </c>
      <c r="O109" s="102">
        <f t="shared" si="52"/>
        <v>24.11628831129909</v>
      </c>
      <c r="P109" s="102">
        <f t="shared" si="52"/>
        <v>24.172859991685797</v>
      </c>
      <c r="Q109" s="102">
        <f t="shared" si="52"/>
        <v>25.1273324366935</v>
      </c>
      <c r="R109" s="102">
        <f t="shared" si="52"/>
        <v>26.726059352979217</v>
      </c>
      <c r="S109" s="102">
        <f t="shared" si="52"/>
        <v>24.866036271824576</v>
      </c>
      <c r="T109" s="102">
        <f t="shared" si="52"/>
        <v>25.001715272896437</v>
      </c>
      <c r="U109" s="102">
        <f t="shared" si="52"/>
        <v>25.178800665215903</v>
      </c>
      <c r="V109" s="102">
        <f t="shared" si="52"/>
        <v>24.14274084046038</v>
      </c>
      <c r="W109" s="102">
        <f t="shared" si="53"/>
        <v>23.945871122906674</v>
      </c>
      <c r="X109" s="102">
        <f t="shared" si="54"/>
        <v>23.38920314172935</v>
      </c>
      <c r="Y109" s="102">
        <f t="shared" si="54"/>
        <v>23.09304319091304</v>
      </c>
      <c r="Z109" s="102">
        <f t="shared" si="54"/>
        <v>22.711200351293353</v>
      </c>
      <c r="AA109" s="102">
        <f t="shared" si="54"/>
        <v>22.218500001814139</v>
      </c>
      <c r="AB109" s="102">
        <f t="shared" si="54"/>
        <v>21.833512826765361</v>
      </c>
      <c r="AC109" s="102">
        <f t="shared" si="54"/>
        <v>21.410860992835385</v>
      </c>
      <c r="AD109" s="102">
        <f t="shared" si="54"/>
        <v>21.015108191130029</v>
      </c>
      <c r="AE109" s="102">
        <f t="shared" si="54"/>
        <v>20.599586256455119</v>
      </c>
      <c r="AF109" s="102">
        <f t="shared" si="54"/>
        <v>20.17736545739201</v>
      </c>
      <c r="AG109" s="102">
        <f t="shared" si="54"/>
        <v>19.769088516371415</v>
      </c>
      <c r="AH109" s="102">
        <f t="shared" si="54"/>
        <v>19.356172376201087</v>
      </c>
      <c r="AI109" s="102">
        <f t="shared" si="54"/>
        <v>18.945234950544446</v>
      </c>
      <c r="AJ109" s="102">
        <f t="shared" si="54"/>
        <v>18.531278600048509</v>
      </c>
      <c r="AK109" s="102">
        <f t="shared" si="54"/>
        <v>18.117625434567021</v>
      </c>
    </row>
    <row r="110" spans="1:37" x14ac:dyDescent="0.2">
      <c r="A110" s="53" t="s">
        <v>97</v>
      </c>
      <c r="B110" s="101">
        <f>monthly_data!V12/3.31/1000000</f>
        <v>9.9138003021148027</v>
      </c>
      <c r="C110" s="101">
        <f>monthly_data!$V24/3.31/1000000</f>
        <v>4.8101111782477339</v>
      </c>
      <c r="D110" s="101">
        <f>monthly_data!$V36/3.31/1000000</f>
        <v>9.527674320241692</v>
      </c>
      <c r="E110" s="101">
        <f>monthly_data!$V48/3.31/1000000</f>
        <v>6.2519719033232626</v>
      </c>
      <c r="F110" s="101">
        <f>monthly_data!$V60/3.31/1000000</f>
        <v>15.602174320241691</v>
      </c>
      <c r="G110" s="101">
        <f>monthly_data!$V72/3.31/1000000</f>
        <v>20.578996072507554</v>
      </c>
      <c r="H110" s="101">
        <f>monthly_data!$V84/3.31/1000000</f>
        <v>10.76887673716012</v>
      </c>
      <c r="I110" s="101">
        <f>monthly_data!$V96/3.31/1000000</f>
        <v>27.094145619335347</v>
      </c>
      <c r="J110" s="101">
        <f>monthly_data!$V108/3.31/1000000</f>
        <v>16.814548338368581</v>
      </c>
      <c r="K110" s="101">
        <f>monthly_data!$V120/3.31/1000000</f>
        <v>18.869128096676736</v>
      </c>
      <c r="L110" s="102">
        <f t="shared" si="52"/>
        <v>18.825138972809668</v>
      </c>
      <c r="M110" s="102">
        <f t="shared" si="52"/>
        <v>18.474367552870088</v>
      </c>
      <c r="N110" s="102">
        <f t="shared" si="52"/>
        <v>20.015465716012084</v>
      </c>
      <c r="O110" s="102">
        <f t="shared" si="52"/>
        <v>18.599729735347431</v>
      </c>
      <c r="P110" s="102">
        <f t="shared" si="52"/>
        <v>18.956766014743202</v>
      </c>
      <c r="Q110" s="102">
        <f t="shared" si="52"/>
        <v>19.957160265231163</v>
      </c>
      <c r="R110" s="102">
        <f t="shared" si="52"/>
        <v>21.154694333083778</v>
      </c>
      <c r="S110" s="102">
        <f t="shared" si="52"/>
        <v>19.736763212883531</v>
      </c>
      <c r="T110" s="102">
        <f t="shared" si="52"/>
        <v>19.681022712257825</v>
      </c>
      <c r="U110" s="102">
        <f t="shared" si="52"/>
        <v>19.897281307639901</v>
      </c>
      <c r="V110" s="102">
        <f t="shared" si="52"/>
        <v>19.106242845787122</v>
      </c>
      <c r="W110" s="102">
        <f t="shared" si="53"/>
        <v>18.936802566669932</v>
      </c>
      <c r="X110" s="102">
        <f t="shared" si="54"/>
        <v>18.492919463281439</v>
      </c>
      <c r="Y110" s="102">
        <f t="shared" si="54"/>
        <v>18.244298962819435</v>
      </c>
      <c r="Z110" s="102">
        <f t="shared" si="54"/>
        <v>17.956132111241867</v>
      </c>
      <c r="AA110" s="102">
        <f t="shared" si="54"/>
        <v>17.56844684808275</v>
      </c>
      <c r="AB110" s="102">
        <f t="shared" si="54"/>
        <v>17.260952397174229</v>
      </c>
      <c r="AC110" s="102">
        <f t="shared" si="54"/>
        <v>16.925704214037808</v>
      </c>
      <c r="AD110" s="102">
        <f t="shared" si="54"/>
        <v>16.612231160681471</v>
      </c>
      <c r="AE110" s="102">
        <f t="shared" si="54"/>
        <v>16.285749745433414</v>
      </c>
      <c r="AF110" s="102">
        <f t="shared" si="54"/>
        <v>15.951765135768524</v>
      </c>
      <c r="AG110" s="102">
        <f t="shared" si="54"/>
        <v>15.628424689613084</v>
      </c>
      <c r="AH110" s="102">
        <f t="shared" si="54"/>
        <v>15.301900433919641</v>
      </c>
      <c r="AI110" s="102">
        <f t="shared" si="54"/>
        <v>14.977133564931739</v>
      </c>
      <c r="AJ110" s="102">
        <f t="shared" si="54"/>
        <v>14.650112999411395</v>
      </c>
      <c r="AK110" s="102">
        <f t="shared" si="54"/>
        <v>14.322998822289907</v>
      </c>
    </row>
    <row r="111" spans="1:37" x14ac:dyDescent="0.2">
      <c r="A111" s="53" t="s">
        <v>98</v>
      </c>
      <c r="B111" s="101">
        <f>monthly_data!V13/3.31/1000000</f>
        <v>5.0440610271903319</v>
      </c>
      <c r="C111" s="101">
        <f>monthly_data!$V25/3.31/1000000</f>
        <v>1.3539827794561934</v>
      </c>
      <c r="D111" s="101">
        <f>monthly_data!$V37/3.31/1000000</f>
        <v>8.0794241691842892</v>
      </c>
      <c r="E111" s="101">
        <f>monthly_data!$V49/3.31/1000000</f>
        <v>9.7640758308157096</v>
      </c>
      <c r="F111" s="101">
        <f>monthly_data!$V61/3.31/1000000</f>
        <v>6.1107395770392747</v>
      </c>
      <c r="G111" s="101">
        <f>monthly_data!$V73/3.31/1000000</f>
        <v>3.6842283987915407</v>
      </c>
      <c r="H111" s="101">
        <f>monthly_data!$V85/3.31/1000000</f>
        <v>7.4865812688821753</v>
      </c>
      <c r="I111" s="101">
        <f>monthly_data!$V97/3.31/1000000</f>
        <v>26.704650453172203</v>
      </c>
      <c r="J111" s="101">
        <f>monthly_data!$V109/3.31/1000000</f>
        <v>17.714752870090635</v>
      </c>
      <c r="K111" s="101">
        <f>monthly_data!$V121/3.31/1000000</f>
        <v>3.9711042296072505</v>
      </c>
      <c r="L111" s="102">
        <f t="shared" si="52"/>
        <v>11.91226344410876</v>
      </c>
      <c r="M111" s="102">
        <f t="shared" si="52"/>
        <v>13.557870453172205</v>
      </c>
      <c r="N111" s="102">
        <f t="shared" si="52"/>
        <v>14.77212829003021</v>
      </c>
      <c r="O111" s="102">
        <f t="shared" si="52"/>
        <v>12.385623857401812</v>
      </c>
      <c r="P111" s="102">
        <f t="shared" si="52"/>
        <v>11.319798054864046</v>
      </c>
      <c r="Q111" s="102">
        <f t="shared" si="52"/>
        <v>13.452033653323205</v>
      </c>
      <c r="R111" s="102">
        <f t="shared" si="52"/>
        <v>14.430382571336569</v>
      </c>
      <c r="S111" s="102">
        <f t="shared" si="52"/>
        <v>13.271993285391167</v>
      </c>
      <c r="T111" s="102">
        <f t="shared" si="52"/>
        <v>12.97196628446336</v>
      </c>
      <c r="U111" s="102">
        <f t="shared" si="52"/>
        <v>13.08923476987567</v>
      </c>
      <c r="V111" s="102">
        <f t="shared" si="52"/>
        <v>12.787783943343348</v>
      </c>
      <c r="W111" s="102">
        <f t="shared" si="53"/>
        <v>12.656362227923417</v>
      </c>
      <c r="X111" s="102">
        <f t="shared" si="54"/>
        <v>12.304286808440038</v>
      </c>
      <c r="Y111" s="102">
        <f t="shared" si="54"/>
        <v>12.112270669085696</v>
      </c>
      <c r="Z111" s="102">
        <f t="shared" si="54"/>
        <v>11.938811984348739</v>
      </c>
      <c r="AA111" s="102">
        <f t="shared" si="54"/>
        <v>11.707609450617699</v>
      </c>
      <c r="AB111" s="102">
        <f t="shared" si="54"/>
        <v>11.492212134429979</v>
      </c>
      <c r="AC111" s="102">
        <f t="shared" si="54"/>
        <v>11.259859091891315</v>
      </c>
      <c r="AD111" s="102">
        <f t="shared" si="54"/>
        <v>11.05097400622892</v>
      </c>
      <c r="AE111" s="102">
        <f t="shared" si="54"/>
        <v>10.838392763684507</v>
      </c>
      <c r="AF111" s="102">
        <f t="shared" si="54"/>
        <v>10.618240046829944</v>
      </c>
      <c r="AG111" s="102">
        <f t="shared" si="54"/>
        <v>10.400519399621507</v>
      </c>
      <c r="AH111" s="102">
        <f t="shared" si="54"/>
        <v>10.182231723582452</v>
      </c>
      <c r="AI111" s="102">
        <f t="shared" si="54"/>
        <v>9.9666667409706626</v>
      </c>
      <c r="AJ111" s="102">
        <f t="shared" si="54"/>
        <v>9.7497572042567739</v>
      </c>
      <c r="AK111" s="102">
        <f t="shared" si="54"/>
        <v>9.5320402320433573</v>
      </c>
    </row>
    <row r="112" spans="1:37" x14ac:dyDescent="0.2">
      <c r="A112" s="53" t="s">
        <v>99</v>
      </c>
      <c r="B112" s="101">
        <f>monthly_data!V14/3.31/1000000</f>
        <v>1.5480184290030212</v>
      </c>
      <c r="C112" s="101">
        <f>monthly_data!$V26/3.31/1000000</f>
        <v>4.4748703927492439</v>
      </c>
      <c r="D112" s="101">
        <f>monthly_data!$V38/3.31/1000000</f>
        <v>12.173691238670695</v>
      </c>
      <c r="E112" s="101">
        <f>monthly_data!$V50/3.31/1000000</f>
        <v>4.2545764350453172</v>
      </c>
      <c r="F112" s="101">
        <f>monthly_data!$V62/3.31/1000000</f>
        <v>7.2252465256797578</v>
      </c>
      <c r="G112" s="101">
        <f>monthly_data!$V74/3.31/1000000</f>
        <v>1.8294480362537764</v>
      </c>
      <c r="H112" s="101">
        <f>monthly_data!$V86/3.31/1000000</f>
        <v>2.9684951661631418</v>
      </c>
      <c r="I112" s="101">
        <f>monthly_data!$V98/3.31/1000000</f>
        <v>7.6850540785498485</v>
      </c>
      <c r="J112" s="101">
        <f>monthly_data!$V110/3.31/1000000</f>
        <v>13.097056797583081</v>
      </c>
      <c r="K112" s="101">
        <f>monthly_data!$V122/3.31/1000000</f>
        <v>3.1491296072507553</v>
      </c>
      <c r="L112" s="102">
        <f t="shared" si="52"/>
        <v>5.745836737160122</v>
      </c>
      <c r="M112" s="102">
        <f t="shared" si="52"/>
        <v>6.5291144773413894</v>
      </c>
      <c r="N112" s="102">
        <f t="shared" si="52"/>
        <v>7.2412383395770386</v>
      </c>
      <c r="O112" s="102">
        <f t="shared" si="52"/>
        <v>7.1524751917824769</v>
      </c>
      <c r="P112" s="102">
        <f t="shared" si="52"/>
        <v>5.9635588706223555</v>
      </c>
      <c r="Q112" s="102">
        <f t="shared" si="52"/>
        <v>6.8645139609458719</v>
      </c>
      <c r="R112" s="102">
        <f t="shared" si="52"/>
        <v>7.437125421852671</v>
      </c>
      <c r="S112" s="102">
        <f t="shared" si="52"/>
        <v>6.9317823569560835</v>
      </c>
      <c r="T112" s="102">
        <f t="shared" si="52"/>
        <v>6.8698911604318909</v>
      </c>
      <c r="U112" s="102">
        <f t="shared" si="52"/>
        <v>6.8133743541617751</v>
      </c>
      <c r="V112" s="102">
        <f t="shared" si="52"/>
        <v>6.6429070401459756</v>
      </c>
      <c r="W112" s="102">
        <f t="shared" si="53"/>
        <v>6.5981145778357462</v>
      </c>
      <c r="X112" s="102">
        <f t="shared" si="54"/>
        <v>6.4308720598825948</v>
      </c>
      <c r="Y112" s="102">
        <f t="shared" si="54"/>
        <v>6.3314376028850736</v>
      </c>
      <c r="Z112" s="102">
        <f t="shared" si="54"/>
        <v>6.2238738966698328</v>
      </c>
      <c r="AA112" s="102">
        <f t="shared" si="54"/>
        <v>6.1052829951277525</v>
      </c>
      <c r="AB112" s="102">
        <f t="shared" si="54"/>
        <v>5.9978152263311832</v>
      </c>
      <c r="AC112" s="102">
        <f t="shared" si="54"/>
        <v>5.8779247613393251</v>
      </c>
      <c r="AD112" s="102">
        <f t="shared" si="54"/>
        <v>5.7674215717302122</v>
      </c>
      <c r="AE112" s="102">
        <f t="shared" si="54"/>
        <v>5.654565277208996</v>
      </c>
      <c r="AF112" s="102">
        <f t="shared" si="54"/>
        <v>5.54061214232875</v>
      </c>
      <c r="AG112" s="102">
        <f t="shared" si="54"/>
        <v>5.4277135630353825</v>
      </c>
      <c r="AH112" s="102">
        <f t="shared" si="54"/>
        <v>5.3137243544707369</v>
      </c>
      <c r="AI112" s="102">
        <f t="shared" si="54"/>
        <v>5.200886073543324</v>
      </c>
      <c r="AJ112" s="102">
        <f t="shared" si="54"/>
        <v>5.0875628210732735</v>
      </c>
      <c r="AK112" s="102">
        <f t="shared" si="54"/>
        <v>4.9741540187373934</v>
      </c>
    </row>
    <row r="113" spans="1:37" x14ac:dyDescent="0.2">
      <c r="A113" s="53" t="s">
        <v>100</v>
      </c>
      <c r="B113" s="101">
        <f>monthly_data!V15/3.31/1000000</f>
        <v>1.4061939577039275</v>
      </c>
      <c r="C113" s="101">
        <f>monthly_data!$V27/3.31/1000000</f>
        <v>7.4440761329305136</v>
      </c>
      <c r="D113" s="101">
        <f>monthly_data!$V39/3.31/1000000</f>
        <v>0.6086716012084592</v>
      </c>
      <c r="E113" s="101">
        <f>monthly_data!$V51/3.31/1000000</f>
        <v>11.477853172205437</v>
      </c>
      <c r="F113" s="101">
        <f>monthly_data!$V63/3.31/1000000</f>
        <v>2.1636184290030211</v>
      </c>
      <c r="G113" s="101">
        <f>monthly_data!$V75/3.31/1000000</f>
        <v>1.5145716012084591</v>
      </c>
      <c r="H113" s="101">
        <f>monthly_data!$V87/3.31/1000000</f>
        <v>2.8259764350453174</v>
      </c>
      <c r="I113" s="101">
        <f>monthly_data!$V99/3.31/1000000</f>
        <v>18.825331117824774</v>
      </c>
      <c r="J113" s="101">
        <f>monthly_data!$V111/3.31/1000000</f>
        <v>15.002526283987915</v>
      </c>
      <c r="K113" s="101">
        <f>monthly_data!$V123/3.31/1000000</f>
        <v>3.9957634441087615</v>
      </c>
      <c r="L113" s="102">
        <f t="shared" ref="L113:V113" si="55">L114-SUM(L102:L112)</f>
        <v>8.4328337764350749</v>
      </c>
      <c r="M113" s="102">
        <f t="shared" si="55"/>
        <v>9.8164862114803668</v>
      </c>
      <c r="N113" s="102">
        <f t="shared" si="55"/>
        <v>11.214588166767413</v>
      </c>
      <c r="O113" s="102">
        <f t="shared" si="55"/>
        <v>9.6924395765558984</v>
      </c>
      <c r="P113" s="102">
        <f t="shared" si="55"/>
        <v>8.6304222350694602</v>
      </c>
      <c r="Q113" s="102">
        <f t="shared" si="55"/>
        <v>10.052424052908691</v>
      </c>
      <c r="R113" s="102">
        <f t="shared" si="55"/>
        <v>10.886858976054356</v>
      </c>
      <c r="S113" s="102">
        <f t="shared" si="55"/>
        <v>10.095346601471135</v>
      </c>
      <c r="T113" s="102">
        <f t="shared" si="55"/>
        <v>9.8714982884118854</v>
      </c>
      <c r="U113" s="102">
        <f t="shared" si="55"/>
        <v>9.9073100307831226</v>
      </c>
      <c r="V113" s="102">
        <f t="shared" si="55"/>
        <v>9.6672671788924163</v>
      </c>
      <c r="W113" s="102">
        <f t="shared" ref="W113:AK113" si="56">W114-SUM(W102:W112)</f>
        <v>9.5901659054083552</v>
      </c>
      <c r="X113" s="102">
        <f t="shared" si="56"/>
        <v>9.3324169439250113</v>
      </c>
      <c r="Y113" s="102">
        <f t="shared" si="56"/>
        <v>9.1812825864493846</v>
      </c>
      <c r="Z113" s="102">
        <f t="shared" si="56"/>
        <v>9.0424864066567068</v>
      </c>
      <c r="AA113" s="102">
        <f t="shared" si="56"/>
        <v>8.8686062157070751</v>
      </c>
      <c r="AB113" s="102">
        <f t="shared" si="56"/>
        <v>8.7091468620882608</v>
      </c>
      <c r="AC113" s="102">
        <f t="shared" si="56"/>
        <v>8.5332912989660485</v>
      </c>
      <c r="AD113" s="102">
        <f t="shared" si="56"/>
        <v>8.3735511593827141</v>
      </c>
      <c r="AE113" s="102">
        <f t="shared" si="56"/>
        <v>8.2118013850927696</v>
      </c>
      <c r="AF113" s="102">
        <f t="shared" si="56"/>
        <v>8.0455768497600104</v>
      </c>
      <c r="AG113" s="102">
        <f t="shared" si="56"/>
        <v>7.8810587938438061</v>
      </c>
      <c r="AH113" s="102">
        <f t="shared" si="56"/>
        <v>7.7154899617911497</v>
      </c>
      <c r="AI113" s="102">
        <f t="shared" si="56"/>
        <v>7.551914963597568</v>
      </c>
      <c r="AJ113" s="102">
        <f t="shared" si="56"/>
        <v>7.3875517655608576</v>
      </c>
      <c r="AK113" s="102">
        <f t="shared" si="56"/>
        <v>7.2227014964676073</v>
      </c>
    </row>
    <row r="114" spans="1:37" x14ac:dyDescent="0.2">
      <c r="A114" s="86" t="s">
        <v>101</v>
      </c>
      <c r="B114" s="87">
        <f t="shared" ref="B114:K114" si="57">SUM(B102:B113)</f>
        <v>102.30823836858008</v>
      </c>
      <c r="C114" s="87">
        <f t="shared" si="57"/>
        <v>102.9724093655589</v>
      </c>
      <c r="D114" s="87">
        <f t="shared" si="57"/>
        <v>126.50259335347432</v>
      </c>
      <c r="E114" s="87">
        <f t="shared" si="57"/>
        <v>155.33055861027191</v>
      </c>
      <c r="F114" s="87">
        <f t="shared" si="57"/>
        <v>151.86331238670692</v>
      </c>
      <c r="G114" s="87">
        <f t="shared" si="57"/>
        <v>156.01296948640481</v>
      </c>
      <c r="H114" s="87">
        <f t="shared" si="57"/>
        <v>152.5574930513595</v>
      </c>
      <c r="I114" s="87">
        <f t="shared" si="57"/>
        <v>204.25693746223567</v>
      </c>
      <c r="J114" s="87">
        <f t="shared" si="57"/>
        <v>239.84235347432028</v>
      </c>
      <c r="K114" s="87">
        <f t="shared" si="57"/>
        <v>175.65989184290032</v>
      </c>
      <c r="L114" s="88">
        <f t="shared" ref="L114:AJ114" si="58">L5</f>
        <v>185.66592906344414</v>
      </c>
      <c r="M114" s="88">
        <f t="shared" si="58"/>
        <v>191.59652097885197</v>
      </c>
      <c r="N114" s="88">
        <f t="shared" si="58"/>
        <v>199.40432656435047</v>
      </c>
      <c r="O114" s="88">
        <f t="shared" si="58"/>
        <v>198.43380438477342</v>
      </c>
      <c r="P114" s="88">
        <f t="shared" si="58"/>
        <v>190.15209456686404</v>
      </c>
      <c r="Q114" s="88">
        <f t="shared" si="58"/>
        <v>203.05053511165684</v>
      </c>
      <c r="R114" s="88">
        <f t="shared" si="58"/>
        <v>216.52745632129933</v>
      </c>
      <c r="S114" s="88">
        <f t="shared" si="58"/>
        <v>201.51364338978883</v>
      </c>
      <c r="T114" s="88">
        <f t="shared" si="58"/>
        <v>201.93550675487649</v>
      </c>
      <c r="U114" s="88">
        <f t="shared" si="58"/>
        <v>202.63584722889709</v>
      </c>
      <c r="V114" s="88">
        <f t="shared" si="58"/>
        <v>195.13259776130371</v>
      </c>
      <c r="W114" s="88">
        <f t="shared" si="58"/>
        <v>193.54901029123306</v>
      </c>
      <c r="X114" s="88">
        <f t="shared" si="58"/>
        <v>188.95332108521984</v>
      </c>
      <c r="Y114" s="88">
        <f t="shared" si="58"/>
        <v>186.44125662430605</v>
      </c>
      <c r="Z114" s="88">
        <f t="shared" si="58"/>
        <v>183.34240659819199</v>
      </c>
      <c r="AA114" s="88">
        <f t="shared" si="58"/>
        <v>179.48371847205095</v>
      </c>
      <c r="AB114" s="88">
        <f t="shared" si="58"/>
        <v>176.35394261420038</v>
      </c>
      <c r="AC114" s="88">
        <f t="shared" si="58"/>
        <v>172.91492907879382</v>
      </c>
      <c r="AD114" s="88">
        <f t="shared" si="58"/>
        <v>169.70725067750863</v>
      </c>
      <c r="AE114" s="88">
        <f t="shared" si="58"/>
        <v>166.36044948814916</v>
      </c>
      <c r="AF114" s="88">
        <f t="shared" si="58"/>
        <v>162.96405806614058</v>
      </c>
      <c r="AG114" s="88">
        <f t="shared" si="58"/>
        <v>159.66012598495848</v>
      </c>
      <c r="AH114" s="88">
        <f t="shared" si="58"/>
        <v>156.32136265911012</v>
      </c>
      <c r="AI114" s="88">
        <f t="shared" si="58"/>
        <v>153.00264937517341</v>
      </c>
      <c r="AJ114" s="88">
        <f t="shared" si="58"/>
        <v>149.66172911470636</v>
      </c>
      <c r="AK114" s="88">
        <f>AK5</f>
        <v>146.32198504001781</v>
      </c>
    </row>
    <row r="116" spans="1:37" ht="12" thickBot="1" x14ac:dyDescent="0.25">
      <c r="A116" s="81" t="s">
        <v>107</v>
      </c>
    </row>
    <row r="117" spans="1:37" ht="12" thickBot="1" x14ac:dyDescent="0.25">
      <c r="A117" s="82"/>
      <c r="B117" s="82">
        <f>B2</f>
        <v>2015</v>
      </c>
      <c r="C117" s="82">
        <f t="shared" ref="C117:AJ117" si="59">C2</f>
        <v>2016</v>
      </c>
      <c r="D117" s="82">
        <f t="shared" si="59"/>
        <v>2017</v>
      </c>
      <c r="E117" s="82">
        <f t="shared" si="59"/>
        <v>2018</v>
      </c>
      <c r="F117" s="82">
        <f t="shared" si="59"/>
        <v>2019</v>
      </c>
      <c r="G117" s="82">
        <f t="shared" si="59"/>
        <v>2020</v>
      </c>
      <c r="H117" s="82">
        <f t="shared" si="59"/>
        <v>2021</v>
      </c>
      <c r="I117" s="82">
        <f t="shared" si="59"/>
        <v>2022</v>
      </c>
      <c r="J117" s="82">
        <f t="shared" si="59"/>
        <v>2023</v>
      </c>
      <c r="K117" s="82">
        <f t="shared" si="59"/>
        <v>2024</v>
      </c>
      <c r="L117" s="82">
        <f t="shared" si="59"/>
        <v>2025</v>
      </c>
      <c r="M117" s="82">
        <f t="shared" si="59"/>
        <v>2026</v>
      </c>
      <c r="N117" s="82">
        <f t="shared" si="59"/>
        <v>2027</v>
      </c>
      <c r="O117" s="82">
        <f t="shared" si="59"/>
        <v>2028</v>
      </c>
      <c r="P117" s="82">
        <f t="shared" si="59"/>
        <v>2029</v>
      </c>
      <c r="Q117" s="82">
        <f t="shared" si="59"/>
        <v>2030</v>
      </c>
      <c r="R117" s="82">
        <f t="shared" si="59"/>
        <v>2031</v>
      </c>
      <c r="S117" s="82">
        <f t="shared" si="59"/>
        <v>2032</v>
      </c>
      <c r="T117" s="82">
        <f t="shared" si="59"/>
        <v>2033</v>
      </c>
      <c r="U117" s="82">
        <f t="shared" si="59"/>
        <v>2034</v>
      </c>
      <c r="V117" s="82">
        <f t="shared" si="59"/>
        <v>2035</v>
      </c>
      <c r="W117" s="82">
        <f t="shared" si="59"/>
        <v>2036</v>
      </c>
      <c r="X117" s="82">
        <f t="shared" si="59"/>
        <v>2037</v>
      </c>
      <c r="Y117" s="82">
        <f t="shared" si="59"/>
        <v>2038</v>
      </c>
      <c r="Z117" s="82">
        <f t="shared" si="59"/>
        <v>2039</v>
      </c>
      <c r="AA117" s="82">
        <f t="shared" si="59"/>
        <v>2040</v>
      </c>
      <c r="AB117" s="82">
        <f t="shared" si="59"/>
        <v>2041</v>
      </c>
      <c r="AC117" s="82">
        <f t="shared" si="59"/>
        <v>2042</v>
      </c>
      <c r="AD117" s="82">
        <f t="shared" si="59"/>
        <v>2043</v>
      </c>
      <c r="AE117" s="82">
        <f t="shared" si="59"/>
        <v>2044</v>
      </c>
      <c r="AF117" s="82">
        <f t="shared" si="59"/>
        <v>2045</v>
      </c>
      <c r="AG117" s="82">
        <f t="shared" si="59"/>
        <v>2046</v>
      </c>
      <c r="AH117" s="82">
        <f t="shared" si="59"/>
        <v>2047</v>
      </c>
      <c r="AI117" s="82">
        <f t="shared" si="59"/>
        <v>2048</v>
      </c>
      <c r="AJ117" s="82">
        <f t="shared" si="59"/>
        <v>2049</v>
      </c>
      <c r="AK117" s="82">
        <f>AK2</f>
        <v>2050</v>
      </c>
    </row>
    <row r="118" spans="1:37" x14ac:dyDescent="0.2">
      <c r="A118" s="53" t="s">
        <v>89</v>
      </c>
      <c r="B118" s="101">
        <f>monthly_data!$W4/3.31/1000000</f>
        <v>3.6779111782477338</v>
      </c>
      <c r="C118" s="101">
        <f>monthly_data!$W16/3.31/1000000</f>
        <v>6.9052552870090631</v>
      </c>
      <c r="D118" s="101">
        <f>monthly_data!$W28/3.31/1000000</f>
        <v>4.1085540785498491</v>
      </c>
      <c r="E118" s="101">
        <f>monthly_data!$W40/3.31/1000000</f>
        <v>6.4415492447129905</v>
      </c>
      <c r="F118" s="101">
        <f>monthly_data!$W52/3.31/1000000</f>
        <v>5.6492861027190333</v>
      </c>
      <c r="G118" s="101">
        <f>monthly_data!$W64/3.31/1000000</f>
        <v>7.9901782477341383</v>
      </c>
      <c r="H118" s="101">
        <f>monthly_data!$W76/3.31/1000000</f>
        <v>8.6815344410876136</v>
      </c>
      <c r="I118" s="101">
        <f>monthly_data!$W88/3.31/1000000</f>
        <v>7.115389123867069</v>
      </c>
      <c r="J118" s="101">
        <f>monthly_data!$W100/3.31/1000000</f>
        <v>10.255057401812689</v>
      </c>
      <c r="K118" s="101">
        <f>monthly_data!$W112/3.31/1000000</f>
        <v>10.899202719033232</v>
      </c>
      <c r="L118" s="102">
        <f t="shared" ref="L118:U128" si="60">L$130*(SUM(G118:K118)/SUM(G$130:K$130))</f>
        <v>8.5269415687176178</v>
      </c>
      <c r="M118" s="102">
        <f t="shared" si="60"/>
        <v>9.6027326350328259</v>
      </c>
      <c r="N118" s="102">
        <f t="shared" si="60"/>
        <v>9.938914787813065</v>
      </c>
      <c r="O118" s="102">
        <f t="shared" si="60"/>
        <v>9.7938928782538444</v>
      </c>
      <c r="P118" s="102">
        <f t="shared" si="60"/>
        <v>10.529838630797883</v>
      </c>
      <c r="Q118" s="102">
        <f t="shared" si="60"/>
        <v>9.8453233197541312</v>
      </c>
      <c r="R118" s="102">
        <f t="shared" si="60"/>
        <v>9.8650696653644605</v>
      </c>
      <c r="S118" s="102">
        <f t="shared" si="60"/>
        <v>9.9189725155293473</v>
      </c>
      <c r="T118" s="102">
        <f t="shared" si="60"/>
        <v>9.7936660937618996</v>
      </c>
      <c r="U118" s="102">
        <f t="shared" si="60"/>
        <v>9.9682755502943436</v>
      </c>
      <c r="V118" s="102">
        <v>0</v>
      </c>
      <c r="W118" s="102">
        <v>1</v>
      </c>
      <c r="X118" s="102">
        <v>2</v>
      </c>
      <c r="Y118" s="102">
        <v>3</v>
      </c>
      <c r="Z118" s="102">
        <v>4</v>
      </c>
      <c r="AA118" s="102">
        <v>5</v>
      </c>
      <c r="AB118" s="102">
        <v>6</v>
      </c>
      <c r="AC118" s="102">
        <v>7</v>
      </c>
      <c r="AD118" s="102">
        <v>8</v>
      </c>
      <c r="AE118" s="102">
        <v>9</v>
      </c>
      <c r="AF118" s="102">
        <v>10</v>
      </c>
      <c r="AG118" s="102">
        <v>11</v>
      </c>
      <c r="AH118" s="102">
        <v>12</v>
      </c>
      <c r="AI118" s="102">
        <v>13</v>
      </c>
      <c r="AJ118" s="102">
        <v>14</v>
      </c>
      <c r="AK118" s="102">
        <v>15</v>
      </c>
    </row>
    <row r="119" spans="1:37" x14ac:dyDescent="0.2">
      <c r="A119" s="53" t="s">
        <v>90</v>
      </c>
      <c r="B119" s="101">
        <f>monthly_data!$W5/3.31/1000000</f>
        <v>3.4605093655589125</v>
      </c>
      <c r="C119" s="101">
        <f>monthly_data!$W17/3.31/1000000</f>
        <v>3.2107214501510573</v>
      </c>
      <c r="D119" s="101">
        <f>monthly_data!$W29/3.31/1000000</f>
        <v>5.3120259818731119</v>
      </c>
      <c r="E119" s="101">
        <f>monthly_data!$W41/3.31/1000000</f>
        <v>8.2039226586102725</v>
      </c>
      <c r="F119" s="101">
        <f>monthly_data!$W53/3.31/1000000</f>
        <v>4.9035552870090635</v>
      </c>
      <c r="G119" s="101">
        <f>monthly_data!$W65/3.31/1000000</f>
        <v>8.832726283987915</v>
      </c>
      <c r="H119" s="101">
        <f>monthly_data!$W77/3.31/1000000</f>
        <v>8.6028060422960717</v>
      </c>
      <c r="I119" s="101">
        <f>monthly_data!$W89/3.31/1000000</f>
        <v>5.4377477341389735</v>
      </c>
      <c r="J119" s="101">
        <f>monthly_data!$W101/3.31/1000000</f>
        <v>10.655924773413897</v>
      </c>
      <c r="K119" s="101">
        <f>monthly_data!$W113/3.31/1000000</f>
        <v>10.933380362537765</v>
      </c>
      <c r="L119" s="102">
        <f t="shared" si="60"/>
        <v>8.4361009469255279</v>
      </c>
      <c r="M119" s="102">
        <f t="shared" si="60"/>
        <v>9.3045530893563857</v>
      </c>
      <c r="N119" s="102">
        <f t="shared" si="60"/>
        <v>9.5894162052261986</v>
      </c>
      <c r="O119" s="102">
        <f t="shared" si="60"/>
        <v>9.7335105699345323</v>
      </c>
      <c r="P119" s="102">
        <f t="shared" si="60"/>
        <v>10.364700485475955</v>
      </c>
      <c r="Q119" s="102">
        <f t="shared" si="60"/>
        <v>9.6491914220661279</v>
      </c>
      <c r="R119" s="102">
        <f t="shared" si="60"/>
        <v>9.6528614446260885</v>
      </c>
      <c r="S119" s="102">
        <f t="shared" si="60"/>
        <v>9.7237890212280824</v>
      </c>
      <c r="T119" s="102">
        <f t="shared" si="60"/>
        <v>9.6311260061782438</v>
      </c>
      <c r="U119" s="102">
        <f t="shared" si="60"/>
        <v>9.7824508609748833</v>
      </c>
      <c r="V119" s="102">
        <v>0</v>
      </c>
      <c r="W119" s="102">
        <v>1</v>
      </c>
      <c r="X119" s="102">
        <v>2</v>
      </c>
      <c r="Y119" s="102">
        <v>3</v>
      </c>
      <c r="Z119" s="102">
        <v>4</v>
      </c>
      <c r="AA119" s="102">
        <v>5</v>
      </c>
      <c r="AB119" s="102">
        <v>6</v>
      </c>
      <c r="AC119" s="102">
        <v>7</v>
      </c>
      <c r="AD119" s="102">
        <v>8</v>
      </c>
      <c r="AE119" s="102">
        <v>9</v>
      </c>
      <c r="AF119" s="102">
        <v>10</v>
      </c>
      <c r="AG119" s="102">
        <v>11</v>
      </c>
      <c r="AH119" s="102">
        <v>12</v>
      </c>
      <c r="AI119" s="102">
        <v>13</v>
      </c>
      <c r="AJ119" s="102">
        <v>14</v>
      </c>
      <c r="AK119" s="102">
        <v>15</v>
      </c>
    </row>
    <row r="120" spans="1:37" x14ac:dyDescent="0.2">
      <c r="A120" s="53" t="s">
        <v>91</v>
      </c>
      <c r="B120" s="101">
        <f>monthly_data!$W6/3.31/1000000</f>
        <v>4.4903510574018126</v>
      </c>
      <c r="C120" s="101">
        <f>monthly_data!$W18/3.31/1000000</f>
        <v>8.532428700906344</v>
      </c>
      <c r="D120" s="101">
        <f>monthly_data!$W30/3.31/1000000</f>
        <v>4.3258178247734138</v>
      </c>
      <c r="E120" s="101">
        <f>monthly_data!$W42/3.31/1000000</f>
        <v>7.0056474320241691</v>
      </c>
      <c r="F120" s="101">
        <f>monthly_data!$W54/3.31/1000000</f>
        <v>8.6531954682779464</v>
      </c>
      <c r="G120" s="101">
        <f>monthly_data!$W66/3.31/1000000</f>
        <v>8.2698749244712992</v>
      </c>
      <c r="H120" s="101">
        <f>monthly_data!$W78/3.31/1000000</f>
        <v>10.023707552870091</v>
      </c>
      <c r="I120" s="101">
        <f>monthly_data!$W90/3.31/1000000</f>
        <v>7.5391311178247733</v>
      </c>
      <c r="J120" s="101">
        <f>monthly_data!$W102/3.31/1000000</f>
        <v>12.317297885196375</v>
      </c>
      <c r="K120" s="101">
        <f>monthly_data!$W114/3.31/1000000</f>
        <v>11.342722054380664</v>
      </c>
      <c r="L120" s="102">
        <f t="shared" si="60"/>
        <v>9.3904952758442857</v>
      </c>
      <c r="M120" s="102">
        <f t="shared" si="60"/>
        <v>10.687039151473975</v>
      </c>
      <c r="N120" s="102">
        <f t="shared" si="60"/>
        <v>10.983664626062581</v>
      </c>
      <c r="O120" s="102">
        <f t="shared" si="60"/>
        <v>10.887906056811058</v>
      </c>
      <c r="P120" s="102">
        <f t="shared" si="60"/>
        <v>11.508099958294485</v>
      </c>
      <c r="Q120" s="102">
        <f t="shared" si="60"/>
        <v>10.87576421682355</v>
      </c>
      <c r="R120" s="102">
        <f t="shared" si="60"/>
        <v>10.903312750381541</v>
      </c>
      <c r="S120" s="102">
        <f t="shared" si="60"/>
        <v>10.948265492343685</v>
      </c>
      <c r="T120" s="102">
        <f t="shared" si="60"/>
        <v>10.807331301721216</v>
      </c>
      <c r="U120" s="102">
        <f t="shared" si="60"/>
        <v>10.983984163781592</v>
      </c>
      <c r="V120" s="102">
        <v>0</v>
      </c>
      <c r="W120" s="102">
        <v>1</v>
      </c>
      <c r="X120" s="102">
        <v>2</v>
      </c>
      <c r="Y120" s="102">
        <v>3</v>
      </c>
      <c r="Z120" s="102">
        <v>4</v>
      </c>
      <c r="AA120" s="102">
        <v>5</v>
      </c>
      <c r="AB120" s="102">
        <v>6</v>
      </c>
      <c r="AC120" s="102">
        <v>7</v>
      </c>
      <c r="AD120" s="102">
        <v>8</v>
      </c>
      <c r="AE120" s="102">
        <v>9</v>
      </c>
      <c r="AF120" s="102">
        <v>10</v>
      </c>
      <c r="AG120" s="102">
        <v>11</v>
      </c>
      <c r="AH120" s="102">
        <v>12</v>
      </c>
      <c r="AI120" s="102">
        <v>13</v>
      </c>
      <c r="AJ120" s="102">
        <v>14</v>
      </c>
      <c r="AK120" s="102">
        <v>15</v>
      </c>
    </row>
    <row r="121" spans="1:37" x14ac:dyDescent="0.2">
      <c r="A121" s="53" t="s">
        <v>92</v>
      </c>
      <c r="B121" s="101">
        <f>monthly_data!$W7/3.31/1000000</f>
        <v>2.6689438066465256</v>
      </c>
      <c r="C121" s="101">
        <f>monthly_data!$W19/3.31/1000000</f>
        <v>10.191326888217521</v>
      </c>
      <c r="D121" s="101">
        <f>monthly_data!$W31/3.31/1000000</f>
        <v>6.4883918429003025</v>
      </c>
      <c r="E121" s="101">
        <f>monthly_data!$W43/3.31/1000000</f>
        <v>6.2016323262839874</v>
      </c>
      <c r="F121" s="101">
        <f>monthly_data!$W55/3.31/1000000</f>
        <v>6.2880489425981878</v>
      </c>
      <c r="G121" s="101">
        <f>monthly_data!$W67/3.31/1000000</f>
        <v>9.7221673716012091</v>
      </c>
      <c r="H121" s="101">
        <f>monthly_data!$W79/3.31/1000000</f>
        <v>9.6220241691842894</v>
      </c>
      <c r="I121" s="101">
        <f>monthly_data!$W91/3.31/1000000</f>
        <v>8.1269178247734146</v>
      </c>
      <c r="J121" s="101">
        <f>monthly_data!$W103/3.31/1000000</f>
        <v>10.394570392749245</v>
      </c>
      <c r="K121" s="101">
        <f>monthly_data!$W115/3.31/1000000</f>
        <v>11.522389123867068</v>
      </c>
      <c r="L121" s="102">
        <f t="shared" si="60"/>
        <v>9.3706367460098523</v>
      </c>
      <c r="M121" s="102">
        <f t="shared" si="60"/>
        <v>10.354093612923315</v>
      </c>
      <c r="N121" s="102">
        <f t="shared" si="60"/>
        <v>10.66062852384084</v>
      </c>
      <c r="O121" s="102">
        <f t="shared" si="60"/>
        <v>10.40661629557753</v>
      </c>
      <c r="P121" s="102">
        <f t="shared" si="60"/>
        <v>11.297021807591332</v>
      </c>
      <c r="Q121" s="102">
        <f t="shared" si="60"/>
        <v>10.597404948204254</v>
      </c>
      <c r="R121" s="102">
        <f t="shared" si="60"/>
        <v>10.580493012965055</v>
      </c>
      <c r="S121" s="102">
        <f t="shared" si="60"/>
        <v>10.627395623775202</v>
      </c>
      <c r="T121" s="102">
        <f t="shared" si="60"/>
        <v>10.490813209950533</v>
      </c>
      <c r="U121" s="102">
        <f t="shared" si="60"/>
        <v>10.694702248407667</v>
      </c>
      <c r="V121" s="102">
        <v>0</v>
      </c>
      <c r="W121" s="102">
        <v>1</v>
      </c>
      <c r="X121" s="102">
        <v>2</v>
      </c>
      <c r="Y121" s="102">
        <v>3</v>
      </c>
      <c r="Z121" s="102">
        <v>4</v>
      </c>
      <c r="AA121" s="102">
        <v>5</v>
      </c>
      <c r="AB121" s="102">
        <v>6</v>
      </c>
      <c r="AC121" s="102">
        <v>7</v>
      </c>
      <c r="AD121" s="102">
        <v>8</v>
      </c>
      <c r="AE121" s="102">
        <v>9</v>
      </c>
      <c r="AF121" s="102">
        <v>10</v>
      </c>
      <c r="AG121" s="102">
        <v>11</v>
      </c>
      <c r="AH121" s="102">
        <v>12</v>
      </c>
      <c r="AI121" s="102">
        <v>13</v>
      </c>
      <c r="AJ121" s="102">
        <v>14</v>
      </c>
      <c r="AK121" s="102">
        <v>15</v>
      </c>
    </row>
    <row r="122" spans="1:37" x14ac:dyDescent="0.2">
      <c r="A122" s="53" t="s">
        <v>93</v>
      </c>
      <c r="B122" s="101">
        <f>monthly_data!$W8/3.31/1000000</f>
        <v>4.7747570996978848</v>
      </c>
      <c r="C122" s="101">
        <f>monthly_data!$W20/3.31/1000000</f>
        <v>8.6370256797583078</v>
      </c>
      <c r="D122" s="101">
        <f>monthly_data!$W32/3.31/1000000</f>
        <v>7.6273108761329302</v>
      </c>
      <c r="E122" s="101">
        <f>monthly_data!$W44/3.31/1000000</f>
        <v>10.220763746223565</v>
      </c>
      <c r="F122" s="101">
        <f>monthly_data!$W56/3.31/1000000</f>
        <v>7.856196374622356</v>
      </c>
      <c r="G122" s="101">
        <f>monthly_data!$W68/3.31/1000000</f>
        <v>10.998362537764351</v>
      </c>
      <c r="H122" s="101">
        <f>monthly_data!$W80/3.31/1000000</f>
        <v>8.7621525679758303</v>
      </c>
      <c r="I122" s="101">
        <f>monthly_data!$W92/3.31/1000000</f>
        <v>7.0612794561933532</v>
      </c>
      <c r="J122" s="101">
        <f>monthly_data!$W104/3.31/1000000</f>
        <v>11.24424320241692</v>
      </c>
      <c r="K122" s="101">
        <f>monthly_data!$W116/3.31/1000000</f>
        <v>9.3410057401812683</v>
      </c>
      <c r="L122" s="102">
        <f t="shared" si="60"/>
        <v>8.9947672370640568</v>
      </c>
      <c r="M122" s="102">
        <f t="shared" si="60"/>
        <v>9.5869645322866219</v>
      </c>
      <c r="N122" s="102">
        <f t="shared" si="60"/>
        <v>9.9022723706380642</v>
      </c>
      <c r="O122" s="102">
        <f t="shared" si="60"/>
        <v>9.7633318057086296</v>
      </c>
      <c r="P122" s="102">
        <f t="shared" si="60"/>
        <v>10.276461178171658</v>
      </c>
      <c r="Q122" s="102">
        <f t="shared" si="60"/>
        <v>9.8720719825901426</v>
      </c>
      <c r="R122" s="102">
        <f t="shared" si="60"/>
        <v>9.8036295890621066</v>
      </c>
      <c r="S122" s="102">
        <f t="shared" si="60"/>
        <v>9.8484557572239382</v>
      </c>
      <c r="T122" s="102">
        <f t="shared" si="60"/>
        <v>9.7173710682380197</v>
      </c>
      <c r="U122" s="102">
        <f t="shared" si="60"/>
        <v>9.8814935469706473</v>
      </c>
      <c r="V122" s="102">
        <v>0</v>
      </c>
      <c r="W122" s="102">
        <v>1</v>
      </c>
      <c r="X122" s="102">
        <v>2</v>
      </c>
      <c r="Y122" s="102">
        <v>3</v>
      </c>
      <c r="Z122" s="102">
        <v>4</v>
      </c>
      <c r="AA122" s="102">
        <v>5</v>
      </c>
      <c r="AB122" s="102">
        <v>6</v>
      </c>
      <c r="AC122" s="102">
        <v>7</v>
      </c>
      <c r="AD122" s="102">
        <v>8</v>
      </c>
      <c r="AE122" s="102">
        <v>9</v>
      </c>
      <c r="AF122" s="102">
        <v>10</v>
      </c>
      <c r="AG122" s="102">
        <v>11</v>
      </c>
      <c r="AH122" s="102">
        <v>12</v>
      </c>
      <c r="AI122" s="102">
        <v>13</v>
      </c>
      <c r="AJ122" s="102">
        <v>14</v>
      </c>
      <c r="AK122" s="102">
        <v>15</v>
      </c>
    </row>
    <row r="123" spans="1:37" x14ac:dyDescent="0.2">
      <c r="A123" s="53" t="s">
        <v>94</v>
      </c>
      <c r="B123" s="101">
        <f>monthly_data!$W9/3.31/1000000</f>
        <v>5.3984694864048333</v>
      </c>
      <c r="C123" s="101">
        <f>monthly_data!$W21/3.31/1000000</f>
        <v>13.935115407854985</v>
      </c>
      <c r="D123" s="101">
        <f>monthly_data!$W33/3.31/1000000</f>
        <v>5.1414120845921447</v>
      </c>
      <c r="E123" s="101">
        <f>monthly_data!$W45/3.31/1000000</f>
        <v>5.0343108761329303</v>
      </c>
      <c r="F123" s="101">
        <f>monthly_data!$W57/3.31/1000000</f>
        <v>7.7376129909365563</v>
      </c>
      <c r="G123" s="101">
        <f>monthly_data!$W69/3.31/1000000</f>
        <v>9.7662788519637456</v>
      </c>
      <c r="H123" s="101">
        <f>monthly_data!$W81/3.31/1000000</f>
        <v>9.142130211480362</v>
      </c>
      <c r="I123" s="101">
        <f>monthly_data!$W93/3.31/1000000</f>
        <v>7.5650066465256804</v>
      </c>
      <c r="J123" s="101">
        <f>monthly_data!$W105/3.31/1000000</f>
        <v>12.680037764350454</v>
      </c>
      <c r="K123" s="101">
        <f>monthly_data!$W117/3.31/1000000</f>
        <v>11.22112175226586</v>
      </c>
      <c r="L123" s="102">
        <f t="shared" si="60"/>
        <v>9.5578113574157406</v>
      </c>
      <c r="M123" s="102">
        <f t="shared" si="60"/>
        <v>10.592602865553593</v>
      </c>
      <c r="N123" s="102">
        <f t="shared" si="60"/>
        <v>11.056471430357735</v>
      </c>
      <c r="O123" s="102">
        <f t="shared" si="60"/>
        <v>10.96487303877605</v>
      </c>
      <c r="P123" s="102">
        <f t="shared" si="60"/>
        <v>11.529921901862291</v>
      </c>
      <c r="Q123" s="102">
        <f t="shared" si="60"/>
        <v>10.925502286153725</v>
      </c>
      <c r="R123" s="102">
        <f t="shared" si="60"/>
        <v>10.928495512880339</v>
      </c>
      <c r="S123" s="102">
        <f t="shared" si="60"/>
        <v>10.997195696206219</v>
      </c>
      <c r="T123" s="102">
        <f t="shared" si="60"/>
        <v>10.850981476983335</v>
      </c>
      <c r="U123" s="102">
        <f t="shared" si="60"/>
        <v>11.021764282597834</v>
      </c>
      <c r="V123" s="102">
        <v>0</v>
      </c>
      <c r="W123" s="102">
        <v>1</v>
      </c>
      <c r="X123" s="102">
        <v>2</v>
      </c>
      <c r="Y123" s="102">
        <v>3</v>
      </c>
      <c r="Z123" s="102">
        <v>4</v>
      </c>
      <c r="AA123" s="102">
        <v>5</v>
      </c>
      <c r="AB123" s="102">
        <v>6</v>
      </c>
      <c r="AC123" s="102">
        <v>7</v>
      </c>
      <c r="AD123" s="102">
        <v>8</v>
      </c>
      <c r="AE123" s="102">
        <v>9</v>
      </c>
      <c r="AF123" s="102">
        <v>10</v>
      </c>
      <c r="AG123" s="102">
        <v>11</v>
      </c>
      <c r="AH123" s="102">
        <v>12</v>
      </c>
      <c r="AI123" s="102">
        <v>13</v>
      </c>
      <c r="AJ123" s="102">
        <v>14</v>
      </c>
      <c r="AK123" s="102">
        <v>15</v>
      </c>
    </row>
    <row r="124" spans="1:37" x14ac:dyDescent="0.2">
      <c r="A124" s="53" t="s">
        <v>95</v>
      </c>
      <c r="B124" s="101">
        <f>monthly_data!$W10/3.31/1000000</f>
        <v>13.288181268882177</v>
      </c>
      <c r="C124" s="101">
        <f>monthly_data!$W22/3.31/1000000</f>
        <v>8.8854746223564955</v>
      </c>
      <c r="D124" s="101">
        <f>monthly_data!$W34/3.31/1000000</f>
        <v>7.1649540785498491</v>
      </c>
      <c r="E124" s="101">
        <f>monthly_data!$W46/3.31/1000000</f>
        <v>6.0257519637462238</v>
      </c>
      <c r="F124" s="101">
        <f>monthly_data!$W58/3.31/1000000</f>
        <v>8.4802244712990937</v>
      </c>
      <c r="G124" s="101">
        <f>monthly_data!$W70/3.31/1000000</f>
        <v>11.824981570996979</v>
      </c>
      <c r="H124" s="101">
        <f>monthly_data!$W82/3.31/1000000</f>
        <v>10.366770392749244</v>
      </c>
      <c r="I124" s="101">
        <f>monthly_data!$W94/3.31/1000000</f>
        <v>8.1434918429003016</v>
      </c>
      <c r="J124" s="101">
        <f>monthly_data!$W106/3.31/1000000</f>
        <v>13.359262235649547</v>
      </c>
      <c r="K124" s="101">
        <f>monthly_data!$W118/3.31/1000000</f>
        <v>12.79172084592145</v>
      </c>
      <c r="L124" s="102">
        <f t="shared" si="60"/>
        <v>10.717404533166835</v>
      </c>
      <c r="M124" s="102">
        <f t="shared" si="60"/>
        <v>11.693234169751491</v>
      </c>
      <c r="N124" s="102">
        <f t="shared" si="60"/>
        <v>12.146454958591573</v>
      </c>
      <c r="O124" s="102">
        <f t="shared" si="60"/>
        <v>12.079113890964368</v>
      </c>
      <c r="P124" s="102">
        <f t="shared" si="60"/>
        <v>12.833159917957389</v>
      </c>
      <c r="Q124" s="102">
        <f t="shared" si="60"/>
        <v>12.098926943588598</v>
      </c>
      <c r="R124" s="102">
        <f t="shared" si="60"/>
        <v>12.075835598441863</v>
      </c>
      <c r="S124" s="102">
        <f t="shared" si="60"/>
        <v>12.154019968688285</v>
      </c>
      <c r="T124" s="102">
        <f t="shared" si="60"/>
        <v>12.006752188104867</v>
      </c>
      <c r="U124" s="102">
        <f t="shared" si="60"/>
        <v>12.206433789347765</v>
      </c>
      <c r="V124" s="102">
        <v>0</v>
      </c>
      <c r="W124" s="102">
        <v>1</v>
      </c>
      <c r="X124" s="102">
        <v>2</v>
      </c>
      <c r="Y124" s="102">
        <v>3</v>
      </c>
      <c r="Z124" s="102">
        <v>4</v>
      </c>
      <c r="AA124" s="102">
        <v>5</v>
      </c>
      <c r="AB124" s="102">
        <v>6</v>
      </c>
      <c r="AC124" s="102">
        <v>7</v>
      </c>
      <c r="AD124" s="102">
        <v>8</v>
      </c>
      <c r="AE124" s="102">
        <v>9</v>
      </c>
      <c r="AF124" s="102">
        <v>10</v>
      </c>
      <c r="AG124" s="102">
        <v>11</v>
      </c>
      <c r="AH124" s="102">
        <v>12</v>
      </c>
      <c r="AI124" s="102">
        <v>13</v>
      </c>
      <c r="AJ124" s="102">
        <v>14</v>
      </c>
      <c r="AK124" s="102">
        <v>15</v>
      </c>
    </row>
    <row r="125" spans="1:37" x14ac:dyDescent="0.2">
      <c r="A125" s="53" t="s">
        <v>96</v>
      </c>
      <c r="B125" s="101">
        <f>monthly_data!$W11/3.31/1000000</f>
        <v>5.0911767371601213</v>
      </c>
      <c r="C125" s="101">
        <f>monthly_data!$W23/3.31/1000000</f>
        <v>11.356001208459215</v>
      </c>
      <c r="D125" s="101">
        <f>monthly_data!$W35/3.31/1000000</f>
        <v>11.530767673716012</v>
      </c>
      <c r="E125" s="101">
        <f>monthly_data!$W47/3.31/1000000</f>
        <v>5.1810519637462233</v>
      </c>
      <c r="F125" s="101">
        <f>monthly_data!$W59/3.31/1000000</f>
        <v>5.2548797583081575</v>
      </c>
      <c r="G125" s="101">
        <f>monthly_data!$W71/3.31/1000000</f>
        <v>11.311236253776435</v>
      </c>
      <c r="H125" s="101">
        <f>monthly_data!$W83/3.31/1000000</f>
        <v>11.394846525679759</v>
      </c>
      <c r="I125" s="101">
        <f>monthly_data!$W95/3.31/1000000</f>
        <v>8.1377126888217521</v>
      </c>
      <c r="J125" s="101">
        <f>monthly_data!$W107/3.31/1000000</f>
        <v>12.764740785498489</v>
      </c>
      <c r="K125" s="101">
        <f>monthly_data!$W119/3.31/1000000</f>
        <v>8.8963326283987918</v>
      </c>
      <c r="L125" s="102">
        <f t="shared" si="60"/>
        <v>9.9620022573774047</v>
      </c>
      <c r="M125" s="102">
        <f t="shared" si="60"/>
        <v>10.801542100389529</v>
      </c>
      <c r="N125" s="102">
        <f t="shared" si="60"/>
        <v>10.830647013165812</v>
      </c>
      <c r="O125" s="102">
        <f t="shared" si="60"/>
        <v>10.596224475234138</v>
      </c>
      <c r="P125" s="102">
        <f t="shared" si="60"/>
        <v>11.031924391970986</v>
      </c>
      <c r="Q125" s="102">
        <f t="shared" si="60"/>
        <v>10.827981424692494</v>
      </c>
      <c r="R125" s="102">
        <f t="shared" si="60"/>
        <v>10.733806099058848</v>
      </c>
      <c r="S125" s="102">
        <f t="shared" si="60"/>
        <v>10.722355289115471</v>
      </c>
      <c r="T125" s="102">
        <f t="shared" si="60"/>
        <v>10.569894854799449</v>
      </c>
      <c r="U125" s="102">
        <f t="shared" si="60"/>
        <v>10.753138221717409</v>
      </c>
      <c r="V125" s="102">
        <v>0</v>
      </c>
      <c r="W125" s="102">
        <v>1</v>
      </c>
      <c r="X125" s="102">
        <v>2</v>
      </c>
      <c r="Y125" s="102">
        <v>3</v>
      </c>
      <c r="Z125" s="102">
        <v>4</v>
      </c>
      <c r="AA125" s="102">
        <v>5</v>
      </c>
      <c r="AB125" s="102">
        <v>6</v>
      </c>
      <c r="AC125" s="102">
        <v>7</v>
      </c>
      <c r="AD125" s="102">
        <v>8</v>
      </c>
      <c r="AE125" s="102">
        <v>9</v>
      </c>
      <c r="AF125" s="102">
        <v>10</v>
      </c>
      <c r="AG125" s="102">
        <v>11</v>
      </c>
      <c r="AH125" s="102">
        <v>12</v>
      </c>
      <c r="AI125" s="102">
        <v>13</v>
      </c>
      <c r="AJ125" s="102">
        <v>14</v>
      </c>
      <c r="AK125" s="102">
        <v>15</v>
      </c>
    </row>
    <row r="126" spans="1:37" x14ac:dyDescent="0.2">
      <c r="A126" s="53" t="s">
        <v>97</v>
      </c>
      <c r="B126" s="101">
        <f>monthly_data!$W12/3.31/1000000</f>
        <v>2.4955513595166163</v>
      </c>
      <c r="C126" s="101">
        <f>monthly_data!$W24/3.31/1000000</f>
        <v>11.647046827794561</v>
      </c>
      <c r="D126" s="101">
        <f>monthly_data!$W36/3.31/1000000</f>
        <v>7.5835513595166164</v>
      </c>
      <c r="E126" s="101">
        <f>monthly_data!$W48/3.31/1000000</f>
        <v>5.5353404833836857</v>
      </c>
      <c r="F126" s="101">
        <f>monthly_data!$W60/3.31/1000000</f>
        <v>6.8054900302114802</v>
      </c>
      <c r="G126" s="101">
        <f>monthly_data!$W72/3.31/1000000</f>
        <v>9.9487259818731122</v>
      </c>
      <c r="H126" s="101">
        <f>monthly_data!$W84/3.31/1000000</f>
        <v>9.4228223564954678</v>
      </c>
      <c r="I126" s="101">
        <f>monthly_data!$W96/3.31/1000000</f>
        <v>8.0218148036253787</v>
      </c>
      <c r="J126" s="101">
        <f>monthly_data!$W108/3.31/1000000</f>
        <v>8.9002302114803626</v>
      </c>
      <c r="K126" s="101">
        <f>monthly_data!$W120/3.31/1000000</f>
        <v>10.599828096676736</v>
      </c>
      <c r="L126" s="102">
        <f t="shared" si="60"/>
        <v>8.8973152450085902</v>
      </c>
      <c r="M126" s="102">
        <f t="shared" si="60"/>
        <v>9.6795672615872999</v>
      </c>
      <c r="N126" s="102">
        <f t="shared" si="60"/>
        <v>9.8745319945059311</v>
      </c>
      <c r="O126" s="102">
        <f t="shared" si="60"/>
        <v>9.540926551729946</v>
      </c>
      <c r="P126" s="102">
        <f t="shared" si="60"/>
        <v>10.493232630887267</v>
      </c>
      <c r="Q126" s="102">
        <f t="shared" si="60"/>
        <v>9.8642954981649922</v>
      </c>
      <c r="R126" s="102">
        <f t="shared" si="60"/>
        <v>9.8138402319846456</v>
      </c>
      <c r="S126" s="102">
        <f t="shared" si="60"/>
        <v>9.8423145818724525</v>
      </c>
      <c r="T126" s="102">
        <f t="shared" si="60"/>
        <v>9.7155397332626432</v>
      </c>
      <c r="U126" s="102">
        <f t="shared" si="60"/>
        <v>9.923645874664393</v>
      </c>
      <c r="V126" s="102">
        <v>0</v>
      </c>
      <c r="W126" s="102">
        <v>1</v>
      </c>
      <c r="X126" s="102">
        <v>2</v>
      </c>
      <c r="Y126" s="102">
        <v>3</v>
      </c>
      <c r="Z126" s="102">
        <v>4</v>
      </c>
      <c r="AA126" s="102">
        <v>5</v>
      </c>
      <c r="AB126" s="102">
        <v>6</v>
      </c>
      <c r="AC126" s="102">
        <v>7</v>
      </c>
      <c r="AD126" s="102">
        <v>8</v>
      </c>
      <c r="AE126" s="102">
        <v>9</v>
      </c>
      <c r="AF126" s="102">
        <v>10</v>
      </c>
      <c r="AG126" s="102">
        <v>11</v>
      </c>
      <c r="AH126" s="102">
        <v>12</v>
      </c>
      <c r="AI126" s="102">
        <v>13</v>
      </c>
      <c r="AJ126" s="102">
        <v>14</v>
      </c>
      <c r="AK126" s="102">
        <v>15</v>
      </c>
    </row>
    <row r="127" spans="1:37" x14ac:dyDescent="0.2">
      <c r="A127" s="53" t="s">
        <v>98</v>
      </c>
      <c r="B127" s="101">
        <f>monthly_data!$W13/3.31/1000000</f>
        <v>7.0579987915407854</v>
      </c>
      <c r="C127" s="101">
        <f>monthly_data!$W25/3.31/1000000</f>
        <v>6.5096386706948648</v>
      </c>
      <c r="D127" s="101">
        <f>monthly_data!$W37/3.31/1000000</f>
        <v>11.902573716012085</v>
      </c>
      <c r="E127" s="101">
        <f>monthly_data!$W49/3.31/1000000</f>
        <v>6.5306685800604223</v>
      </c>
      <c r="F127" s="101">
        <f>monthly_data!$W61/3.31/1000000</f>
        <v>10.042229305135953</v>
      </c>
      <c r="G127" s="101">
        <f>monthly_data!$W73/3.31/1000000</f>
        <v>10.404207250755288</v>
      </c>
      <c r="H127" s="101">
        <f>monthly_data!$W85/3.31/1000000</f>
        <v>10.349209063444107</v>
      </c>
      <c r="I127" s="101">
        <f>monthly_data!$W97/3.31/1000000</f>
        <v>11.596935951661631</v>
      </c>
      <c r="J127" s="101">
        <f>monthly_data!$W109/3.31/1000000</f>
        <v>12.013876132930513</v>
      </c>
      <c r="K127" s="101">
        <f>monthly_data!$W121/3.31/1000000</f>
        <v>12.13464743202417</v>
      </c>
      <c r="L127" s="102">
        <f t="shared" si="60"/>
        <v>10.719804478112883</v>
      </c>
      <c r="M127" s="102">
        <f t="shared" si="60"/>
        <v>11.996409076333057</v>
      </c>
      <c r="N127" s="102">
        <f t="shared" si="60"/>
        <v>12.522716794602648</v>
      </c>
      <c r="O127" s="102">
        <f t="shared" si="60"/>
        <v>11.816348960575526</v>
      </c>
      <c r="P127" s="102">
        <f t="shared" si="60"/>
        <v>12.781764666531105</v>
      </c>
      <c r="Q127" s="102">
        <f t="shared" si="60"/>
        <v>12.173730012308559</v>
      </c>
      <c r="R127" s="102">
        <f t="shared" si="60"/>
        <v>12.163169230972796</v>
      </c>
      <c r="S127" s="102">
        <f t="shared" si="60"/>
        <v>12.198528249884754</v>
      </c>
      <c r="T127" s="102">
        <f t="shared" si="60"/>
        <v>11.985673055365455</v>
      </c>
      <c r="U127" s="102">
        <f t="shared" si="60"/>
        <v>12.233208016502072</v>
      </c>
      <c r="V127" s="102">
        <v>0</v>
      </c>
      <c r="W127" s="102">
        <v>1</v>
      </c>
      <c r="X127" s="102">
        <v>2</v>
      </c>
      <c r="Y127" s="102">
        <v>3</v>
      </c>
      <c r="Z127" s="102">
        <v>4</v>
      </c>
      <c r="AA127" s="102">
        <v>5</v>
      </c>
      <c r="AB127" s="102">
        <v>6</v>
      </c>
      <c r="AC127" s="102">
        <v>7</v>
      </c>
      <c r="AD127" s="102">
        <v>8</v>
      </c>
      <c r="AE127" s="102">
        <v>9</v>
      </c>
      <c r="AF127" s="102">
        <v>10</v>
      </c>
      <c r="AG127" s="102">
        <v>11</v>
      </c>
      <c r="AH127" s="102">
        <v>12</v>
      </c>
      <c r="AI127" s="102">
        <v>13</v>
      </c>
      <c r="AJ127" s="102">
        <v>14</v>
      </c>
      <c r="AK127" s="102">
        <v>15</v>
      </c>
    </row>
    <row r="128" spans="1:37" x14ac:dyDescent="0.2">
      <c r="A128" s="53" t="s">
        <v>99</v>
      </c>
      <c r="B128" s="101">
        <f>monthly_data!$W14/3.31/1000000</f>
        <v>8.1205737160120854</v>
      </c>
      <c r="C128" s="101">
        <f>monthly_data!$W26/3.31/1000000</f>
        <v>7.138561933534743</v>
      </c>
      <c r="D128" s="101">
        <f>monthly_data!$W38/3.31/1000000</f>
        <v>6.6929030211480365</v>
      </c>
      <c r="E128" s="101">
        <f>monthly_data!$W50/3.31/1000000</f>
        <v>8.7744069486404825</v>
      </c>
      <c r="F128" s="101">
        <f>monthly_data!$W62/3.31/1000000</f>
        <v>8.7251752265861029</v>
      </c>
      <c r="G128" s="101">
        <f>monthly_data!$W74/3.31/1000000</f>
        <v>11.155175528700907</v>
      </c>
      <c r="H128" s="101">
        <f>monthly_data!$W86/3.31/1000000</f>
        <v>10.269883987915408</v>
      </c>
      <c r="I128" s="101">
        <f>monthly_data!$W98/3.31/1000000</f>
        <v>12.231196374622357</v>
      </c>
      <c r="J128" s="101">
        <f>monthly_data!$W110/3.31/1000000</f>
        <v>11.066951661631419</v>
      </c>
      <c r="K128" s="101">
        <f>monthly_data!$W122/3.31/1000000</f>
        <v>12.250589425981874</v>
      </c>
      <c r="L128" s="102">
        <f t="shared" si="60"/>
        <v>10.809913560366388</v>
      </c>
      <c r="M128" s="102">
        <f t="shared" si="60"/>
        <v>11.957148149275785</v>
      </c>
      <c r="N128" s="102">
        <f t="shared" si="60"/>
        <v>12.491470040425932</v>
      </c>
      <c r="O128" s="102">
        <f t="shared" si="60"/>
        <v>11.654908095444148</v>
      </c>
      <c r="P128" s="102">
        <f t="shared" si="60"/>
        <v>12.776172239116661</v>
      </c>
      <c r="Q128" s="102">
        <f t="shared" si="60"/>
        <v>12.143735281229256</v>
      </c>
      <c r="R128" s="102">
        <f t="shared" si="60"/>
        <v>12.110076873656123</v>
      </c>
      <c r="S128" s="102">
        <f t="shared" si="60"/>
        <v>12.142680678471985</v>
      </c>
      <c r="T128" s="102">
        <f t="shared" si="60"/>
        <v>11.925685824540292</v>
      </c>
      <c r="U128" s="102">
        <f t="shared" si="60"/>
        <v>12.192396446173973</v>
      </c>
      <c r="V128" s="102">
        <v>0</v>
      </c>
      <c r="W128" s="102">
        <v>1</v>
      </c>
      <c r="X128" s="102">
        <v>2</v>
      </c>
      <c r="Y128" s="102">
        <v>3</v>
      </c>
      <c r="Z128" s="102">
        <v>4</v>
      </c>
      <c r="AA128" s="102">
        <v>5</v>
      </c>
      <c r="AB128" s="102">
        <v>6</v>
      </c>
      <c r="AC128" s="102">
        <v>7</v>
      </c>
      <c r="AD128" s="102">
        <v>8</v>
      </c>
      <c r="AE128" s="102">
        <v>9</v>
      </c>
      <c r="AF128" s="102">
        <v>10</v>
      </c>
      <c r="AG128" s="102">
        <v>11</v>
      </c>
      <c r="AH128" s="102">
        <v>12</v>
      </c>
      <c r="AI128" s="102">
        <v>13</v>
      </c>
      <c r="AJ128" s="102">
        <v>14</v>
      </c>
      <c r="AK128" s="102">
        <v>15</v>
      </c>
    </row>
    <row r="129" spans="1:37" x14ac:dyDescent="0.2">
      <c r="A129" s="53" t="s">
        <v>100</v>
      </c>
      <c r="B129" s="101">
        <f>monthly_data!$W15/3.31/1000000</f>
        <v>3.0640981873111781</v>
      </c>
      <c r="C129" s="101">
        <f>monthly_data!$W27/3.31/1000000</f>
        <v>15.892274622356496</v>
      </c>
      <c r="D129" s="101">
        <f>monthly_data!$W39/3.31/1000000</f>
        <v>9.1261779456193359</v>
      </c>
      <c r="E129" s="101">
        <f>monthly_data!$W51/3.31/1000000</f>
        <v>4.3261519637462236</v>
      </c>
      <c r="F129" s="101">
        <f>monthly_data!$W63/3.31/1000000</f>
        <v>10.007139274924471</v>
      </c>
      <c r="G129" s="101">
        <f>monthly_data!$W75/3.31/1000000</f>
        <v>9.7223975830815714</v>
      </c>
      <c r="H129" s="101">
        <f>monthly_data!$W87/3.31/1000000</f>
        <v>10.543000604229606</v>
      </c>
      <c r="I129" s="101">
        <f>monthly_data!$W99/3.31/1000000</f>
        <v>9.7985990936555876</v>
      </c>
      <c r="J129" s="101">
        <f>monthly_data!$W111/3.31/1000000</f>
        <v>12.122292749244712</v>
      </c>
      <c r="K129" s="101">
        <f>monthly_data!$W123/3.31/1000000</f>
        <v>8.4992214501510581</v>
      </c>
      <c r="L129" s="102">
        <f>L130-SUM(L118:L128)</f>
        <v>9.6168067939908326</v>
      </c>
      <c r="M129" s="102">
        <f>M130-SUM(M118:M128)</f>
        <v>10.679979712910296</v>
      </c>
      <c r="N129" s="102">
        <f t="shared" ref="N129:T129" si="61">N130-SUM(N118:N128)</f>
        <v>10.863756364328466</v>
      </c>
      <c r="O129" s="102">
        <f t="shared" si="61"/>
        <v>10.303099660224206</v>
      </c>
      <c r="P129" s="102">
        <f t="shared" si="61"/>
        <v>10.789227232299027</v>
      </c>
      <c r="Q129" s="102">
        <f t="shared" si="61"/>
        <v>10.630744545565065</v>
      </c>
      <c r="R129" s="102">
        <f t="shared" si="61"/>
        <v>10.570777381701561</v>
      </c>
      <c r="S129" s="102">
        <f>S130-SUM(S118:S128)</f>
        <v>10.551065782439295</v>
      </c>
      <c r="T129" s="102">
        <f t="shared" si="61"/>
        <v>10.360627855908518</v>
      </c>
      <c r="U129" s="102">
        <f>U130-SUM(U118:U128)</f>
        <v>10.556873403185776</v>
      </c>
      <c r="V129" s="102">
        <f>V130-SUM(V118:V128)</f>
        <v>130.41891628518789</v>
      </c>
      <c r="W129" s="102">
        <f t="shared" ref="W129:AK129" si="62">W130-SUM(W118:W128)</f>
        <v>121.6226748475319</v>
      </c>
      <c r="X129" s="102">
        <f t="shared" si="62"/>
        <v>111.2122563558973</v>
      </c>
      <c r="Y129" s="102">
        <f t="shared" si="62"/>
        <v>101.11364772126029</v>
      </c>
      <c r="Z129" s="102">
        <f t="shared" si="62"/>
        <v>90.964182901702003</v>
      </c>
      <c r="AA129" s="102">
        <f t="shared" si="62"/>
        <v>79.995247761945507</v>
      </c>
      <c r="AB129" s="102">
        <f t="shared" si="62"/>
        <v>69.830052212961874</v>
      </c>
      <c r="AC129" s="102">
        <f t="shared" si="62"/>
        <v>59.839219683911466</v>
      </c>
      <c r="AD129" s="102">
        <f t="shared" si="62"/>
        <v>50.17203825320658</v>
      </c>
      <c r="AE129" s="102">
        <f t="shared" si="62"/>
        <v>39.859742422785899</v>
      </c>
      <c r="AF129" s="102">
        <f t="shared" si="62"/>
        <v>29.567114758481438</v>
      </c>
      <c r="AG129" s="102">
        <f t="shared" si="62"/>
        <v>19.172664336327074</v>
      </c>
      <c r="AH129" s="102">
        <f t="shared" si="62"/>
        <v>9.0282657256872767</v>
      </c>
      <c r="AI129" s="102">
        <f t="shared" si="62"/>
        <v>-1.1246295981017909</v>
      </c>
      <c r="AJ129" s="102">
        <f t="shared" si="62"/>
        <v>-11.251298458533228</v>
      </c>
      <c r="AK129" s="102">
        <f t="shared" si="62"/>
        <v>-21.341791943415302</v>
      </c>
    </row>
    <row r="130" spans="1:37" x14ac:dyDescent="0.2">
      <c r="A130" s="86" t="s">
        <v>101</v>
      </c>
      <c r="B130" s="87">
        <f t="shared" ref="B130:K130" si="63">SUM(B118:B129)</f>
        <v>63.588522054380668</v>
      </c>
      <c r="C130" s="87">
        <f t="shared" si="63"/>
        <v>112.84087129909368</v>
      </c>
      <c r="D130" s="87">
        <f t="shared" si="63"/>
        <v>87.004440483383689</v>
      </c>
      <c r="E130" s="87">
        <f t="shared" si="63"/>
        <v>79.481198187311165</v>
      </c>
      <c r="F130" s="87">
        <f t="shared" si="63"/>
        <v>90.403033232628403</v>
      </c>
      <c r="G130" s="87">
        <f t="shared" si="63"/>
        <v>119.94631238670695</v>
      </c>
      <c r="H130" s="87">
        <f t="shared" si="63"/>
        <v>117.18088791540785</v>
      </c>
      <c r="I130" s="87">
        <f t="shared" si="63"/>
        <v>100.77522265861028</v>
      </c>
      <c r="J130" s="87">
        <f t="shared" si="63"/>
        <v>137.77448519637463</v>
      </c>
      <c r="K130" s="87">
        <f t="shared" si="63"/>
        <v>130.43216163141994</v>
      </c>
      <c r="L130" s="88">
        <f t="shared" ref="L130:AJ130" si="64">L8</f>
        <v>115</v>
      </c>
      <c r="M130" s="88">
        <f t="shared" si="64"/>
        <v>126.93586635687416</v>
      </c>
      <c r="N130" s="88">
        <f t="shared" si="64"/>
        <v>130.86094510955886</v>
      </c>
      <c r="O130" s="88">
        <f t="shared" si="64"/>
        <v>127.54075227923396</v>
      </c>
      <c r="P130" s="88">
        <f t="shared" si="64"/>
        <v>136.21152504095605</v>
      </c>
      <c r="Q130" s="88">
        <f t="shared" si="64"/>
        <v>129.50467188114089</v>
      </c>
      <c r="R130" s="88">
        <f t="shared" si="64"/>
        <v>129.20136739109543</v>
      </c>
      <c r="S130" s="88">
        <f t="shared" si="64"/>
        <v>129.67503865677872</v>
      </c>
      <c r="T130" s="88">
        <f t="shared" si="64"/>
        <v>127.85546266881447</v>
      </c>
      <c r="U130" s="88">
        <f t="shared" si="64"/>
        <v>130.19836640461835</v>
      </c>
      <c r="V130" s="88">
        <f t="shared" si="64"/>
        <v>130.41891628518789</v>
      </c>
      <c r="W130" s="88">
        <f t="shared" si="64"/>
        <v>132.6226748475319</v>
      </c>
      <c r="X130" s="88">
        <f t="shared" si="64"/>
        <v>133.2122563558973</v>
      </c>
      <c r="Y130" s="88">
        <f t="shared" si="64"/>
        <v>134.11364772126029</v>
      </c>
      <c r="Z130" s="88">
        <f t="shared" si="64"/>
        <v>134.964182901702</v>
      </c>
      <c r="AA130" s="88">
        <f t="shared" si="64"/>
        <v>134.99524776194551</v>
      </c>
      <c r="AB130" s="88">
        <f t="shared" si="64"/>
        <v>135.83005221296187</v>
      </c>
      <c r="AC130" s="88">
        <f t="shared" si="64"/>
        <v>136.83921968391147</v>
      </c>
      <c r="AD130" s="88">
        <f t="shared" si="64"/>
        <v>138.17203825320658</v>
      </c>
      <c r="AE130" s="88">
        <f t="shared" si="64"/>
        <v>138.8597424227859</v>
      </c>
      <c r="AF130" s="88">
        <f t="shared" si="64"/>
        <v>139.56711475848144</v>
      </c>
      <c r="AG130" s="88">
        <f t="shared" si="64"/>
        <v>140.17266433632707</v>
      </c>
      <c r="AH130" s="88">
        <f t="shared" si="64"/>
        <v>141.02826572568728</v>
      </c>
      <c r="AI130" s="88">
        <f t="shared" si="64"/>
        <v>141.87537040189821</v>
      </c>
      <c r="AJ130" s="88">
        <f t="shared" si="64"/>
        <v>142.74870154146677</v>
      </c>
      <c r="AK130" s="88">
        <f>AK8</f>
        <v>143.6582080565847</v>
      </c>
    </row>
  </sheetData>
  <printOptions verticalCentered="1"/>
  <pageMargins left="0.2" right="0.2" top="0.25" bottom="0.25" header="0" footer="0.1"/>
  <pageSetup scale="52" orientation="landscape" r:id="rId1"/>
  <headerFooter>
    <oddFooter>&amp;L&amp;"Arial,Regular"&amp;10&amp;D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DBAEA-481F-4FE7-82C3-EE37C6B8EA55}">
  <sheetPr>
    <pageSetUpPr fitToPage="1"/>
  </sheetPr>
  <dimension ref="A1:AK102"/>
  <sheetViews>
    <sheetView showGridLines="0" zoomScaleNormal="100" workbookViewId="0">
      <pane xSplit="1" ySplit="2" topLeftCell="B3"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1.25" x14ac:dyDescent="0.2"/>
  <cols>
    <col min="1" max="1" width="57.85546875" style="53" customWidth="1"/>
    <col min="2" max="8" width="8.85546875" style="80" customWidth="1"/>
    <col min="9" max="9" width="13.140625" style="80" bestFit="1" customWidth="1"/>
    <col min="10" max="22" width="8.85546875" style="103" customWidth="1"/>
    <col min="23" max="37" width="8.85546875" style="103"/>
    <col min="38" max="16384" width="8.85546875" style="53"/>
  </cols>
  <sheetData>
    <row r="1" spans="1:37" ht="12" thickBot="1" x14ac:dyDescent="0.25">
      <c r="A1" s="47" t="s">
        <v>108</v>
      </c>
      <c r="B1" s="107"/>
      <c r="C1" s="107"/>
      <c r="D1" s="107"/>
      <c r="E1" s="107"/>
      <c r="F1" s="107"/>
      <c r="G1" s="107"/>
      <c r="H1" s="107"/>
      <c r="I1" s="107"/>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row>
    <row r="2" spans="1:37" ht="12" thickTop="1" x14ac:dyDescent="0.2">
      <c r="A2" s="109" t="s">
        <v>74</v>
      </c>
      <c r="B2" s="110">
        <v>2015</v>
      </c>
      <c r="C2" s="110">
        <v>2016</v>
      </c>
      <c r="D2" s="110">
        <v>2017</v>
      </c>
      <c r="E2" s="110">
        <v>2018</v>
      </c>
      <c r="F2" s="110">
        <v>2019</v>
      </c>
      <c r="G2" s="110">
        <v>2020</v>
      </c>
      <c r="H2" s="110">
        <v>2021</v>
      </c>
      <c r="I2" s="110">
        <v>2022</v>
      </c>
      <c r="J2" s="110">
        <v>2023</v>
      </c>
      <c r="K2" s="110">
        <v>2024</v>
      </c>
      <c r="L2" s="110">
        <v>2025</v>
      </c>
      <c r="M2" s="110">
        <v>2026</v>
      </c>
      <c r="N2" s="110">
        <v>2027</v>
      </c>
      <c r="O2" s="110">
        <v>2028</v>
      </c>
      <c r="P2" s="110">
        <v>2029</v>
      </c>
      <c r="Q2" s="110">
        <v>2030</v>
      </c>
      <c r="R2" s="110">
        <v>2031</v>
      </c>
      <c r="S2" s="110">
        <v>2032</v>
      </c>
      <c r="T2" s="110">
        <v>2033</v>
      </c>
      <c r="U2" s="110">
        <v>2034</v>
      </c>
      <c r="V2" s="110">
        <v>2035</v>
      </c>
      <c r="W2" s="110">
        <v>2036</v>
      </c>
      <c r="X2" s="110">
        <v>2037</v>
      </c>
      <c r="Y2" s="110">
        <v>2038</v>
      </c>
      <c r="Z2" s="110">
        <v>2039</v>
      </c>
      <c r="AA2" s="110">
        <v>2040</v>
      </c>
      <c r="AB2" s="110">
        <v>2041</v>
      </c>
      <c r="AC2" s="110">
        <v>2042</v>
      </c>
      <c r="AD2" s="110">
        <v>2043</v>
      </c>
      <c r="AE2" s="110">
        <v>2044</v>
      </c>
      <c r="AF2" s="110">
        <v>2045</v>
      </c>
      <c r="AG2" s="110">
        <v>2046</v>
      </c>
      <c r="AH2" s="110">
        <v>2047</v>
      </c>
      <c r="AI2" s="110">
        <v>2048</v>
      </c>
      <c r="AJ2" s="110">
        <v>2049</v>
      </c>
      <c r="AK2" s="110">
        <v>2050</v>
      </c>
    </row>
    <row r="3" spans="1:37" x14ac:dyDescent="0.2">
      <c r="A3" s="51" t="s">
        <v>75</v>
      </c>
      <c r="B3" s="54">
        <v>0</v>
      </c>
      <c r="C3" s="54">
        <v>0</v>
      </c>
      <c r="D3" s="54">
        <v>0</v>
      </c>
      <c r="E3" s="54">
        <v>0</v>
      </c>
      <c r="F3" s="54">
        <v>0</v>
      </c>
      <c r="G3" s="54">
        <v>0</v>
      </c>
      <c r="H3" s="54">
        <v>0</v>
      </c>
      <c r="I3" s="54">
        <v>0</v>
      </c>
      <c r="J3" s="54">
        <v>0</v>
      </c>
      <c r="K3" s="54">
        <v>0</v>
      </c>
      <c r="L3" s="55">
        <v>0</v>
      </c>
      <c r="M3" s="55">
        <v>0</v>
      </c>
      <c r="N3" s="55">
        <f t="shared" ref="N3:X3" si="0">L10</f>
        <v>0</v>
      </c>
      <c r="O3" s="55">
        <f t="shared" si="0"/>
        <v>0</v>
      </c>
      <c r="P3" s="55">
        <f t="shared" si="0"/>
        <v>0</v>
      </c>
      <c r="Q3" s="55">
        <f t="shared" si="0"/>
        <v>0</v>
      </c>
      <c r="R3" s="55">
        <f t="shared" si="0"/>
        <v>0</v>
      </c>
      <c r="S3" s="55">
        <f t="shared" si="0"/>
        <v>0</v>
      </c>
      <c r="T3" s="55">
        <f t="shared" si="0"/>
        <v>0</v>
      </c>
      <c r="U3" s="55">
        <f t="shared" si="0"/>
        <v>0</v>
      </c>
      <c r="V3" s="55">
        <f t="shared" si="0"/>
        <v>0</v>
      </c>
      <c r="W3" s="55">
        <f t="shared" si="0"/>
        <v>0</v>
      </c>
      <c r="X3" s="55">
        <f t="shared" si="0"/>
        <v>0</v>
      </c>
      <c r="Y3" s="55">
        <f>W10</f>
        <v>0</v>
      </c>
      <c r="Z3" s="55">
        <f t="shared" ref="Z3:AK3" si="1">X10</f>
        <v>0</v>
      </c>
      <c r="AA3" s="55">
        <f t="shared" si="1"/>
        <v>0</v>
      </c>
      <c r="AB3" s="55">
        <f t="shared" si="1"/>
        <v>0</v>
      </c>
      <c r="AC3" s="55">
        <f t="shared" si="1"/>
        <v>0</v>
      </c>
      <c r="AD3" s="55">
        <f t="shared" si="1"/>
        <v>0</v>
      </c>
      <c r="AE3" s="55">
        <f t="shared" si="1"/>
        <v>0</v>
      </c>
      <c r="AF3" s="55">
        <f t="shared" si="1"/>
        <v>0</v>
      </c>
      <c r="AG3" s="55">
        <f t="shared" si="1"/>
        <v>0</v>
      </c>
      <c r="AH3" s="55">
        <f t="shared" si="1"/>
        <v>0</v>
      </c>
      <c r="AI3" s="55">
        <f t="shared" si="1"/>
        <v>0</v>
      </c>
      <c r="AJ3" s="55">
        <f t="shared" si="1"/>
        <v>0</v>
      </c>
      <c r="AK3" s="55">
        <f t="shared" si="1"/>
        <v>0</v>
      </c>
    </row>
    <row r="4" spans="1:37" x14ac:dyDescent="0.2">
      <c r="A4" s="51" t="s">
        <v>76</v>
      </c>
      <c r="B4" s="54">
        <v>0</v>
      </c>
      <c r="C4" s="54">
        <v>0</v>
      </c>
      <c r="D4" s="54">
        <v>0</v>
      </c>
      <c r="E4" s="54">
        <v>0</v>
      </c>
      <c r="F4" s="54">
        <v>0</v>
      </c>
      <c r="G4" s="54">
        <v>0</v>
      </c>
      <c r="H4" s="54">
        <v>0</v>
      </c>
      <c r="I4" s="54">
        <v>0</v>
      </c>
      <c r="J4" s="54">
        <f>J36</f>
        <v>3.7</v>
      </c>
      <c r="K4" s="54">
        <f>K36</f>
        <v>137.95294828800002</v>
      </c>
      <c r="L4" s="55">
        <f>L19*0.8</f>
        <v>230.59999999999997</v>
      </c>
      <c r="M4" s="55">
        <f>M19*0.8</f>
        <v>247.39999999999998</v>
      </c>
      <c r="N4" s="55">
        <f>N19*0.8</f>
        <v>252.19999999999996</v>
      </c>
      <c r="O4" s="55">
        <f>O19*0.6</f>
        <v>256.94999999999993</v>
      </c>
      <c r="P4" s="55">
        <f>P19*0.65</f>
        <v>278.36249999999995</v>
      </c>
      <c r="Q4" s="55">
        <f>Q19*0.75</f>
        <v>321.18749999999994</v>
      </c>
      <c r="R4" s="55">
        <f>R19*0.76</f>
        <v>325.46999999999997</v>
      </c>
      <c r="S4" s="55">
        <f>S19*0.78</f>
        <v>334.03499999999997</v>
      </c>
      <c r="T4" s="55">
        <f>T19*0.8</f>
        <v>342.59999999999997</v>
      </c>
      <c r="U4" s="55">
        <f>U19*0.82</f>
        <v>351.16499999999991</v>
      </c>
      <c r="V4" s="55">
        <f>V19*0.85</f>
        <v>364.01249999999993</v>
      </c>
      <c r="W4" s="55">
        <f t="shared" ref="W4:AK4" si="2">W19*0.85</f>
        <v>364.01249999999993</v>
      </c>
      <c r="X4" s="55">
        <f t="shared" si="2"/>
        <v>364.01249999999993</v>
      </c>
      <c r="Y4" s="55">
        <f t="shared" si="2"/>
        <v>364.01249999999993</v>
      </c>
      <c r="Z4" s="55">
        <f t="shared" si="2"/>
        <v>364.01249999999993</v>
      </c>
      <c r="AA4" s="55">
        <f t="shared" si="2"/>
        <v>364.01249999999993</v>
      </c>
      <c r="AB4" s="55">
        <f t="shared" si="2"/>
        <v>364.01249999999993</v>
      </c>
      <c r="AC4" s="55">
        <f t="shared" si="2"/>
        <v>364.01249999999993</v>
      </c>
      <c r="AD4" s="55">
        <f t="shared" si="2"/>
        <v>364.01249999999993</v>
      </c>
      <c r="AE4" s="55">
        <f t="shared" si="2"/>
        <v>364.01249999999993</v>
      </c>
      <c r="AF4" s="55">
        <f t="shared" si="2"/>
        <v>364.01249999999993</v>
      </c>
      <c r="AG4" s="55">
        <f t="shared" si="2"/>
        <v>364.01249999999993</v>
      </c>
      <c r="AH4" s="55">
        <f t="shared" si="2"/>
        <v>364.01249999999993</v>
      </c>
      <c r="AI4" s="55">
        <f t="shared" si="2"/>
        <v>364.01249999999993</v>
      </c>
      <c r="AJ4" s="55">
        <f t="shared" si="2"/>
        <v>364.01249999999993</v>
      </c>
      <c r="AK4" s="55">
        <f t="shared" si="2"/>
        <v>364.01249999999993</v>
      </c>
    </row>
    <row r="5" spans="1:37" x14ac:dyDescent="0.2">
      <c r="A5" s="71" t="s">
        <v>77</v>
      </c>
      <c r="B5" s="111">
        <v>0</v>
      </c>
      <c r="C5" s="111">
        <v>0</v>
      </c>
      <c r="D5" s="111">
        <v>0</v>
      </c>
      <c r="E5" s="111">
        <v>0</v>
      </c>
      <c r="F5" s="111">
        <v>0</v>
      </c>
      <c r="G5" s="111">
        <v>0</v>
      </c>
      <c r="H5" s="111">
        <v>0</v>
      </c>
      <c r="I5" s="111">
        <f>annual_data!T12*0.26417/1000</f>
        <v>37.533273600000001</v>
      </c>
      <c r="J5" s="111">
        <f>J52</f>
        <v>110.62620673000001</v>
      </c>
      <c r="K5" s="111">
        <f>K52</f>
        <v>273.06962313000008</v>
      </c>
      <c r="L5" s="112">
        <f>K5*0.5</f>
        <v>136.53481156500004</v>
      </c>
      <c r="M5" s="112">
        <f>L5*1.25</f>
        <v>170.66851445625005</v>
      </c>
      <c r="N5" s="112">
        <f>AVERAGE(J5:M5)</f>
        <v>172.72478897031255</v>
      </c>
      <c r="O5" s="112">
        <f>AVERAGE(J5:N5)</f>
        <v>172.72478897031255</v>
      </c>
      <c r="P5" s="112">
        <f>AVERAGE(K5:O5)</f>
        <v>185.14450541837505</v>
      </c>
      <c r="Q5" s="112">
        <f>AVERAGE(L5:P5)+20</f>
        <v>187.55948187605003</v>
      </c>
      <c r="R5" s="112">
        <f>AVERAGE(K5:Q5)</f>
        <v>185.48950205518577</v>
      </c>
      <c r="S5" s="112">
        <f>AVERAGE(L5:R5)+20</f>
        <v>192.97805618735515</v>
      </c>
      <c r="T5" s="112">
        <f>AVERAGE(M5:S5)+15</f>
        <v>196.04137684769162</v>
      </c>
      <c r="U5" s="112">
        <f>AVERAGE(N5:T5)+15</f>
        <v>199.66607147504038</v>
      </c>
      <c r="V5" s="112">
        <f>AVERAGE(O5:U5)+12</f>
        <v>200.51482611857293</v>
      </c>
      <c r="W5" s="112">
        <f t="shared" ref="W5:AK5" si="3">AVERAGE(P5:V5)+12</f>
        <v>204.48483142546729</v>
      </c>
      <c r="X5" s="112">
        <f t="shared" si="3"/>
        <v>207.2477351407662</v>
      </c>
      <c r="Y5" s="112">
        <f t="shared" si="3"/>
        <v>210.06034275001136</v>
      </c>
      <c r="Z5" s="112">
        <f t="shared" si="3"/>
        <v>213.57046284927216</v>
      </c>
      <c r="AA5" s="112">
        <f t="shared" si="3"/>
        <v>216.51223522954598</v>
      </c>
      <c r="AB5" s="112">
        <f t="shared" si="3"/>
        <v>219.43664356981088</v>
      </c>
      <c r="AC5" s="112">
        <f t="shared" si="3"/>
        <v>222.26101101192097</v>
      </c>
      <c r="AD5" s="112">
        <f t="shared" si="3"/>
        <v>225.36760885382787</v>
      </c>
      <c r="AE5" s="112">
        <f t="shared" si="3"/>
        <v>228.3508627721651</v>
      </c>
      <c r="AF5" s="112">
        <f t="shared" si="3"/>
        <v>231.36559529093637</v>
      </c>
      <c r="AG5" s="112">
        <f t="shared" si="3"/>
        <v>234.40920279678281</v>
      </c>
      <c r="AH5" s="112">
        <f t="shared" si="3"/>
        <v>237.38616564642714</v>
      </c>
      <c r="AI5" s="112">
        <f t="shared" si="3"/>
        <v>240.36815570598159</v>
      </c>
      <c r="AJ5" s="112">
        <f t="shared" si="3"/>
        <v>243.35837172543455</v>
      </c>
      <c r="AK5" s="112">
        <f t="shared" si="3"/>
        <v>246.37228039879363</v>
      </c>
    </row>
    <row r="6" spans="1:37" x14ac:dyDescent="0.2">
      <c r="A6" s="62" t="s">
        <v>78</v>
      </c>
      <c r="B6" s="63">
        <f t="shared" ref="B6:T6" si="4">B3+B4+B5</f>
        <v>0</v>
      </c>
      <c r="C6" s="63">
        <f t="shared" si="4"/>
        <v>0</v>
      </c>
      <c r="D6" s="63">
        <f t="shared" si="4"/>
        <v>0</v>
      </c>
      <c r="E6" s="63">
        <f t="shared" si="4"/>
        <v>0</v>
      </c>
      <c r="F6" s="63">
        <f t="shared" si="4"/>
        <v>0</v>
      </c>
      <c r="G6" s="63">
        <f t="shared" si="4"/>
        <v>0</v>
      </c>
      <c r="H6" s="63">
        <f t="shared" si="4"/>
        <v>0</v>
      </c>
      <c r="I6" s="63">
        <f t="shared" si="4"/>
        <v>37.533273600000001</v>
      </c>
      <c r="J6" s="63">
        <f>J3+J4+J5</f>
        <v>114.32620673000001</v>
      </c>
      <c r="K6" s="63">
        <f t="shared" si="4"/>
        <v>411.0225714180001</v>
      </c>
      <c r="L6" s="64">
        <f t="shared" si="4"/>
        <v>367.13481156500001</v>
      </c>
      <c r="M6" s="64">
        <f t="shared" si="4"/>
        <v>418.06851445625</v>
      </c>
      <c r="N6" s="64">
        <f t="shared" si="4"/>
        <v>424.92478897031253</v>
      </c>
      <c r="O6" s="64">
        <f t="shared" si="4"/>
        <v>429.67478897031248</v>
      </c>
      <c r="P6" s="64">
        <f t="shared" si="4"/>
        <v>463.507005418375</v>
      </c>
      <c r="Q6" s="64">
        <f t="shared" si="4"/>
        <v>508.74698187604997</v>
      </c>
      <c r="R6" s="64">
        <f t="shared" si="4"/>
        <v>510.95950205518574</v>
      </c>
      <c r="S6" s="64">
        <f t="shared" si="4"/>
        <v>527.01305618735512</v>
      </c>
      <c r="T6" s="64">
        <f t="shared" si="4"/>
        <v>538.64137684769162</v>
      </c>
      <c r="U6" s="64">
        <f>U3+U4+U5</f>
        <v>550.83107147504029</v>
      </c>
      <c r="V6" s="64">
        <f>V3+V4+V5</f>
        <v>564.52732611857289</v>
      </c>
      <c r="W6" s="64">
        <f t="shared" ref="W6:AF6" si="5">W3+W4+W5</f>
        <v>568.49733142546722</v>
      </c>
      <c r="X6" s="64">
        <f t="shared" si="5"/>
        <v>571.2602351407661</v>
      </c>
      <c r="Y6" s="64">
        <f t="shared" si="5"/>
        <v>574.07284275001132</v>
      </c>
      <c r="Z6" s="64">
        <f t="shared" si="5"/>
        <v>577.58296284927212</v>
      </c>
      <c r="AA6" s="64">
        <f t="shared" si="5"/>
        <v>580.52473522954597</v>
      </c>
      <c r="AB6" s="64">
        <f t="shared" si="5"/>
        <v>583.44914356981076</v>
      </c>
      <c r="AC6" s="64">
        <f t="shared" si="5"/>
        <v>586.27351101192085</v>
      </c>
      <c r="AD6" s="64">
        <f t="shared" si="5"/>
        <v>589.38010885382778</v>
      </c>
      <c r="AE6" s="64">
        <f t="shared" si="5"/>
        <v>592.36336277216503</v>
      </c>
      <c r="AF6" s="64">
        <f t="shared" si="5"/>
        <v>595.37809529093624</v>
      </c>
      <c r="AG6" s="64">
        <f>AG3+AG4+AG5</f>
        <v>598.42170279678271</v>
      </c>
      <c r="AH6" s="64">
        <f>AH3+AH4+AH5</f>
        <v>601.39866564642705</v>
      </c>
      <c r="AI6" s="64">
        <f>AI3+AI4+AI5</f>
        <v>604.38065570598155</v>
      </c>
      <c r="AJ6" s="64">
        <f>AJ3+AJ4+AJ5</f>
        <v>607.37087172543443</v>
      </c>
      <c r="AK6" s="64">
        <f>AK3+AK4+AK5</f>
        <v>610.38478039879351</v>
      </c>
    </row>
    <row r="7" spans="1:37" x14ac:dyDescent="0.2">
      <c r="A7" s="65" t="s">
        <v>109</v>
      </c>
      <c r="B7" s="54">
        <f>annual_data!$H5*0.26417</f>
        <v>59.174080000000004</v>
      </c>
      <c r="C7" s="54">
        <f>annual_data!$H6*0.26417</f>
        <v>68.948370000000011</v>
      </c>
      <c r="D7" s="54">
        <f>annual_data!$H7*0.26417</f>
        <v>108.57387</v>
      </c>
      <c r="E7" s="54">
        <f>annual_data!$H8*0.26417</f>
        <v>94.572860000000006</v>
      </c>
      <c r="F7" s="54">
        <f>annual_data!$H9*0.26417</f>
        <v>100.38460000000001</v>
      </c>
      <c r="G7" s="54">
        <f>annual_data!$H10*0.26417</f>
        <v>132.08500000000001</v>
      </c>
      <c r="H7" s="54">
        <f>annual_data!$H11*0.26417</f>
        <v>127.32994000000001</v>
      </c>
      <c r="I7" s="54">
        <f>annual_data!$H12*0.26417</f>
        <v>100.38460000000001</v>
      </c>
      <c r="J7" s="54">
        <f>annual_data!$H13*0.26417</f>
        <v>228.50705000000002</v>
      </c>
      <c r="K7" s="113">
        <f t="shared" ref="K7:T7" si="6">K6</f>
        <v>411.0225714180001</v>
      </c>
      <c r="L7" s="54">
        <f t="shared" si="6"/>
        <v>367.13481156500001</v>
      </c>
      <c r="M7" s="54">
        <f t="shared" si="6"/>
        <v>418.06851445625</v>
      </c>
      <c r="N7" s="54">
        <f t="shared" si="6"/>
        <v>424.92478897031253</v>
      </c>
      <c r="O7" s="54">
        <f t="shared" si="6"/>
        <v>429.67478897031248</v>
      </c>
      <c r="P7" s="54">
        <f t="shared" si="6"/>
        <v>463.507005418375</v>
      </c>
      <c r="Q7" s="54">
        <f t="shared" si="6"/>
        <v>508.74698187604997</v>
      </c>
      <c r="R7" s="54">
        <f t="shared" si="6"/>
        <v>510.95950205518574</v>
      </c>
      <c r="S7" s="54">
        <f t="shared" si="6"/>
        <v>527.01305618735512</v>
      </c>
      <c r="T7" s="54">
        <f t="shared" si="6"/>
        <v>538.64137684769162</v>
      </c>
      <c r="U7" s="54">
        <f>U6</f>
        <v>550.83107147504029</v>
      </c>
      <c r="V7" s="54">
        <f>V6</f>
        <v>564.52732611857289</v>
      </c>
      <c r="W7" s="54">
        <f t="shared" ref="W7:AF7" si="7">W6</f>
        <v>568.49733142546722</v>
      </c>
      <c r="X7" s="54">
        <f t="shared" si="7"/>
        <v>571.2602351407661</v>
      </c>
      <c r="Y7" s="54">
        <f t="shared" si="7"/>
        <v>574.07284275001132</v>
      </c>
      <c r="Z7" s="54">
        <f t="shared" si="7"/>
        <v>577.58296284927212</v>
      </c>
      <c r="AA7" s="54">
        <f t="shared" si="7"/>
        <v>580.52473522954597</v>
      </c>
      <c r="AB7" s="54">
        <f t="shared" si="7"/>
        <v>583.44914356981076</v>
      </c>
      <c r="AC7" s="54">
        <f t="shared" si="7"/>
        <v>586.27351101192085</v>
      </c>
      <c r="AD7" s="54">
        <f t="shared" si="7"/>
        <v>589.38010885382778</v>
      </c>
      <c r="AE7" s="54">
        <f t="shared" si="7"/>
        <v>592.36336277216503</v>
      </c>
      <c r="AF7" s="54">
        <f t="shared" si="7"/>
        <v>595.37809529093624</v>
      </c>
      <c r="AG7" s="54">
        <f>AG6</f>
        <v>598.42170279678271</v>
      </c>
      <c r="AH7" s="54">
        <f>AH6</f>
        <v>601.39866564642705</v>
      </c>
      <c r="AI7" s="54">
        <f>AI6</f>
        <v>604.38065570598155</v>
      </c>
      <c r="AJ7" s="54">
        <f>AJ6</f>
        <v>607.37087172543443</v>
      </c>
      <c r="AK7" s="54">
        <f>AK6</f>
        <v>610.38478039879351</v>
      </c>
    </row>
    <row r="8" spans="1:37" x14ac:dyDescent="0.2">
      <c r="A8" s="89" t="s">
        <v>48</v>
      </c>
      <c r="B8" s="113">
        <v>0</v>
      </c>
      <c r="C8" s="113">
        <v>0</v>
      </c>
      <c r="D8" s="113">
        <v>0</v>
      </c>
      <c r="E8" s="113">
        <v>0</v>
      </c>
      <c r="F8" s="113">
        <v>0</v>
      </c>
      <c r="G8" s="113">
        <v>0</v>
      </c>
      <c r="H8" s="113">
        <v>0</v>
      </c>
      <c r="I8" s="113">
        <v>0</v>
      </c>
      <c r="J8" s="113">
        <v>0</v>
      </c>
      <c r="K8" s="113">
        <v>0</v>
      </c>
      <c r="L8" s="114">
        <v>0</v>
      </c>
      <c r="M8" s="114">
        <v>0</v>
      </c>
      <c r="N8" s="114">
        <v>0</v>
      </c>
      <c r="O8" s="114">
        <v>0</v>
      </c>
      <c r="P8" s="114">
        <v>0</v>
      </c>
      <c r="Q8" s="114">
        <v>0</v>
      </c>
      <c r="R8" s="114">
        <v>0</v>
      </c>
      <c r="S8" s="114">
        <v>0</v>
      </c>
      <c r="T8" s="114">
        <v>0</v>
      </c>
      <c r="U8" s="114">
        <v>0</v>
      </c>
      <c r="V8" s="114">
        <v>0</v>
      </c>
      <c r="W8" s="114">
        <v>0</v>
      </c>
      <c r="X8" s="114">
        <v>0</v>
      </c>
      <c r="Y8" s="114">
        <v>0</v>
      </c>
      <c r="Z8" s="114">
        <v>0</v>
      </c>
      <c r="AA8" s="114">
        <v>0</v>
      </c>
      <c r="AB8" s="114">
        <v>0</v>
      </c>
      <c r="AC8" s="114">
        <v>0</v>
      </c>
      <c r="AD8" s="114">
        <v>0</v>
      </c>
      <c r="AE8" s="114">
        <v>0</v>
      </c>
      <c r="AF8" s="114">
        <v>0</v>
      </c>
      <c r="AG8" s="114">
        <v>0</v>
      </c>
      <c r="AH8" s="114">
        <v>0</v>
      </c>
      <c r="AI8" s="114">
        <v>0</v>
      </c>
      <c r="AJ8" s="114">
        <v>0</v>
      </c>
      <c r="AK8" s="114">
        <v>0</v>
      </c>
    </row>
    <row r="9" spans="1:37" x14ac:dyDescent="0.2">
      <c r="A9" s="71" t="s">
        <v>80</v>
      </c>
      <c r="B9" s="111">
        <f t="shared" ref="B9:I9" si="8">B7+B8</f>
        <v>59.174080000000004</v>
      </c>
      <c r="C9" s="111">
        <f t="shared" si="8"/>
        <v>68.948370000000011</v>
      </c>
      <c r="D9" s="111">
        <f t="shared" si="8"/>
        <v>108.57387</v>
      </c>
      <c r="E9" s="111">
        <f t="shared" si="8"/>
        <v>94.572860000000006</v>
      </c>
      <c r="F9" s="111">
        <f t="shared" si="8"/>
        <v>100.38460000000001</v>
      </c>
      <c r="G9" s="111">
        <f t="shared" si="8"/>
        <v>132.08500000000001</v>
      </c>
      <c r="H9" s="111">
        <f t="shared" si="8"/>
        <v>127.32994000000001</v>
      </c>
      <c r="I9" s="111">
        <f t="shared" si="8"/>
        <v>100.38460000000001</v>
      </c>
      <c r="J9" s="111">
        <f>J7+J8</f>
        <v>228.50705000000002</v>
      </c>
      <c r="K9" s="111">
        <f t="shared" ref="K9:S9" si="9">SUM(K7:K8)</f>
        <v>411.0225714180001</v>
      </c>
      <c r="L9" s="112">
        <f>L6-L10</f>
        <v>367.13481156500001</v>
      </c>
      <c r="M9" s="112">
        <f t="shared" si="9"/>
        <v>418.06851445625</v>
      </c>
      <c r="N9" s="112">
        <f t="shared" si="9"/>
        <v>424.92478897031253</v>
      </c>
      <c r="O9" s="112">
        <f t="shared" si="9"/>
        <v>429.67478897031248</v>
      </c>
      <c r="P9" s="112">
        <f t="shared" si="9"/>
        <v>463.507005418375</v>
      </c>
      <c r="Q9" s="112">
        <f t="shared" si="9"/>
        <v>508.74698187604997</v>
      </c>
      <c r="R9" s="112">
        <f t="shared" si="9"/>
        <v>510.95950205518574</v>
      </c>
      <c r="S9" s="112">
        <f t="shared" si="9"/>
        <v>527.01305618735512</v>
      </c>
      <c r="T9" s="112">
        <f>SUM(T7:T8)</f>
        <v>538.64137684769162</v>
      </c>
      <c r="U9" s="112">
        <f>SUM(U7:U8)</f>
        <v>550.83107147504029</v>
      </c>
      <c r="V9" s="112">
        <f>SUM(V7:V8)</f>
        <v>564.52732611857289</v>
      </c>
      <c r="W9" s="112">
        <f t="shared" ref="W9:AK9" si="10">SUM(W7:W8)</f>
        <v>568.49733142546722</v>
      </c>
      <c r="X9" s="112">
        <f t="shared" si="10"/>
        <v>571.2602351407661</v>
      </c>
      <c r="Y9" s="112">
        <f t="shared" si="10"/>
        <v>574.07284275001132</v>
      </c>
      <c r="Z9" s="112">
        <f t="shared" si="10"/>
        <v>577.58296284927212</v>
      </c>
      <c r="AA9" s="112">
        <f t="shared" si="10"/>
        <v>580.52473522954597</v>
      </c>
      <c r="AB9" s="112">
        <f t="shared" si="10"/>
        <v>583.44914356981076</v>
      </c>
      <c r="AC9" s="112">
        <f t="shared" si="10"/>
        <v>586.27351101192085</v>
      </c>
      <c r="AD9" s="112">
        <f t="shared" si="10"/>
        <v>589.38010885382778</v>
      </c>
      <c r="AE9" s="112">
        <f t="shared" si="10"/>
        <v>592.36336277216503</v>
      </c>
      <c r="AF9" s="112">
        <f t="shared" si="10"/>
        <v>595.37809529093624</v>
      </c>
      <c r="AG9" s="112">
        <f t="shared" si="10"/>
        <v>598.42170279678271</v>
      </c>
      <c r="AH9" s="112">
        <f t="shared" si="10"/>
        <v>601.39866564642705</v>
      </c>
      <c r="AI9" s="112">
        <f t="shared" si="10"/>
        <v>604.38065570598155</v>
      </c>
      <c r="AJ9" s="112">
        <f t="shared" si="10"/>
        <v>607.37087172543443</v>
      </c>
      <c r="AK9" s="112">
        <f t="shared" si="10"/>
        <v>610.38478039879351</v>
      </c>
    </row>
    <row r="10" spans="1:37" x14ac:dyDescent="0.2">
      <c r="A10" s="115" t="s">
        <v>110</v>
      </c>
      <c r="B10" s="63">
        <v>0</v>
      </c>
      <c r="C10" s="63">
        <v>0</v>
      </c>
      <c r="D10" s="63">
        <v>0</v>
      </c>
      <c r="E10" s="63">
        <v>0</v>
      </c>
      <c r="F10" s="63">
        <v>0</v>
      </c>
      <c r="G10" s="63">
        <v>0</v>
      </c>
      <c r="H10" s="63">
        <v>0</v>
      </c>
      <c r="I10" s="63">
        <v>0</v>
      </c>
      <c r="J10" s="63">
        <v>0</v>
      </c>
      <c r="K10" s="63">
        <f>K6-K9</f>
        <v>0</v>
      </c>
      <c r="L10" s="64">
        <v>0</v>
      </c>
      <c r="M10" s="64">
        <v>0</v>
      </c>
      <c r="N10" s="64">
        <v>0</v>
      </c>
      <c r="O10" s="64">
        <v>0</v>
      </c>
      <c r="P10" s="64">
        <v>0</v>
      </c>
      <c r="Q10" s="64">
        <v>0</v>
      </c>
      <c r="R10" s="64">
        <v>0</v>
      </c>
      <c r="S10" s="64">
        <v>0</v>
      </c>
      <c r="T10" s="64">
        <v>0</v>
      </c>
      <c r="U10" s="64">
        <v>0</v>
      </c>
      <c r="V10" s="64">
        <v>0</v>
      </c>
      <c r="W10" s="64">
        <v>0</v>
      </c>
      <c r="X10" s="64">
        <v>0</v>
      </c>
      <c r="Y10" s="64">
        <v>0</v>
      </c>
      <c r="Z10" s="64">
        <v>0</v>
      </c>
      <c r="AA10" s="64">
        <v>0</v>
      </c>
      <c r="AB10" s="64">
        <v>0</v>
      </c>
      <c r="AC10" s="64">
        <v>0</v>
      </c>
      <c r="AD10" s="64">
        <v>0</v>
      </c>
      <c r="AE10" s="64">
        <v>0</v>
      </c>
      <c r="AF10" s="64">
        <v>0</v>
      </c>
      <c r="AG10" s="64">
        <v>0</v>
      </c>
      <c r="AH10" s="64">
        <v>0</v>
      </c>
      <c r="AI10" s="64">
        <v>0</v>
      </c>
      <c r="AJ10" s="64">
        <v>0</v>
      </c>
      <c r="AK10" s="64">
        <v>0</v>
      </c>
    </row>
    <row r="11" spans="1:37" x14ac:dyDescent="0.2">
      <c r="A11" s="65"/>
      <c r="B11" s="72"/>
      <c r="C11" s="72"/>
      <c r="D11" s="72"/>
      <c r="E11" s="72"/>
      <c r="F11" s="72"/>
      <c r="G11" s="72"/>
      <c r="H11" s="72"/>
      <c r="I11" s="72"/>
      <c r="J11" s="72"/>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x14ac:dyDescent="0.2">
      <c r="A12" s="71" t="s">
        <v>111</v>
      </c>
      <c r="B12" s="67"/>
      <c r="C12" s="67"/>
      <c r="D12" s="67"/>
      <c r="E12" s="67"/>
      <c r="F12" s="67"/>
      <c r="G12" s="67">
        <f>G5+BD!G5</f>
        <v>156.01296948640481</v>
      </c>
      <c r="H12" s="67">
        <f>H5+BD!H5</f>
        <v>152.5574930513595</v>
      </c>
      <c r="I12" s="67">
        <f>I5+BD!I5</f>
        <v>241.79021106223567</v>
      </c>
      <c r="J12" s="67">
        <f>J5+BD!J5</f>
        <v>350.46856020432028</v>
      </c>
      <c r="K12" s="67">
        <f>K5+BD!K5</f>
        <v>448.7295149729004</v>
      </c>
      <c r="L12" s="67">
        <f>L5+BD!L5</f>
        <v>322.20074062844418</v>
      </c>
      <c r="M12" s="67">
        <f>M5+BD!M5</f>
        <v>362.26503543510205</v>
      </c>
      <c r="N12" s="67">
        <f>N5+BD!N5</f>
        <v>372.12911553466301</v>
      </c>
      <c r="O12" s="67">
        <f>O5+BD!O5</f>
        <v>371.15859335508594</v>
      </c>
      <c r="P12" s="67">
        <f>P5+BD!P5</f>
        <v>375.29659998523908</v>
      </c>
      <c r="Q12" s="67">
        <f>Q5+BD!Q5</f>
        <v>390.6100169877069</v>
      </c>
      <c r="R12" s="67">
        <f>R5+BD!R5</f>
        <v>402.01695837648509</v>
      </c>
      <c r="S12" s="67">
        <f>S5+BD!S5</f>
        <v>394.491699577144</v>
      </c>
      <c r="T12" s="67">
        <f>T5+BD!T5</f>
        <v>397.97688360256814</v>
      </c>
      <c r="U12" s="67">
        <f>U5+BD!U5</f>
        <v>402.30191870393747</v>
      </c>
      <c r="V12" s="67">
        <f>V5+BD!V5</f>
        <v>395.64742387987667</v>
      </c>
      <c r="W12" s="67">
        <f>W5+BD!W5</f>
        <v>398.03384171670035</v>
      </c>
      <c r="X12" s="67">
        <f>X5+BD!X5</f>
        <v>396.20105622598601</v>
      </c>
      <c r="Y12" s="67">
        <f>Y5+BD!Y5</f>
        <v>396.50159937431738</v>
      </c>
      <c r="Z12" s="67">
        <f>Z5+BD!Z5</f>
        <v>396.91286944746412</v>
      </c>
      <c r="AA12" s="67">
        <f>AA5+BD!AA5</f>
        <v>395.99595370159693</v>
      </c>
      <c r="AB12" s="67">
        <f>AB5+BD!AB5</f>
        <v>395.79058618401126</v>
      </c>
      <c r="AC12" s="67">
        <f>AC5+BD!AC5</f>
        <v>395.17594009071479</v>
      </c>
      <c r="AD12" s="67">
        <f>AD5+BD!AD5</f>
        <v>395.07485953133653</v>
      </c>
      <c r="AE12" s="67">
        <f>AE5+BD!AE5</f>
        <v>394.71131226031423</v>
      </c>
      <c r="AF12" s="67">
        <f>AF5+BD!AF5</f>
        <v>394.32965335707695</v>
      </c>
      <c r="AG12" s="67">
        <f>AG5+BD!AG5</f>
        <v>394.06932878174132</v>
      </c>
      <c r="AH12" s="67">
        <f>AH5+BD!AH5</f>
        <v>393.70752830553727</v>
      </c>
      <c r="AI12" s="67">
        <f>AI5+BD!AI5</f>
        <v>393.37080508115503</v>
      </c>
      <c r="AJ12" s="67">
        <f>AJ5+BD!AJ5</f>
        <v>393.02010084014091</v>
      </c>
      <c r="AK12" s="67">
        <f>AK5+BD!AK5</f>
        <v>392.69426543881144</v>
      </c>
    </row>
    <row r="13" spans="1:37" x14ac:dyDescent="0.2">
      <c r="A13" s="51"/>
      <c r="B13" s="116"/>
      <c r="C13" s="116"/>
      <c r="D13" s="116"/>
      <c r="E13" s="116"/>
      <c r="F13" s="116"/>
      <c r="G13" s="116"/>
      <c r="H13" s="116"/>
      <c r="I13" s="116"/>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row>
    <row r="14" spans="1:37" x14ac:dyDescent="0.2">
      <c r="A14" s="65" t="s">
        <v>112</v>
      </c>
      <c r="B14" s="54">
        <f>B4+BD!B4</f>
        <v>104.87549000000001</v>
      </c>
      <c r="C14" s="54">
        <f>C4+BD!C4</f>
        <v>122.57488000000001</v>
      </c>
      <c r="D14" s="54">
        <f>D4+BD!D4</f>
        <v>104.87549000000001</v>
      </c>
      <c r="E14" s="54">
        <f>E4+BD!E4</f>
        <v>81.364360000000005</v>
      </c>
      <c r="F14" s="54">
        <f>F4+BD!F4</f>
        <v>94.837029999999999</v>
      </c>
      <c r="G14" s="54">
        <f>G4+BD!G4</f>
        <v>120.98986000000001</v>
      </c>
      <c r="H14" s="54">
        <f>H4+BD!H4</f>
        <v>113.85727</v>
      </c>
      <c r="I14" s="54">
        <f>I4+BD!I4</f>
        <v>97.530189024000009</v>
      </c>
      <c r="J14" s="54">
        <f>J4+BD!J4</f>
        <v>134.22737823199998</v>
      </c>
      <c r="K14" s="54">
        <f>K4+BD!K4</f>
        <v>295.95294828800002</v>
      </c>
      <c r="L14" s="54">
        <f>L4+BD!L4</f>
        <v>398.24426825911996</v>
      </c>
      <c r="M14" s="54">
        <f>M4+BD!M4</f>
        <v>400.91182110302395</v>
      </c>
      <c r="N14" s="54">
        <f>N4+BD!N4</f>
        <v>413.64273132362871</v>
      </c>
      <c r="O14" s="54">
        <f>O4+BD!O4</f>
        <v>411.1752397835545</v>
      </c>
      <c r="P14" s="54">
        <f>P4+BD!P4</f>
        <v>457.32731209386543</v>
      </c>
      <c r="Q14" s="54">
        <f>Q4+BD!Q4</f>
        <v>484.34527451263853</v>
      </c>
      <c r="R14" s="54">
        <f>R4+BD!R4</f>
        <v>487.73047576334227</v>
      </c>
      <c r="S14" s="54">
        <f>S4+BD!S4</f>
        <v>498.04520669540591</v>
      </c>
      <c r="T14" s="54">
        <f>T4+BD!T4</f>
        <v>512.12370176976128</v>
      </c>
      <c r="U14" s="54">
        <f>U4+BD!U4</f>
        <v>528.74839416700263</v>
      </c>
      <c r="V14" s="54">
        <f>V4+BD!V4</f>
        <v>542.31961058163006</v>
      </c>
      <c r="W14" s="54">
        <f>W4+BD!W4</f>
        <v>545.34947779542836</v>
      </c>
      <c r="X14" s="54">
        <f>X4+BD!X4</f>
        <v>549.16477820184559</v>
      </c>
      <c r="Y14" s="54">
        <f>Y4+BD!Y4</f>
        <v>553.3931925031336</v>
      </c>
      <c r="Z14" s="54">
        <f>Z4+BD!Z4</f>
        <v>557.36459064980806</v>
      </c>
      <c r="AA14" s="54">
        <f>AA4+BD!AA4</f>
        <v>560.51832994636914</v>
      </c>
      <c r="AB14" s="54">
        <f>AB4+BD!AB4</f>
        <v>564.158073819317</v>
      </c>
      <c r="AC14" s="54">
        <f>AC4+BD!AC4</f>
        <v>567.9197930240947</v>
      </c>
      <c r="AD14" s="54">
        <f>AD4+BD!AD4</f>
        <v>571.67079598854457</v>
      </c>
      <c r="AE14" s="54">
        <f>AE4+BD!AE4</f>
        <v>575.32631668562669</v>
      </c>
      <c r="AF14" s="54">
        <f>AF4+BD!AF4</f>
        <v>578.9186618927904</v>
      </c>
      <c r="AG14" s="54">
        <f>AG4+BD!AG4</f>
        <v>582.59872828207472</v>
      </c>
      <c r="AH14" s="54">
        <f>AH4+BD!AH4</f>
        <v>586.28685917462622</v>
      </c>
      <c r="AI14" s="54">
        <f>AI4+BD!AI4</f>
        <v>589.96027240473245</v>
      </c>
      <c r="AJ14" s="54">
        <f>AJ4+BD!AJ4</f>
        <v>593.61816768797007</v>
      </c>
      <c r="AK14" s="54">
        <f>AK4+BD!AK4</f>
        <v>597.27653788843872</v>
      </c>
    </row>
    <row r="15" spans="1:37" x14ac:dyDescent="0.2">
      <c r="A15" s="65" t="s">
        <v>113</v>
      </c>
      <c r="B15" s="54">
        <f>B7+BD!B7</f>
        <v>202.76928631419943</v>
      </c>
      <c r="C15" s="54">
        <f>C7+BD!C7</f>
        <v>181.65478806646524</v>
      </c>
      <c r="D15" s="54">
        <f>D7+BD!D7</f>
        <v>252.94751287009063</v>
      </c>
      <c r="E15" s="54">
        <f>E7+BD!E7</f>
        <v>251.78658042296075</v>
      </c>
      <c r="F15" s="54">
        <f>F7+BD!F7</f>
        <v>256.68190915407854</v>
      </c>
      <c r="G15" s="54">
        <f>G7+BD!G7</f>
        <v>289.14151709969792</v>
      </c>
      <c r="H15" s="54">
        <f>H7+BD!H7</f>
        <v>278.90543574395161</v>
      </c>
      <c r="I15" s="54">
        <f>I7+BD!I7</f>
        <v>303.22615909962542</v>
      </c>
      <c r="J15" s="54">
        <f>J7+BD!J7</f>
        <v>462.43874265794562</v>
      </c>
      <c r="K15" s="54">
        <f>K7+BD!K7</f>
        <v>617.19291353748054</v>
      </c>
      <c r="L15" s="54">
        <f>L7+BD!L7</f>
        <v>618.40264548756409</v>
      </c>
      <c r="M15" s="54">
        <f>M7+BD!M7</f>
        <v>636.24099018125185</v>
      </c>
      <c r="N15" s="54">
        <f>N7+BD!N7</f>
        <v>654.91090174873295</v>
      </c>
      <c r="O15" s="54">
        <f>O7+BD!O7</f>
        <v>654.79308085940647</v>
      </c>
      <c r="P15" s="54">
        <f>P7+BD!P7</f>
        <v>696.41238703814849</v>
      </c>
      <c r="Q15" s="54">
        <f>Q7+BD!Q7</f>
        <v>745.45061961920453</v>
      </c>
      <c r="R15" s="54">
        <f>R7+BD!R7</f>
        <v>760.54606674873196</v>
      </c>
      <c r="S15" s="54">
        <f>S7+BD!S7</f>
        <v>762.86186761577119</v>
      </c>
      <c r="T15" s="54">
        <f>T7+BD!T7</f>
        <v>782.24512270351499</v>
      </c>
      <c r="U15" s="54">
        <f>U7+BD!U7</f>
        <v>800.85194646632181</v>
      </c>
      <c r="V15" s="54">
        <f>V7+BD!V7</f>
        <v>807.54811817631889</v>
      </c>
      <c r="W15" s="54">
        <f>W7+BD!W7</f>
        <v>810.76064466459684</v>
      </c>
      <c r="X15" s="54">
        <f>X7+BD!X7</f>
        <v>812.15357807193436</v>
      </c>
      <c r="Y15" s="54">
        <f>Y7+BD!Y7</f>
        <v>815.78114415619075</v>
      </c>
      <c r="Z15" s="54">
        <f>Z7+BD!Z7</f>
        <v>819.31327719557032</v>
      </c>
      <c r="AA15" s="54">
        <f>AA7+BD!AA7</f>
        <v>821.51903588602067</v>
      </c>
      <c r="AB15" s="54">
        <f>AB7+BD!AB7</f>
        <v>824.11860779036635</v>
      </c>
      <c r="AC15" s="54">
        <f>AC7+BD!AC7</f>
        <v>826.25651343089794</v>
      </c>
      <c r="AD15" s="54">
        <f>AD7+BD!AD7</f>
        <v>828.57361726667443</v>
      </c>
      <c r="AE15" s="54">
        <f>AE7+BD!AE7</f>
        <v>831.17788652315505</v>
      </c>
      <c r="AF15" s="54">
        <f>AF7+BD!AF7</f>
        <v>833.68120049138588</v>
      </c>
      <c r="AG15" s="54">
        <f>AG7+BD!AG7</f>
        <v>836.49539272748882</v>
      </c>
      <c r="AH15" s="54">
        <f>AH7+BD!AH7</f>
        <v>838.96612175447615</v>
      </c>
      <c r="AI15" s="54">
        <f>AI7+BD!AI7</f>
        <v>841.4557070839893</v>
      </c>
      <c r="AJ15" s="54">
        <f>AJ7+BD!AJ7</f>
        <v>843.88956698664424</v>
      </c>
      <c r="AK15" s="54">
        <f>AK7+BD!AK7</f>
        <v>846.3125952706655</v>
      </c>
    </row>
    <row r="16" spans="1:37" x14ac:dyDescent="0.2">
      <c r="A16" s="65"/>
      <c r="B16" s="76"/>
      <c r="C16" s="76"/>
      <c r="D16" s="76"/>
      <c r="E16" s="76"/>
      <c r="F16" s="76"/>
      <c r="G16" s="76"/>
      <c r="H16" s="76">
        <f>H14/(H19+BD!H12)</f>
        <v>0.62827988338192409</v>
      </c>
      <c r="I16" s="76">
        <f>I14/(I19+BD!I12)</f>
        <v>0.53818483252071425</v>
      </c>
      <c r="J16" s="76">
        <f>J14/(J19+BD!J12)</f>
        <v>0.68046583965867657</v>
      </c>
      <c r="K16" s="76">
        <f>K14/(K19+BD!K12)</f>
        <v>0.82264436288531351</v>
      </c>
      <c r="L16" s="76">
        <f>L14/(L19+BD!L12)</f>
        <v>0.85550454207833615</v>
      </c>
      <c r="M16" s="76">
        <f>M14/(M19+BD!M12)</f>
        <v>0.82405996082043209</v>
      </c>
      <c r="N16" s="76">
        <f>N14/(N19+BD!N12)</f>
        <v>0.83986995649356322</v>
      </c>
      <c r="O16" s="76">
        <f>O14/(O19+BD!O12)</f>
        <v>0.67905823250804009</v>
      </c>
      <c r="P16" s="76">
        <f>P14/(P19+BD!P12)</f>
        <v>0.75527864078486273</v>
      </c>
      <c r="Q16" s="76">
        <f>Q14/(Q19+BD!Q12)</f>
        <v>0.79989895842781855</v>
      </c>
      <c r="R16" s="76">
        <f>R14/(R19+BD!R12)</f>
        <v>0.80548963742686763</v>
      </c>
      <c r="S16" s="76">
        <f>S14/(S19+BD!S12)</f>
        <v>0.82252447386110972</v>
      </c>
      <c r="T16" s="76">
        <f>T14/(T19+BD!T12)</f>
        <v>0.84577518804953566</v>
      </c>
      <c r="U16" s="76">
        <f>U14/(U19+BD!U12)</f>
        <v>0.87323096150808155</v>
      </c>
      <c r="V16" s="76">
        <f>V14/(V19+BD!V12)</f>
        <v>0.89564390212277467</v>
      </c>
      <c r="W16" s="76">
        <f>W14/(W19+BD!W12)</f>
        <v>0.90064774495148925</v>
      </c>
      <c r="X16" s="76">
        <f>X14/(X19+BD!X12)</f>
        <v>0.90694873513716456</v>
      </c>
      <c r="Y16" s="76">
        <f>Y14/(Y19+BD!Y12)</f>
        <v>0.91393198525518204</v>
      </c>
      <c r="Z16" s="76">
        <f>Z14/(Z19+BD!Z12)</f>
        <v>0.920490771741173</v>
      </c>
      <c r="AA16" s="76">
        <f>AA14/(AA19+BD!AA12)</f>
        <v>0.92569919001470824</v>
      </c>
      <c r="AB16" s="76">
        <f>AB14/(AB19+BD!AB12)</f>
        <v>0.93171024759309506</v>
      </c>
      <c r="AC16" s="76">
        <f>AC14/(AC19+BD!AC12)</f>
        <v>0.93792274812141618</v>
      </c>
      <c r="AD16" s="76">
        <f>AD14/(AD19+BD!AD12)</f>
        <v>0.94411755071826653</v>
      </c>
      <c r="AE16" s="76">
        <f>AE14/(AE19+BD!AE12)</f>
        <v>0.95015466381088332</v>
      </c>
      <c r="AF16" s="76">
        <f>AF14/(AF19+BD!AF12)</f>
        <v>0.95608744222482545</v>
      </c>
      <c r="AG16" s="76">
        <f>AG14/(AG19+BD!AG12)</f>
        <v>0.96216509266684891</v>
      </c>
      <c r="AH16" s="76">
        <f>AH14/(AH19+BD!AH12)</f>
        <v>0.96825606168159961</v>
      </c>
      <c r="AI16" s="76">
        <f>AI14/(AI19+BD!AI12)</f>
        <v>0.97432272439363621</v>
      </c>
      <c r="AJ16" s="76">
        <f>AJ14/(AJ19+BD!AJ12)</f>
        <v>0.98036375912871021</v>
      </c>
      <c r="AK16" s="76">
        <f>AK14/(AK19+BD!AK12)</f>
        <v>0.98640557819227559</v>
      </c>
    </row>
    <row r="17" spans="1:37" x14ac:dyDescent="0.2">
      <c r="A17" s="65"/>
      <c r="B17" s="76"/>
      <c r="C17" s="76"/>
      <c r="D17" s="76"/>
      <c r="E17" s="76"/>
      <c r="F17" s="76"/>
      <c r="G17" s="76"/>
      <c r="H17" s="76"/>
      <c r="I17" s="76"/>
      <c r="J17" s="118">
        <f>J14/BD!J14</f>
        <v>1.5809650692988765E-2</v>
      </c>
      <c r="K17" s="118">
        <f>K14/BD!K14</f>
        <v>3.4325004700790002E-2</v>
      </c>
      <c r="L17" s="118">
        <f>L14/BD!L14</f>
        <v>4.5603689522326837E-2</v>
      </c>
      <c r="M17" s="118">
        <f>M14/BD!M14</f>
        <v>4.5379937432559213E-2</v>
      </c>
      <c r="N17" s="118">
        <f>N14/BD!N14</f>
        <v>4.6277900623025822E-2</v>
      </c>
      <c r="O17" s="55"/>
    </row>
    <row r="18" spans="1:37" x14ac:dyDescent="0.2">
      <c r="A18" s="65"/>
      <c r="B18" s="76"/>
      <c r="C18" s="76"/>
      <c r="D18" s="76"/>
      <c r="E18" s="76"/>
      <c r="F18" s="76"/>
      <c r="G18" s="76"/>
      <c r="H18" s="76"/>
      <c r="I18" s="76"/>
      <c r="J18" s="55"/>
      <c r="K18" s="55"/>
      <c r="L18" s="55"/>
      <c r="M18" s="55"/>
      <c r="N18" s="55"/>
      <c r="O18" s="55"/>
    </row>
    <row r="19" spans="1:37" x14ac:dyDescent="0.2">
      <c r="A19" s="65" t="s">
        <v>114</v>
      </c>
      <c r="B19" s="54">
        <v>0</v>
      </c>
      <c r="C19" s="54">
        <v>0</v>
      </c>
      <c r="D19" s="54">
        <v>0</v>
      </c>
      <c r="E19" s="72">
        <v>0</v>
      </c>
      <c r="F19" s="72">
        <v>0</v>
      </c>
      <c r="G19" s="72">
        <v>0</v>
      </c>
      <c r="H19" s="54">
        <v>0</v>
      </c>
      <c r="I19" s="54">
        <v>0</v>
      </c>
      <c r="J19" s="54">
        <f>SUM(Capacity!C146:C157)</f>
        <v>20</v>
      </c>
      <c r="K19" s="54">
        <f>SUM(Capacity!C158:C169)</f>
        <v>182.5</v>
      </c>
      <c r="L19" s="54">
        <f>SUM(Capacity!C170:C181)</f>
        <v>288.24999999999994</v>
      </c>
      <c r="M19" s="54">
        <f>L19+4+17</f>
        <v>309.24999999999994</v>
      </c>
      <c r="N19" s="54">
        <f>M19+6</f>
        <v>315.24999999999994</v>
      </c>
      <c r="O19" s="54">
        <f>N19+113</f>
        <v>428.24999999999994</v>
      </c>
      <c r="P19" s="54">
        <f t="shared" ref="P19:AK19" si="11">O19</f>
        <v>428.24999999999994</v>
      </c>
      <c r="Q19" s="54">
        <f t="shared" si="11"/>
        <v>428.24999999999994</v>
      </c>
      <c r="R19" s="54">
        <f t="shared" si="11"/>
        <v>428.24999999999994</v>
      </c>
      <c r="S19" s="54">
        <f t="shared" si="11"/>
        <v>428.24999999999994</v>
      </c>
      <c r="T19" s="54">
        <f t="shared" si="11"/>
        <v>428.24999999999994</v>
      </c>
      <c r="U19" s="54">
        <f t="shared" si="11"/>
        <v>428.24999999999994</v>
      </c>
      <c r="V19" s="54">
        <f t="shared" si="11"/>
        <v>428.24999999999994</v>
      </c>
      <c r="W19" s="54">
        <f t="shared" si="11"/>
        <v>428.24999999999994</v>
      </c>
      <c r="X19" s="54">
        <f t="shared" si="11"/>
        <v>428.24999999999994</v>
      </c>
      <c r="Y19" s="54">
        <f t="shared" si="11"/>
        <v>428.24999999999994</v>
      </c>
      <c r="Z19" s="54">
        <f t="shared" si="11"/>
        <v>428.24999999999994</v>
      </c>
      <c r="AA19" s="54">
        <f t="shared" si="11"/>
        <v>428.24999999999994</v>
      </c>
      <c r="AB19" s="54">
        <f t="shared" si="11"/>
        <v>428.24999999999994</v>
      </c>
      <c r="AC19" s="54">
        <f t="shared" si="11"/>
        <v>428.24999999999994</v>
      </c>
      <c r="AD19" s="54">
        <f t="shared" si="11"/>
        <v>428.24999999999994</v>
      </c>
      <c r="AE19" s="54">
        <f t="shared" si="11"/>
        <v>428.24999999999994</v>
      </c>
      <c r="AF19" s="54">
        <f t="shared" si="11"/>
        <v>428.24999999999994</v>
      </c>
      <c r="AG19" s="54">
        <f t="shared" si="11"/>
        <v>428.24999999999994</v>
      </c>
      <c r="AH19" s="54">
        <f t="shared" si="11"/>
        <v>428.24999999999994</v>
      </c>
      <c r="AI19" s="54">
        <f t="shared" si="11"/>
        <v>428.24999999999994</v>
      </c>
      <c r="AJ19" s="54">
        <f t="shared" si="11"/>
        <v>428.24999999999994</v>
      </c>
      <c r="AK19" s="54">
        <f t="shared" si="11"/>
        <v>428.24999999999994</v>
      </c>
    </row>
    <row r="20" spans="1:37" x14ac:dyDescent="0.2">
      <c r="A20" s="65" t="s">
        <v>115</v>
      </c>
      <c r="B20" s="54"/>
      <c r="C20" s="54"/>
      <c r="D20" s="54"/>
      <c r="E20" s="54"/>
      <c r="F20" s="54"/>
      <c r="G20" s="54"/>
      <c r="H20" s="76" t="e">
        <f>H4/H19</f>
        <v>#DIV/0!</v>
      </c>
      <c r="I20" s="76" t="e">
        <f t="shared" ref="I20:AF20" si="12">I4/I19</f>
        <v>#DIV/0!</v>
      </c>
      <c r="J20" s="76">
        <f t="shared" si="12"/>
        <v>0.185</v>
      </c>
      <c r="K20" s="76">
        <f t="shared" si="12"/>
        <v>0.75590656596164396</v>
      </c>
      <c r="L20" s="76">
        <f t="shared" si="12"/>
        <v>0.8</v>
      </c>
      <c r="M20" s="76">
        <f t="shared" si="12"/>
        <v>0.8</v>
      </c>
      <c r="N20" s="76">
        <f t="shared" si="12"/>
        <v>0.8</v>
      </c>
      <c r="O20" s="76">
        <f t="shared" si="12"/>
        <v>0.59999999999999987</v>
      </c>
      <c r="P20" s="76">
        <f t="shared" si="12"/>
        <v>0.65</v>
      </c>
      <c r="Q20" s="76">
        <f t="shared" si="12"/>
        <v>0.75</v>
      </c>
      <c r="R20" s="76">
        <f t="shared" si="12"/>
        <v>0.76</v>
      </c>
      <c r="S20" s="76">
        <f t="shared" si="12"/>
        <v>0.78</v>
      </c>
      <c r="T20" s="76">
        <f t="shared" si="12"/>
        <v>0.8</v>
      </c>
      <c r="U20" s="76">
        <f t="shared" si="12"/>
        <v>0.81999999999999984</v>
      </c>
      <c r="V20" s="76">
        <f t="shared" si="12"/>
        <v>0.85</v>
      </c>
      <c r="W20" s="76">
        <f t="shared" si="12"/>
        <v>0.85</v>
      </c>
      <c r="X20" s="76">
        <f t="shared" si="12"/>
        <v>0.85</v>
      </c>
      <c r="Y20" s="76">
        <f t="shared" si="12"/>
        <v>0.85</v>
      </c>
      <c r="Z20" s="76">
        <f t="shared" si="12"/>
        <v>0.85</v>
      </c>
      <c r="AA20" s="76">
        <f t="shared" si="12"/>
        <v>0.85</v>
      </c>
      <c r="AB20" s="76">
        <f t="shared" si="12"/>
        <v>0.85</v>
      </c>
      <c r="AC20" s="76">
        <f t="shared" si="12"/>
        <v>0.85</v>
      </c>
      <c r="AD20" s="76">
        <f t="shared" si="12"/>
        <v>0.85</v>
      </c>
      <c r="AE20" s="76">
        <f t="shared" si="12"/>
        <v>0.85</v>
      </c>
      <c r="AF20" s="76">
        <f t="shared" si="12"/>
        <v>0.85</v>
      </c>
      <c r="AG20" s="76">
        <f>AG4/AG19</f>
        <v>0.85</v>
      </c>
      <c r="AH20" s="76">
        <f>AH4/AH19</f>
        <v>0.85</v>
      </c>
      <c r="AI20" s="76">
        <f>AI4/AI19</f>
        <v>0.85</v>
      </c>
      <c r="AJ20" s="76">
        <f>AJ4/AJ19</f>
        <v>0.85</v>
      </c>
      <c r="AK20" s="76">
        <f>AK4/AK19</f>
        <v>0.85</v>
      </c>
    </row>
    <row r="21" spans="1:37" x14ac:dyDescent="0.2">
      <c r="A21" s="65"/>
      <c r="B21" s="54"/>
      <c r="C21" s="54"/>
      <c r="D21" s="54"/>
      <c r="E21" s="54"/>
      <c r="F21" s="54"/>
      <c r="G21" s="54"/>
      <c r="H21" s="54"/>
      <c r="I21" s="54"/>
      <c r="J21" s="55"/>
      <c r="K21" s="55"/>
      <c r="L21" s="119"/>
      <c r="M21" s="54"/>
      <c r="N21" s="55"/>
      <c r="O21" s="55"/>
    </row>
    <row r="22" spans="1:37" ht="12" thickBot="1" x14ac:dyDescent="0.25">
      <c r="A22" s="81" t="s">
        <v>116</v>
      </c>
    </row>
    <row r="23" spans="1:37" ht="12" thickBot="1" x14ac:dyDescent="0.25">
      <c r="A23" s="82"/>
      <c r="B23" s="120">
        <f t="shared" ref="B23:T23" si="13">B2</f>
        <v>2015</v>
      </c>
      <c r="C23" s="120">
        <f t="shared" si="13"/>
        <v>2016</v>
      </c>
      <c r="D23" s="120">
        <f t="shared" si="13"/>
        <v>2017</v>
      </c>
      <c r="E23" s="120">
        <f t="shared" si="13"/>
        <v>2018</v>
      </c>
      <c r="F23" s="120">
        <f t="shared" si="13"/>
        <v>2019</v>
      </c>
      <c r="G23" s="120">
        <f t="shared" si="13"/>
        <v>2020</v>
      </c>
      <c r="H23" s="120">
        <f t="shared" si="13"/>
        <v>2021</v>
      </c>
      <c r="I23" s="120">
        <f t="shared" si="13"/>
        <v>2022</v>
      </c>
      <c r="J23" s="120">
        <f t="shared" si="13"/>
        <v>2023</v>
      </c>
      <c r="K23" s="120">
        <f t="shared" si="13"/>
        <v>2024</v>
      </c>
      <c r="L23" s="120">
        <f t="shared" si="13"/>
        <v>2025</v>
      </c>
      <c r="M23" s="120">
        <f t="shared" si="13"/>
        <v>2026</v>
      </c>
      <c r="N23" s="120">
        <f t="shared" si="13"/>
        <v>2027</v>
      </c>
      <c r="O23" s="120">
        <f t="shared" si="13"/>
        <v>2028</v>
      </c>
      <c r="P23" s="120">
        <f t="shared" si="13"/>
        <v>2029</v>
      </c>
      <c r="Q23" s="120">
        <f t="shared" si="13"/>
        <v>2030</v>
      </c>
      <c r="R23" s="120">
        <f t="shared" si="13"/>
        <v>2031</v>
      </c>
      <c r="S23" s="120">
        <f t="shared" si="13"/>
        <v>2032</v>
      </c>
      <c r="T23" s="120">
        <f t="shared" si="13"/>
        <v>2033</v>
      </c>
      <c r="U23" s="120">
        <f>U2</f>
        <v>2034</v>
      </c>
      <c r="V23" s="120">
        <f>V2</f>
        <v>2035</v>
      </c>
      <c r="W23" s="120">
        <f t="shared" ref="W23:AF23" si="14">W2</f>
        <v>2036</v>
      </c>
      <c r="X23" s="120">
        <f t="shared" si="14"/>
        <v>2037</v>
      </c>
      <c r="Y23" s="120">
        <f t="shared" si="14"/>
        <v>2038</v>
      </c>
      <c r="Z23" s="120">
        <f t="shared" si="14"/>
        <v>2039</v>
      </c>
      <c r="AA23" s="120">
        <f t="shared" si="14"/>
        <v>2040</v>
      </c>
      <c r="AB23" s="120">
        <f t="shared" si="14"/>
        <v>2041</v>
      </c>
      <c r="AC23" s="120">
        <f t="shared" si="14"/>
        <v>2042</v>
      </c>
      <c r="AD23" s="120">
        <f t="shared" si="14"/>
        <v>2043</v>
      </c>
      <c r="AE23" s="120">
        <f t="shared" si="14"/>
        <v>2044</v>
      </c>
      <c r="AF23" s="120">
        <f t="shared" si="14"/>
        <v>2045</v>
      </c>
      <c r="AG23" s="120">
        <f>AG2</f>
        <v>2046</v>
      </c>
      <c r="AH23" s="120">
        <f>AH2</f>
        <v>2047</v>
      </c>
      <c r="AI23" s="120">
        <f>AI2</f>
        <v>2048</v>
      </c>
      <c r="AJ23" s="120">
        <f>AJ2</f>
        <v>2049</v>
      </c>
      <c r="AK23" s="120">
        <f>AK2</f>
        <v>2050</v>
      </c>
    </row>
    <row r="24" spans="1:37" x14ac:dyDescent="0.2">
      <c r="A24" s="53" t="s">
        <v>89</v>
      </c>
      <c r="B24" s="121"/>
      <c r="C24" s="121"/>
      <c r="D24" s="121"/>
      <c r="E24" s="121"/>
      <c r="F24" s="121"/>
      <c r="G24" s="121"/>
      <c r="H24" s="121"/>
      <c r="I24" s="121"/>
      <c r="J24" s="121">
        <v>0</v>
      </c>
      <c r="K24" s="84">
        <f>monthly_data!$C112*264.172/1000000-10</f>
        <v>1.8359622880000011</v>
      </c>
      <c r="L24" s="85">
        <f>L$19/12*0.8</f>
        <v>19.216666666666665</v>
      </c>
      <c r="M24" s="85">
        <f t="shared" ref="M24:U24" si="15">M$19/12*0.8</f>
        <v>20.616666666666664</v>
      </c>
      <c r="N24" s="85">
        <f t="shared" si="15"/>
        <v>21.016666666666666</v>
      </c>
      <c r="O24" s="85">
        <f t="shared" ref="O24:O34" si="16">O$19/12*0.6</f>
        <v>21.412499999999994</v>
      </c>
      <c r="P24" s="85">
        <f t="shared" ref="P24:P34" si="17">P$19/12*0.65</f>
        <v>23.196874999999995</v>
      </c>
      <c r="Q24" s="85">
        <f t="shared" si="15"/>
        <v>28.549999999999997</v>
      </c>
      <c r="R24" s="85">
        <f t="shared" si="15"/>
        <v>28.549999999999997</v>
      </c>
      <c r="S24" s="85">
        <f t="shared" si="15"/>
        <v>28.549999999999997</v>
      </c>
      <c r="T24" s="85">
        <f t="shared" si="15"/>
        <v>28.549999999999997</v>
      </c>
      <c r="U24" s="85">
        <f t="shared" si="15"/>
        <v>28.549999999999997</v>
      </c>
      <c r="V24" s="85">
        <f t="shared" ref="V24:AK34" si="18">V$19/12*0.9</f>
        <v>32.118749999999991</v>
      </c>
      <c r="W24" s="85">
        <f t="shared" si="18"/>
        <v>32.118749999999991</v>
      </c>
      <c r="X24" s="85">
        <f t="shared" si="18"/>
        <v>32.118749999999991</v>
      </c>
      <c r="Y24" s="85">
        <f t="shared" si="18"/>
        <v>32.118749999999991</v>
      </c>
      <c r="Z24" s="85">
        <f t="shared" si="18"/>
        <v>32.118749999999991</v>
      </c>
      <c r="AA24" s="85">
        <f t="shared" si="18"/>
        <v>32.118749999999991</v>
      </c>
      <c r="AB24" s="85">
        <f t="shared" si="18"/>
        <v>32.118749999999991</v>
      </c>
      <c r="AC24" s="85">
        <f t="shared" si="18"/>
        <v>32.118749999999991</v>
      </c>
      <c r="AD24" s="85">
        <f t="shared" si="18"/>
        <v>32.118749999999991</v>
      </c>
      <c r="AE24" s="85">
        <f t="shared" si="18"/>
        <v>32.118749999999991</v>
      </c>
      <c r="AF24" s="85">
        <f t="shared" si="18"/>
        <v>32.118749999999991</v>
      </c>
      <c r="AG24" s="85">
        <f t="shared" si="18"/>
        <v>32.118749999999991</v>
      </c>
      <c r="AH24" s="85">
        <f t="shared" si="18"/>
        <v>32.118749999999991</v>
      </c>
      <c r="AI24" s="85">
        <f t="shared" si="18"/>
        <v>32.118749999999991</v>
      </c>
      <c r="AJ24" s="85">
        <f t="shared" si="18"/>
        <v>32.118749999999991</v>
      </c>
      <c r="AK24" s="85">
        <f t="shared" si="18"/>
        <v>32.118749999999991</v>
      </c>
    </row>
    <row r="25" spans="1:37" x14ac:dyDescent="0.2">
      <c r="A25" s="53" t="s">
        <v>90</v>
      </c>
      <c r="B25" s="121"/>
      <c r="C25" s="121"/>
      <c r="D25" s="121"/>
      <c r="E25" s="121"/>
      <c r="F25" s="121"/>
      <c r="G25" s="121"/>
      <c r="H25" s="121"/>
      <c r="I25" s="121"/>
      <c r="J25" s="121">
        <v>0</v>
      </c>
      <c r="K25" s="84">
        <f>monthly_data!$C113*264.172/1000000-15</f>
        <v>2.0361881080000011</v>
      </c>
      <c r="L25" s="85">
        <f>L$19/12*0.8</f>
        <v>19.216666666666665</v>
      </c>
      <c r="M25" s="85">
        <f>M$19/12*0.8</f>
        <v>20.616666666666664</v>
      </c>
      <c r="N25" s="85">
        <f>N$19/12*0.8</f>
        <v>21.016666666666666</v>
      </c>
      <c r="O25" s="85">
        <f t="shared" si="16"/>
        <v>21.412499999999994</v>
      </c>
      <c r="P25" s="85">
        <f t="shared" si="17"/>
        <v>23.196874999999995</v>
      </c>
      <c r="Q25" s="85">
        <f>Q$19/12*0.8</f>
        <v>28.549999999999997</v>
      </c>
      <c r="R25" s="85">
        <f>R$19/12*0.7</f>
        <v>24.981249999999992</v>
      </c>
      <c r="S25" s="85">
        <f>S$19/12*0.8</f>
        <v>28.549999999999997</v>
      </c>
      <c r="T25" s="85">
        <f>T$19/12*0.8</f>
        <v>28.549999999999997</v>
      </c>
      <c r="U25" s="85">
        <f>U$19/12*0.8</f>
        <v>28.549999999999997</v>
      </c>
      <c r="V25" s="85">
        <f t="shared" si="18"/>
        <v>32.118749999999991</v>
      </c>
      <c r="W25" s="85">
        <f t="shared" si="18"/>
        <v>32.118749999999991</v>
      </c>
      <c r="X25" s="85">
        <f t="shared" si="18"/>
        <v>32.118749999999991</v>
      </c>
      <c r="Y25" s="85">
        <f t="shared" si="18"/>
        <v>32.118749999999991</v>
      </c>
      <c r="Z25" s="85">
        <f t="shared" si="18"/>
        <v>32.118749999999991</v>
      </c>
      <c r="AA25" s="85">
        <f t="shared" si="18"/>
        <v>32.118749999999991</v>
      </c>
      <c r="AB25" s="85">
        <f t="shared" si="18"/>
        <v>32.118749999999991</v>
      </c>
      <c r="AC25" s="85">
        <f t="shared" si="18"/>
        <v>32.118749999999991</v>
      </c>
      <c r="AD25" s="85">
        <f t="shared" si="18"/>
        <v>32.118749999999991</v>
      </c>
      <c r="AE25" s="85">
        <f t="shared" si="18"/>
        <v>32.118749999999991</v>
      </c>
      <c r="AF25" s="85">
        <f t="shared" si="18"/>
        <v>32.118749999999991</v>
      </c>
      <c r="AG25" s="85">
        <f t="shared" si="18"/>
        <v>32.118749999999991</v>
      </c>
      <c r="AH25" s="85">
        <f t="shared" si="18"/>
        <v>32.118749999999991</v>
      </c>
      <c r="AI25" s="85">
        <f t="shared" si="18"/>
        <v>32.118749999999991</v>
      </c>
      <c r="AJ25" s="85">
        <f t="shared" si="18"/>
        <v>32.118749999999991</v>
      </c>
      <c r="AK25" s="85">
        <f t="shared" si="18"/>
        <v>32.118749999999991</v>
      </c>
    </row>
    <row r="26" spans="1:37" x14ac:dyDescent="0.2">
      <c r="A26" s="53" t="s">
        <v>91</v>
      </c>
      <c r="B26" s="121"/>
      <c r="C26" s="121"/>
      <c r="D26" s="121"/>
      <c r="E26" s="121"/>
      <c r="F26" s="121"/>
      <c r="G26" s="121"/>
      <c r="H26" s="121"/>
      <c r="I26" s="121"/>
      <c r="J26" s="121">
        <v>0</v>
      </c>
      <c r="K26" s="84">
        <f>monthly_data!$C114*264.172/1000000-14</f>
        <v>15.250180528000005</v>
      </c>
      <c r="L26" s="85">
        <f>L$19/12*0.85</f>
        <v>20.41770833333333</v>
      </c>
      <c r="M26" s="85">
        <f>M$19/12*0.85</f>
        <v>21.905208333333327</v>
      </c>
      <c r="N26" s="85">
        <f>N$19/12*0.85</f>
        <v>22.330208333333328</v>
      </c>
      <c r="O26" s="85">
        <f t="shared" si="16"/>
        <v>21.412499999999994</v>
      </c>
      <c r="P26" s="85">
        <f t="shared" si="17"/>
        <v>23.196874999999995</v>
      </c>
      <c r="Q26" s="85">
        <f t="shared" ref="Q26:Q34" si="19">Q$19/12*0.7</f>
        <v>24.981249999999992</v>
      </c>
      <c r="R26" s="85">
        <f>R$19/12*0.7</f>
        <v>24.981249999999992</v>
      </c>
      <c r="S26" s="85">
        <f>S$19/12*0.85</f>
        <v>30.334374999999994</v>
      </c>
      <c r="T26" s="85">
        <f>T$19/12*0.85</f>
        <v>30.334374999999994</v>
      </c>
      <c r="U26" s="85">
        <f>U$19/12*0.85</f>
        <v>30.334374999999994</v>
      </c>
      <c r="V26" s="85">
        <f t="shared" si="18"/>
        <v>32.118749999999991</v>
      </c>
      <c r="W26" s="85">
        <f t="shared" si="18"/>
        <v>32.118749999999991</v>
      </c>
      <c r="X26" s="85">
        <f t="shared" si="18"/>
        <v>32.118749999999991</v>
      </c>
      <c r="Y26" s="85">
        <f t="shared" si="18"/>
        <v>32.118749999999991</v>
      </c>
      <c r="Z26" s="85">
        <f t="shared" si="18"/>
        <v>32.118749999999991</v>
      </c>
      <c r="AA26" s="85">
        <f t="shared" si="18"/>
        <v>32.118749999999991</v>
      </c>
      <c r="AB26" s="85">
        <f t="shared" si="18"/>
        <v>32.118749999999991</v>
      </c>
      <c r="AC26" s="85">
        <f t="shared" si="18"/>
        <v>32.118749999999991</v>
      </c>
      <c r="AD26" s="85">
        <f t="shared" si="18"/>
        <v>32.118749999999991</v>
      </c>
      <c r="AE26" s="85">
        <f t="shared" si="18"/>
        <v>32.118749999999991</v>
      </c>
      <c r="AF26" s="85">
        <f t="shared" si="18"/>
        <v>32.118749999999991</v>
      </c>
      <c r="AG26" s="85">
        <f t="shared" si="18"/>
        <v>32.118749999999991</v>
      </c>
      <c r="AH26" s="85">
        <f t="shared" si="18"/>
        <v>32.118749999999991</v>
      </c>
      <c r="AI26" s="85">
        <f t="shared" si="18"/>
        <v>32.118749999999991</v>
      </c>
      <c r="AJ26" s="85">
        <f t="shared" si="18"/>
        <v>32.118749999999991</v>
      </c>
      <c r="AK26" s="85">
        <f t="shared" si="18"/>
        <v>32.118749999999991</v>
      </c>
    </row>
    <row r="27" spans="1:37" x14ac:dyDescent="0.2">
      <c r="A27" s="53" t="s">
        <v>92</v>
      </c>
      <c r="B27" s="121"/>
      <c r="C27" s="121"/>
      <c r="D27" s="121"/>
      <c r="E27" s="121"/>
      <c r="F27" s="121"/>
      <c r="G27" s="121"/>
      <c r="H27" s="121"/>
      <c r="I27" s="121"/>
      <c r="J27" s="121">
        <v>0</v>
      </c>
      <c r="K27" s="84">
        <f>monthly_data!$C115*264.172/1000000-12</f>
        <v>12.407643596</v>
      </c>
      <c r="L27" s="85">
        <f>L$19/12*0.8</f>
        <v>19.216666666666665</v>
      </c>
      <c r="M27" s="85">
        <f>M$19/12*0.8</f>
        <v>20.616666666666664</v>
      </c>
      <c r="N27" s="85">
        <f>N$19/12*0.8</f>
        <v>21.016666666666666</v>
      </c>
      <c r="O27" s="85">
        <f t="shared" si="16"/>
        <v>21.412499999999994</v>
      </c>
      <c r="P27" s="85">
        <f t="shared" si="17"/>
        <v>23.196874999999995</v>
      </c>
      <c r="Q27" s="85">
        <f t="shared" si="19"/>
        <v>24.981249999999992</v>
      </c>
      <c r="R27" s="85">
        <f>R$19/12*0.8</f>
        <v>28.549999999999997</v>
      </c>
      <c r="S27" s="85">
        <f>S$19/12*0.8</f>
        <v>28.549999999999997</v>
      </c>
      <c r="T27" s="85">
        <f>T$19/12*0.8</f>
        <v>28.549999999999997</v>
      </c>
      <c r="U27" s="85">
        <f t="shared" ref="U27:U34" si="20">U$19/12*0.85</f>
        <v>30.334374999999994</v>
      </c>
      <c r="V27" s="85">
        <f t="shared" si="18"/>
        <v>32.118749999999991</v>
      </c>
      <c r="W27" s="85">
        <f t="shared" si="18"/>
        <v>32.118749999999991</v>
      </c>
      <c r="X27" s="85">
        <f t="shared" si="18"/>
        <v>32.118749999999991</v>
      </c>
      <c r="Y27" s="85">
        <f t="shared" si="18"/>
        <v>32.118749999999991</v>
      </c>
      <c r="Z27" s="85">
        <f t="shared" si="18"/>
        <v>32.118749999999991</v>
      </c>
      <c r="AA27" s="85">
        <f t="shared" si="18"/>
        <v>32.118749999999991</v>
      </c>
      <c r="AB27" s="85">
        <f t="shared" si="18"/>
        <v>32.118749999999991</v>
      </c>
      <c r="AC27" s="85">
        <f t="shared" si="18"/>
        <v>32.118749999999991</v>
      </c>
      <c r="AD27" s="85">
        <f t="shared" si="18"/>
        <v>32.118749999999991</v>
      </c>
      <c r="AE27" s="85">
        <f t="shared" si="18"/>
        <v>32.118749999999991</v>
      </c>
      <c r="AF27" s="85">
        <f t="shared" si="18"/>
        <v>32.118749999999991</v>
      </c>
      <c r="AG27" s="85">
        <f t="shared" si="18"/>
        <v>32.118749999999991</v>
      </c>
      <c r="AH27" s="85">
        <f t="shared" si="18"/>
        <v>32.118749999999991</v>
      </c>
      <c r="AI27" s="85">
        <f t="shared" si="18"/>
        <v>32.118749999999991</v>
      </c>
      <c r="AJ27" s="85">
        <f t="shared" si="18"/>
        <v>32.118749999999991</v>
      </c>
      <c r="AK27" s="85">
        <f t="shared" si="18"/>
        <v>32.118749999999991</v>
      </c>
    </row>
    <row r="28" spans="1:37" x14ac:dyDescent="0.2">
      <c r="A28" s="53" t="s">
        <v>93</v>
      </c>
      <c r="B28" s="121"/>
      <c r="C28" s="121"/>
      <c r="D28" s="121"/>
      <c r="E28" s="121"/>
      <c r="F28" s="121"/>
      <c r="G28" s="121"/>
      <c r="H28" s="121"/>
      <c r="I28" s="121"/>
      <c r="J28" s="121">
        <v>0</v>
      </c>
      <c r="K28" s="84">
        <f>monthly_data!$C116*264.172/1000000-14</f>
        <v>12.116308092000004</v>
      </c>
      <c r="L28" s="85">
        <f>L$19/12*0.9</f>
        <v>21.618749999999995</v>
      </c>
      <c r="M28" s="85">
        <f>M$19/12*0.9</f>
        <v>23.193749999999998</v>
      </c>
      <c r="N28" s="85">
        <f>N$19/12*0.9</f>
        <v>23.643749999999997</v>
      </c>
      <c r="O28" s="85">
        <f t="shared" si="16"/>
        <v>21.412499999999994</v>
      </c>
      <c r="P28" s="85">
        <f t="shared" si="17"/>
        <v>23.196874999999995</v>
      </c>
      <c r="Q28" s="85">
        <f t="shared" si="19"/>
        <v>24.981249999999992</v>
      </c>
      <c r="R28" s="85">
        <f>R$19/12*0.9</f>
        <v>32.118749999999991</v>
      </c>
      <c r="S28" s="85">
        <f>S$19/12*0.9</f>
        <v>32.118749999999991</v>
      </c>
      <c r="T28" s="85">
        <f>T$19/12*0.9</f>
        <v>32.118749999999991</v>
      </c>
      <c r="U28" s="85">
        <f t="shared" si="20"/>
        <v>30.334374999999994</v>
      </c>
      <c r="V28" s="85">
        <f t="shared" si="18"/>
        <v>32.118749999999991</v>
      </c>
      <c r="W28" s="85">
        <f t="shared" si="18"/>
        <v>32.118749999999991</v>
      </c>
      <c r="X28" s="85">
        <f t="shared" si="18"/>
        <v>32.118749999999991</v>
      </c>
      <c r="Y28" s="85">
        <f t="shared" si="18"/>
        <v>32.118749999999991</v>
      </c>
      <c r="Z28" s="85">
        <f t="shared" si="18"/>
        <v>32.118749999999991</v>
      </c>
      <c r="AA28" s="85">
        <f t="shared" si="18"/>
        <v>32.118749999999991</v>
      </c>
      <c r="AB28" s="85">
        <f t="shared" si="18"/>
        <v>32.118749999999991</v>
      </c>
      <c r="AC28" s="85">
        <f t="shared" si="18"/>
        <v>32.118749999999991</v>
      </c>
      <c r="AD28" s="85">
        <f t="shared" si="18"/>
        <v>32.118749999999991</v>
      </c>
      <c r="AE28" s="85">
        <f t="shared" si="18"/>
        <v>32.118749999999991</v>
      </c>
      <c r="AF28" s="85">
        <f t="shared" si="18"/>
        <v>32.118749999999991</v>
      </c>
      <c r="AG28" s="85">
        <f t="shared" si="18"/>
        <v>32.118749999999991</v>
      </c>
      <c r="AH28" s="85">
        <f t="shared" si="18"/>
        <v>32.118749999999991</v>
      </c>
      <c r="AI28" s="85">
        <f t="shared" si="18"/>
        <v>32.118749999999991</v>
      </c>
      <c r="AJ28" s="85">
        <f t="shared" si="18"/>
        <v>32.118749999999991</v>
      </c>
      <c r="AK28" s="85">
        <f t="shared" si="18"/>
        <v>32.118749999999991</v>
      </c>
    </row>
    <row r="29" spans="1:37" x14ac:dyDescent="0.2">
      <c r="A29" s="53" t="s">
        <v>94</v>
      </c>
      <c r="B29" s="121"/>
      <c r="C29" s="121"/>
      <c r="D29" s="121"/>
      <c r="E29" s="121"/>
      <c r="F29" s="121"/>
      <c r="G29" s="121"/>
      <c r="H29" s="121"/>
      <c r="I29" s="121"/>
      <c r="J29" s="121">
        <v>0</v>
      </c>
      <c r="K29" s="84">
        <f>monthly_data!$C117*264.172/1000000-14</f>
        <v>20.856174540000005</v>
      </c>
      <c r="L29" s="85">
        <f>L$19/12*0.8</f>
        <v>19.216666666666665</v>
      </c>
      <c r="M29" s="85">
        <f>M$19/12*0.8</f>
        <v>20.616666666666664</v>
      </c>
      <c r="N29" s="85">
        <f>N$19/12*0.8</f>
        <v>21.016666666666666</v>
      </c>
      <c r="O29" s="85">
        <f t="shared" si="16"/>
        <v>21.412499999999994</v>
      </c>
      <c r="P29" s="85">
        <f t="shared" si="17"/>
        <v>23.196874999999995</v>
      </c>
      <c r="Q29" s="85">
        <f t="shared" si="19"/>
        <v>24.981249999999992</v>
      </c>
      <c r="R29" s="85">
        <f>R$19/12*0.7</f>
        <v>24.981249999999992</v>
      </c>
      <c r="S29" s="85">
        <f>S$19/12*0.8</f>
        <v>28.549999999999997</v>
      </c>
      <c r="T29" s="85">
        <f>T$19/12*0.8</f>
        <v>28.549999999999997</v>
      </c>
      <c r="U29" s="85">
        <f t="shared" si="20"/>
        <v>30.334374999999994</v>
      </c>
      <c r="V29" s="85">
        <f t="shared" si="18"/>
        <v>32.118749999999991</v>
      </c>
      <c r="W29" s="85">
        <f t="shared" si="18"/>
        <v>32.118749999999991</v>
      </c>
      <c r="X29" s="85">
        <f t="shared" si="18"/>
        <v>32.118749999999991</v>
      </c>
      <c r="Y29" s="85">
        <f t="shared" si="18"/>
        <v>32.118749999999991</v>
      </c>
      <c r="Z29" s="85">
        <f t="shared" si="18"/>
        <v>32.118749999999991</v>
      </c>
      <c r="AA29" s="85">
        <f t="shared" si="18"/>
        <v>32.118749999999991</v>
      </c>
      <c r="AB29" s="85">
        <f t="shared" si="18"/>
        <v>32.118749999999991</v>
      </c>
      <c r="AC29" s="85">
        <f t="shared" si="18"/>
        <v>32.118749999999991</v>
      </c>
      <c r="AD29" s="85">
        <f t="shared" si="18"/>
        <v>32.118749999999991</v>
      </c>
      <c r="AE29" s="85">
        <f t="shared" si="18"/>
        <v>32.118749999999991</v>
      </c>
      <c r="AF29" s="85">
        <f t="shared" si="18"/>
        <v>32.118749999999991</v>
      </c>
      <c r="AG29" s="85">
        <f t="shared" si="18"/>
        <v>32.118749999999991</v>
      </c>
      <c r="AH29" s="85">
        <f t="shared" si="18"/>
        <v>32.118749999999991</v>
      </c>
      <c r="AI29" s="85">
        <f t="shared" si="18"/>
        <v>32.118749999999991</v>
      </c>
      <c r="AJ29" s="85">
        <f t="shared" si="18"/>
        <v>32.118749999999991</v>
      </c>
      <c r="AK29" s="85">
        <f t="shared" si="18"/>
        <v>32.118749999999991</v>
      </c>
    </row>
    <row r="30" spans="1:37" x14ac:dyDescent="0.2">
      <c r="A30" s="53" t="s">
        <v>95</v>
      </c>
      <c r="B30" s="121"/>
      <c r="C30" s="121"/>
      <c r="D30" s="121"/>
      <c r="E30" s="121"/>
      <c r="F30" s="121"/>
      <c r="G30" s="121"/>
      <c r="H30" s="121"/>
      <c r="I30" s="121"/>
      <c r="J30" s="121">
        <v>0</v>
      </c>
      <c r="K30" s="84">
        <f>monthly_data!$C118*264.172/1000000-10</f>
        <v>18.258743012000004</v>
      </c>
      <c r="L30" s="85">
        <f>L$19/12*0.85</f>
        <v>20.41770833333333</v>
      </c>
      <c r="M30" s="85">
        <f>M$19/12*0.85</f>
        <v>21.905208333333327</v>
      </c>
      <c r="N30" s="85">
        <f>N$19/12*0.85</f>
        <v>22.330208333333328</v>
      </c>
      <c r="O30" s="85">
        <f t="shared" si="16"/>
        <v>21.412499999999994</v>
      </c>
      <c r="P30" s="85">
        <f t="shared" si="17"/>
        <v>23.196874999999995</v>
      </c>
      <c r="Q30" s="85">
        <f t="shared" si="19"/>
        <v>24.981249999999992</v>
      </c>
      <c r="R30" s="85">
        <f>R$19/12*0.7</f>
        <v>24.981249999999992</v>
      </c>
      <c r="S30" s="85">
        <f>S$19/12*0.85</f>
        <v>30.334374999999994</v>
      </c>
      <c r="T30" s="85">
        <f>T$19/12*0.85</f>
        <v>30.334374999999994</v>
      </c>
      <c r="U30" s="85">
        <f t="shared" si="20"/>
        <v>30.334374999999994</v>
      </c>
      <c r="V30" s="85">
        <f t="shared" si="18"/>
        <v>32.118749999999991</v>
      </c>
      <c r="W30" s="85">
        <f t="shared" si="18"/>
        <v>32.118749999999991</v>
      </c>
      <c r="X30" s="85">
        <f t="shared" si="18"/>
        <v>32.118749999999991</v>
      </c>
      <c r="Y30" s="85">
        <f t="shared" si="18"/>
        <v>32.118749999999991</v>
      </c>
      <c r="Z30" s="85">
        <f t="shared" si="18"/>
        <v>32.118749999999991</v>
      </c>
      <c r="AA30" s="85">
        <f t="shared" si="18"/>
        <v>32.118749999999991</v>
      </c>
      <c r="AB30" s="85">
        <f t="shared" si="18"/>
        <v>32.118749999999991</v>
      </c>
      <c r="AC30" s="85">
        <f t="shared" si="18"/>
        <v>32.118749999999991</v>
      </c>
      <c r="AD30" s="85">
        <f t="shared" si="18"/>
        <v>32.118749999999991</v>
      </c>
      <c r="AE30" s="85">
        <f t="shared" si="18"/>
        <v>32.118749999999991</v>
      </c>
      <c r="AF30" s="85">
        <f t="shared" si="18"/>
        <v>32.118749999999991</v>
      </c>
      <c r="AG30" s="85">
        <f t="shared" si="18"/>
        <v>32.118749999999991</v>
      </c>
      <c r="AH30" s="85">
        <f t="shared" si="18"/>
        <v>32.118749999999991</v>
      </c>
      <c r="AI30" s="85">
        <f t="shared" si="18"/>
        <v>32.118749999999991</v>
      </c>
      <c r="AJ30" s="85">
        <f t="shared" si="18"/>
        <v>32.118749999999991</v>
      </c>
      <c r="AK30" s="85">
        <f t="shared" si="18"/>
        <v>32.118749999999991</v>
      </c>
    </row>
    <row r="31" spans="1:37" x14ac:dyDescent="0.2">
      <c r="A31" s="53" t="s">
        <v>96</v>
      </c>
      <c r="B31" s="121"/>
      <c r="C31" s="121"/>
      <c r="D31" s="121"/>
      <c r="E31" s="121"/>
      <c r="F31" s="121"/>
      <c r="G31" s="121"/>
      <c r="H31" s="121"/>
      <c r="I31" s="121"/>
      <c r="J31" s="121">
        <v>0</v>
      </c>
      <c r="K31" s="84">
        <f>monthly_data!$C119*264.172/1000000-15</f>
        <v>9.1733230320000025</v>
      </c>
      <c r="L31" s="85">
        <f>L$19/12*0.8</f>
        <v>19.216666666666665</v>
      </c>
      <c r="M31" s="85">
        <f>M$19/12*0.8</f>
        <v>20.616666666666664</v>
      </c>
      <c r="N31" s="85">
        <f>N$19/12*0.8</f>
        <v>21.016666666666666</v>
      </c>
      <c r="O31" s="85">
        <f t="shared" si="16"/>
        <v>21.412499999999994</v>
      </c>
      <c r="P31" s="85">
        <f t="shared" si="17"/>
        <v>23.196874999999995</v>
      </c>
      <c r="Q31" s="85">
        <f t="shared" si="19"/>
        <v>24.981249999999992</v>
      </c>
      <c r="R31" s="85">
        <f>R$19/12*0.7</f>
        <v>24.981249999999992</v>
      </c>
      <c r="S31" s="85">
        <f>S$19/12*0.8</f>
        <v>28.549999999999997</v>
      </c>
      <c r="T31" s="85">
        <f>T$19/12*0.8</f>
        <v>28.549999999999997</v>
      </c>
      <c r="U31" s="85">
        <f t="shared" si="20"/>
        <v>30.334374999999994</v>
      </c>
      <c r="V31" s="85">
        <f t="shared" si="18"/>
        <v>32.118749999999991</v>
      </c>
      <c r="W31" s="85">
        <f t="shared" si="18"/>
        <v>32.118749999999991</v>
      </c>
      <c r="X31" s="85">
        <f t="shared" si="18"/>
        <v>32.118749999999991</v>
      </c>
      <c r="Y31" s="85">
        <f t="shared" si="18"/>
        <v>32.118749999999991</v>
      </c>
      <c r="Z31" s="85">
        <f t="shared" si="18"/>
        <v>32.118749999999991</v>
      </c>
      <c r="AA31" s="85">
        <f t="shared" si="18"/>
        <v>32.118749999999991</v>
      </c>
      <c r="AB31" s="85">
        <f t="shared" si="18"/>
        <v>32.118749999999991</v>
      </c>
      <c r="AC31" s="85">
        <f t="shared" si="18"/>
        <v>32.118749999999991</v>
      </c>
      <c r="AD31" s="85">
        <f t="shared" si="18"/>
        <v>32.118749999999991</v>
      </c>
      <c r="AE31" s="85">
        <f t="shared" si="18"/>
        <v>32.118749999999991</v>
      </c>
      <c r="AF31" s="85">
        <f t="shared" si="18"/>
        <v>32.118749999999991</v>
      </c>
      <c r="AG31" s="85">
        <f t="shared" si="18"/>
        <v>32.118749999999991</v>
      </c>
      <c r="AH31" s="85">
        <f t="shared" si="18"/>
        <v>32.118749999999991</v>
      </c>
      <c r="AI31" s="85">
        <f t="shared" si="18"/>
        <v>32.118749999999991</v>
      </c>
      <c r="AJ31" s="85">
        <f t="shared" si="18"/>
        <v>32.118749999999991</v>
      </c>
      <c r="AK31" s="85">
        <f t="shared" si="18"/>
        <v>32.118749999999991</v>
      </c>
    </row>
    <row r="32" spans="1:37" x14ac:dyDescent="0.2">
      <c r="A32" s="53" t="s">
        <v>97</v>
      </c>
      <c r="B32" s="121"/>
      <c r="C32" s="121"/>
      <c r="D32" s="121"/>
      <c r="E32" s="121"/>
      <c r="F32" s="121"/>
      <c r="G32" s="121"/>
      <c r="H32" s="121"/>
      <c r="I32" s="121"/>
      <c r="J32" s="121">
        <v>0</v>
      </c>
      <c r="K32" s="84">
        <f>monthly_data!$C120*264.172/1000000-12</f>
        <v>15.982419100000001</v>
      </c>
      <c r="L32" s="85">
        <f>L$19/12*0.9</f>
        <v>21.618749999999995</v>
      </c>
      <c r="M32" s="85">
        <f>M$19/12*0.9</f>
        <v>23.193749999999998</v>
      </c>
      <c r="N32" s="85">
        <f>N$19/12*0.9</f>
        <v>23.643749999999997</v>
      </c>
      <c r="O32" s="85">
        <f t="shared" si="16"/>
        <v>21.412499999999994</v>
      </c>
      <c r="P32" s="85">
        <f t="shared" si="17"/>
        <v>23.196874999999995</v>
      </c>
      <c r="Q32" s="85">
        <f t="shared" si="19"/>
        <v>24.981249999999992</v>
      </c>
      <c r="R32" s="85">
        <f>R$19/12*0.7</f>
        <v>24.981249999999992</v>
      </c>
      <c r="S32" s="85">
        <f>S$19/12*0.9</f>
        <v>32.118749999999991</v>
      </c>
      <c r="T32" s="85">
        <f>T$19/12*0.9</f>
        <v>32.118749999999991</v>
      </c>
      <c r="U32" s="85">
        <f t="shared" si="20"/>
        <v>30.334374999999994</v>
      </c>
      <c r="V32" s="85">
        <f t="shared" si="18"/>
        <v>32.118749999999991</v>
      </c>
      <c r="W32" s="85">
        <f t="shared" si="18"/>
        <v>32.118749999999991</v>
      </c>
      <c r="X32" s="85">
        <f t="shared" si="18"/>
        <v>32.118749999999991</v>
      </c>
      <c r="Y32" s="85">
        <f t="shared" si="18"/>
        <v>32.118749999999991</v>
      </c>
      <c r="Z32" s="85">
        <f t="shared" si="18"/>
        <v>32.118749999999991</v>
      </c>
      <c r="AA32" s="85">
        <f t="shared" si="18"/>
        <v>32.118749999999991</v>
      </c>
      <c r="AB32" s="85">
        <f t="shared" si="18"/>
        <v>32.118749999999991</v>
      </c>
      <c r="AC32" s="85">
        <f t="shared" si="18"/>
        <v>32.118749999999991</v>
      </c>
      <c r="AD32" s="85">
        <f t="shared" si="18"/>
        <v>32.118749999999991</v>
      </c>
      <c r="AE32" s="85">
        <f t="shared" si="18"/>
        <v>32.118749999999991</v>
      </c>
      <c r="AF32" s="85">
        <f t="shared" si="18"/>
        <v>32.118749999999991</v>
      </c>
      <c r="AG32" s="85">
        <f t="shared" si="18"/>
        <v>32.118749999999991</v>
      </c>
      <c r="AH32" s="85">
        <f t="shared" si="18"/>
        <v>32.118749999999991</v>
      </c>
      <c r="AI32" s="85">
        <f t="shared" si="18"/>
        <v>32.118749999999991</v>
      </c>
      <c r="AJ32" s="85">
        <f t="shared" si="18"/>
        <v>32.118749999999991</v>
      </c>
      <c r="AK32" s="85">
        <f t="shared" si="18"/>
        <v>32.118749999999991</v>
      </c>
    </row>
    <row r="33" spans="1:37" x14ac:dyDescent="0.2">
      <c r="A33" s="53" t="s">
        <v>98</v>
      </c>
      <c r="B33" s="121"/>
      <c r="C33" s="121"/>
      <c r="D33" s="121"/>
      <c r="E33" s="121"/>
      <c r="F33" s="121"/>
      <c r="G33" s="121"/>
      <c r="H33" s="121"/>
      <c r="I33" s="121"/>
      <c r="J33" s="121">
        <v>0</v>
      </c>
      <c r="K33" s="84">
        <f>monthly_data!$C121*264.172/1000000-12</f>
        <v>6.0059635200000017</v>
      </c>
      <c r="L33" s="85">
        <f>L$19/12*0.8</f>
        <v>19.216666666666665</v>
      </c>
      <c r="M33" s="85">
        <f>M$19/12*0.8</f>
        <v>20.616666666666664</v>
      </c>
      <c r="N33" s="85">
        <f>N$19/12*0.8</f>
        <v>21.016666666666666</v>
      </c>
      <c r="O33" s="85">
        <f t="shared" si="16"/>
        <v>21.412499999999994</v>
      </c>
      <c r="P33" s="85">
        <f t="shared" si="17"/>
        <v>23.196874999999995</v>
      </c>
      <c r="Q33" s="85">
        <f t="shared" si="19"/>
        <v>24.981249999999992</v>
      </c>
      <c r="R33" s="85">
        <f>R$19/12*0.8</f>
        <v>28.549999999999997</v>
      </c>
      <c r="S33" s="85">
        <f>S$19/12*0.8</f>
        <v>28.549999999999997</v>
      </c>
      <c r="T33" s="85">
        <f>T$19/12*0.8</f>
        <v>28.549999999999997</v>
      </c>
      <c r="U33" s="85">
        <f t="shared" si="20"/>
        <v>30.334374999999994</v>
      </c>
      <c r="V33" s="85">
        <f t="shared" si="18"/>
        <v>32.118749999999991</v>
      </c>
      <c r="W33" s="85">
        <f t="shared" si="18"/>
        <v>32.118749999999991</v>
      </c>
      <c r="X33" s="85">
        <f t="shared" si="18"/>
        <v>32.118749999999991</v>
      </c>
      <c r="Y33" s="85">
        <f t="shared" si="18"/>
        <v>32.118749999999991</v>
      </c>
      <c r="Z33" s="85">
        <f t="shared" si="18"/>
        <v>32.118749999999991</v>
      </c>
      <c r="AA33" s="85">
        <f t="shared" si="18"/>
        <v>32.118749999999991</v>
      </c>
      <c r="AB33" s="85">
        <f t="shared" si="18"/>
        <v>32.118749999999991</v>
      </c>
      <c r="AC33" s="85">
        <f t="shared" si="18"/>
        <v>32.118749999999991</v>
      </c>
      <c r="AD33" s="85">
        <f t="shared" si="18"/>
        <v>32.118749999999991</v>
      </c>
      <c r="AE33" s="85">
        <f t="shared" si="18"/>
        <v>32.118749999999991</v>
      </c>
      <c r="AF33" s="85">
        <f t="shared" si="18"/>
        <v>32.118749999999991</v>
      </c>
      <c r="AG33" s="85">
        <f t="shared" si="18"/>
        <v>32.118749999999991</v>
      </c>
      <c r="AH33" s="85">
        <f t="shared" si="18"/>
        <v>32.118749999999991</v>
      </c>
      <c r="AI33" s="85">
        <f t="shared" si="18"/>
        <v>32.118749999999991</v>
      </c>
      <c r="AJ33" s="85">
        <f t="shared" si="18"/>
        <v>32.118749999999991</v>
      </c>
      <c r="AK33" s="85">
        <f t="shared" si="18"/>
        <v>32.118749999999991</v>
      </c>
    </row>
    <row r="34" spans="1:37" x14ac:dyDescent="0.2">
      <c r="A34" s="53" t="s">
        <v>99</v>
      </c>
      <c r="B34" s="121"/>
      <c r="C34" s="121"/>
      <c r="D34" s="121"/>
      <c r="E34" s="121"/>
      <c r="F34" s="121"/>
      <c r="G34" s="121"/>
      <c r="H34" s="121"/>
      <c r="I34" s="121"/>
      <c r="J34" s="121">
        <f>3.7/2</f>
        <v>1.85</v>
      </c>
      <c r="K34" s="84">
        <f>monthly_data!$C122*264.172/1000000-15</f>
        <v>9.8527734160000016</v>
      </c>
      <c r="L34" s="85">
        <f>L$19/12*0.85</f>
        <v>20.41770833333333</v>
      </c>
      <c r="M34" s="85">
        <f>M$19/12*0.85</f>
        <v>21.905208333333327</v>
      </c>
      <c r="N34" s="85">
        <f>N$19/12*0.85</f>
        <v>22.330208333333328</v>
      </c>
      <c r="O34" s="85">
        <f t="shared" si="16"/>
        <v>21.412499999999994</v>
      </c>
      <c r="P34" s="85">
        <f t="shared" si="17"/>
        <v>23.196874999999995</v>
      </c>
      <c r="Q34" s="85">
        <f t="shared" si="19"/>
        <v>24.981249999999992</v>
      </c>
      <c r="R34" s="85">
        <f>R$19/12*0.85</f>
        <v>30.334374999999994</v>
      </c>
      <c r="S34" s="85">
        <f>S$19/12*0.85</f>
        <v>30.334374999999994</v>
      </c>
      <c r="T34" s="85">
        <f>T$19/12*0.85</f>
        <v>30.334374999999994</v>
      </c>
      <c r="U34" s="85">
        <f t="shared" si="20"/>
        <v>30.334374999999994</v>
      </c>
      <c r="V34" s="85">
        <f t="shared" si="18"/>
        <v>32.118749999999991</v>
      </c>
      <c r="W34" s="85">
        <f t="shared" si="18"/>
        <v>32.118749999999991</v>
      </c>
      <c r="X34" s="85">
        <f t="shared" si="18"/>
        <v>32.118749999999991</v>
      </c>
      <c r="Y34" s="85">
        <f t="shared" si="18"/>
        <v>32.118749999999991</v>
      </c>
      <c r="Z34" s="85">
        <f t="shared" si="18"/>
        <v>32.118749999999991</v>
      </c>
      <c r="AA34" s="85">
        <f t="shared" si="18"/>
        <v>32.118749999999991</v>
      </c>
      <c r="AB34" s="85">
        <f t="shared" si="18"/>
        <v>32.118749999999991</v>
      </c>
      <c r="AC34" s="85">
        <f t="shared" si="18"/>
        <v>32.118749999999991</v>
      </c>
      <c r="AD34" s="85">
        <f t="shared" si="18"/>
        <v>32.118749999999991</v>
      </c>
      <c r="AE34" s="85">
        <f t="shared" si="18"/>
        <v>32.118749999999991</v>
      </c>
      <c r="AF34" s="85">
        <f t="shared" si="18"/>
        <v>32.118749999999991</v>
      </c>
      <c r="AG34" s="85">
        <f t="shared" si="18"/>
        <v>32.118749999999991</v>
      </c>
      <c r="AH34" s="85">
        <f t="shared" si="18"/>
        <v>32.118749999999991</v>
      </c>
      <c r="AI34" s="85">
        <f t="shared" si="18"/>
        <v>32.118749999999991</v>
      </c>
      <c r="AJ34" s="85">
        <f t="shared" si="18"/>
        <v>32.118749999999991</v>
      </c>
      <c r="AK34" s="85">
        <f t="shared" si="18"/>
        <v>32.118749999999991</v>
      </c>
    </row>
    <row r="35" spans="1:37" x14ac:dyDescent="0.2">
      <c r="A35" s="53" t="s">
        <v>100</v>
      </c>
      <c r="B35" s="121"/>
      <c r="C35" s="121"/>
      <c r="D35" s="121"/>
      <c r="E35" s="121"/>
      <c r="F35" s="121"/>
      <c r="G35" s="121"/>
      <c r="H35" s="121"/>
      <c r="I35" s="121"/>
      <c r="J35" s="121">
        <f>3.7/2</f>
        <v>1.85</v>
      </c>
      <c r="K35" s="84">
        <f>monthly_data!$C123*264.172/1000000-15</f>
        <v>14.177269056</v>
      </c>
      <c r="L35" s="85">
        <f t="shared" ref="L35:V35" si="21">L36-SUM(L24:L34)</f>
        <v>10.80937499999996</v>
      </c>
      <c r="M35" s="85">
        <f t="shared" si="21"/>
        <v>11.596875000000011</v>
      </c>
      <c r="N35" s="85">
        <f t="shared" si="21"/>
        <v>11.821874999999977</v>
      </c>
      <c r="O35" s="85">
        <f t="shared" si="21"/>
        <v>21.412499999999994</v>
      </c>
      <c r="P35" s="85">
        <f t="shared" si="21"/>
        <v>23.196874999999949</v>
      </c>
      <c r="Q35" s="85">
        <f t="shared" si="21"/>
        <v>39.256250000000023</v>
      </c>
      <c r="R35" s="85">
        <f t="shared" si="21"/>
        <v>27.479375000000061</v>
      </c>
      <c r="S35" s="85">
        <f t="shared" si="21"/>
        <v>7.4943749999999909</v>
      </c>
      <c r="T35" s="85">
        <f t="shared" si="21"/>
        <v>16.059374999999989</v>
      </c>
      <c r="U35" s="85">
        <f t="shared" si="21"/>
        <v>21.055624999999907</v>
      </c>
      <c r="V35" s="85">
        <f t="shared" si="21"/>
        <v>10.706250000000125</v>
      </c>
      <c r="W35" s="85">
        <f t="shared" ref="W35:AF35" si="22">W36-SUM(W24:W34)</f>
        <v>10.706250000000125</v>
      </c>
      <c r="X35" s="85">
        <f t="shared" si="22"/>
        <v>10.706250000000125</v>
      </c>
      <c r="Y35" s="85">
        <f t="shared" si="22"/>
        <v>10.706250000000125</v>
      </c>
      <c r="Z35" s="85">
        <f t="shared" si="22"/>
        <v>10.706250000000125</v>
      </c>
      <c r="AA35" s="85">
        <f t="shared" si="22"/>
        <v>10.706250000000125</v>
      </c>
      <c r="AB35" s="85">
        <f t="shared" si="22"/>
        <v>10.706250000000125</v>
      </c>
      <c r="AC35" s="85">
        <f t="shared" si="22"/>
        <v>10.706250000000125</v>
      </c>
      <c r="AD35" s="85">
        <f t="shared" si="22"/>
        <v>10.706250000000125</v>
      </c>
      <c r="AE35" s="85">
        <f t="shared" si="22"/>
        <v>10.706250000000125</v>
      </c>
      <c r="AF35" s="85">
        <f t="shared" si="22"/>
        <v>10.706250000000125</v>
      </c>
      <c r="AG35" s="85">
        <f>AG36-SUM(AG24:AG34)</f>
        <v>10.706250000000125</v>
      </c>
      <c r="AH35" s="85">
        <f>AH36-SUM(AH24:AH34)</f>
        <v>10.706250000000125</v>
      </c>
      <c r="AI35" s="85">
        <f>AI36-SUM(AI24:AI34)</f>
        <v>10.706250000000125</v>
      </c>
      <c r="AJ35" s="85">
        <f>AJ36-SUM(AJ24:AJ34)</f>
        <v>10.706250000000125</v>
      </c>
      <c r="AK35" s="85">
        <f>AK36-SUM(AK24:AK34)</f>
        <v>10.706250000000125</v>
      </c>
    </row>
    <row r="36" spans="1:37" x14ac:dyDescent="0.2">
      <c r="A36" s="86" t="s">
        <v>101</v>
      </c>
      <c r="B36" s="122">
        <f t="shared" ref="B36:K36" si="23">SUM(B24:B35)</f>
        <v>0</v>
      </c>
      <c r="C36" s="122">
        <f t="shared" si="23"/>
        <v>0</v>
      </c>
      <c r="D36" s="122">
        <f t="shared" si="23"/>
        <v>0</v>
      </c>
      <c r="E36" s="122">
        <f t="shared" si="23"/>
        <v>0</v>
      </c>
      <c r="F36" s="122">
        <f t="shared" si="23"/>
        <v>0</v>
      </c>
      <c r="G36" s="122">
        <f t="shared" si="23"/>
        <v>0</v>
      </c>
      <c r="H36" s="122">
        <f t="shared" si="23"/>
        <v>0</v>
      </c>
      <c r="I36" s="122">
        <f t="shared" si="23"/>
        <v>0</v>
      </c>
      <c r="J36" s="122">
        <f t="shared" si="23"/>
        <v>3.7</v>
      </c>
      <c r="K36" s="122">
        <f t="shared" si="23"/>
        <v>137.95294828800002</v>
      </c>
      <c r="L36" s="88">
        <f>L4</f>
        <v>230.59999999999997</v>
      </c>
      <c r="M36" s="88">
        <f t="shared" ref="M36:AF36" si="24">M4</f>
        <v>247.39999999999998</v>
      </c>
      <c r="N36" s="88">
        <f t="shared" si="24"/>
        <v>252.19999999999996</v>
      </c>
      <c r="O36" s="88">
        <f t="shared" si="24"/>
        <v>256.94999999999993</v>
      </c>
      <c r="P36" s="88">
        <f t="shared" si="24"/>
        <v>278.36249999999995</v>
      </c>
      <c r="Q36" s="88">
        <f t="shared" si="24"/>
        <v>321.18749999999994</v>
      </c>
      <c r="R36" s="88">
        <f t="shared" si="24"/>
        <v>325.46999999999997</v>
      </c>
      <c r="S36" s="88">
        <f t="shared" si="24"/>
        <v>334.03499999999997</v>
      </c>
      <c r="T36" s="88">
        <f t="shared" si="24"/>
        <v>342.59999999999997</v>
      </c>
      <c r="U36" s="88">
        <f t="shared" si="24"/>
        <v>351.16499999999991</v>
      </c>
      <c r="V36" s="88">
        <f t="shared" si="24"/>
        <v>364.01249999999993</v>
      </c>
      <c r="W36" s="88">
        <f t="shared" si="24"/>
        <v>364.01249999999993</v>
      </c>
      <c r="X36" s="88">
        <f t="shared" si="24"/>
        <v>364.01249999999993</v>
      </c>
      <c r="Y36" s="88">
        <f t="shared" si="24"/>
        <v>364.01249999999993</v>
      </c>
      <c r="Z36" s="88">
        <f t="shared" si="24"/>
        <v>364.01249999999993</v>
      </c>
      <c r="AA36" s="88">
        <f t="shared" si="24"/>
        <v>364.01249999999993</v>
      </c>
      <c r="AB36" s="88">
        <f t="shared" si="24"/>
        <v>364.01249999999993</v>
      </c>
      <c r="AC36" s="88">
        <f t="shared" si="24"/>
        <v>364.01249999999993</v>
      </c>
      <c r="AD36" s="88">
        <f t="shared" si="24"/>
        <v>364.01249999999993</v>
      </c>
      <c r="AE36" s="88">
        <f t="shared" si="24"/>
        <v>364.01249999999993</v>
      </c>
      <c r="AF36" s="88">
        <f t="shared" si="24"/>
        <v>364.01249999999993</v>
      </c>
      <c r="AG36" s="88">
        <f>AG4</f>
        <v>364.01249999999993</v>
      </c>
      <c r="AH36" s="88">
        <f>AH4</f>
        <v>364.01249999999993</v>
      </c>
      <c r="AI36" s="88">
        <f>AI4</f>
        <v>364.01249999999993</v>
      </c>
      <c r="AJ36" s="88">
        <f>AJ4</f>
        <v>364.01249999999993</v>
      </c>
      <c r="AK36" s="88">
        <f>AK4</f>
        <v>364.01249999999993</v>
      </c>
    </row>
    <row r="37" spans="1:37" x14ac:dyDescent="0.2">
      <c r="B37" s="113"/>
      <c r="C37" s="113"/>
      <c r="D37" s="113"/>
      <c r="E37" s="113"/>
      <c r="F37" s="113"/>
      <c r="G37" s="113"/>
      <c r="H37" s="113"/>
      <c r="I37" s="113"/>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row>
    <row r="38" spans="1:37" ht="12" thickBot="1" x14ac:dyDescent="0.25">
      <c r="A38" s="81" t="s">
        <v>117</v>
      </c>
    </row>
    <row r="39" spans="1:37" ht="12" thickBot="1" x14ac:dyDescent="0.25">
      <c r="A39" s="82"/>
      <c r="B39" s="120">
        <f t="shared" ref="B39:T39" si="25">B2</f>
        <v>2015</v>
      </c>
      <c r="C39" s="120">
        <f t="shared" si="25"/>
        <v>2016</v>
      </c>
      <c r="D39" s="120">
        <f t="shared" si="25"/>
        <v>2017</v>
      </c>
      <c r="E39" s="120">
        <f t="shared" si="25"/>
        <v>2018</v>
      </c>
      <c r="F39" s="120">
        <f t="shared" si="25"/>
        <v>2019</v>
      </c>
      <c r="G39" s="120">
        <f t="shared" si="25"/>
        <v>2020</v>
      </c>
      <c r="H39" s="120">
        <f t="shared" si="25"/>
        <v>2021</v>
      </c>
      <c r="I39" s="120">
        <f t="shared" si="25"/>
        <v>2022</v>
      </c>
      <c r="J39" s="120">
        <f t="shared" si="25"/>
        <v>2023</v>
      </c>
      <c r="K39" s="120">
        <f t="shared" si="25"/>
        <v>2024</v>
      </c>
      <c r="L39" s="120">
        <f t="shared" si="25"/>
        <v>2025</v>
      </c>
      <c r="M39" s="120">
        <f t="shared" si="25"/>
        <v>2026</v>
      </c>
      <c r="N39" s="120">
        <f t="shared" si="25"/>
        <v>2027</v>
      </c>
      <c r="O39" s="120">
        <f t="shared" si="25"/>
        <v>2028</v>
      </c>
      <c r="P39" s="120">
        <f t="shared" si="25"/>
        <v>2029</v>
      </c>
      <c r="Q39" s="120">
        <f t="shared" si="25"/>
        <v>2030</v>
      </c>
      <c r="R39" s="120">
        <f t="shared" si="25"/>
        <v>2031</v>
      </c>
      <c r="S39" s="120">
        <f t="shared" si="25"/>
        <v>2032</v>
      </c>
      <c r="T39" s="120">
        <f t="shared" si="25"/>
        <v>2033</v>
      </c>
      <c r="U39" s="120">
        <f>U2</f>
        <v>2034</v>
      </c>
      <c r="V39" s="120">
        <f>V2</f>
        <v>2035</v>
      </c>
      <c r="W39" s="120">
        <f t="shared" ref="W39:AF39" si="26">W2</f>
        <v>2036</v>
      </c>
      <c r="X39" s="120">
        <f t="shared" si="26"/>
        <v>2037</v>
      </c>
      <c r="Y39" s="120">
        <f t="shared" si="26"/>
        <v>2038</v>
      </c>
      <c r="Z39" s="120">
        <f t="shared" si="26"/>
        <v>2039</v>
      </c>
      <c r="AA39" s="120">
        <f t="shared" si="26"/>
        <v>2040</v>
      </c>
      <c r="AB39" s="120">
        <f t="shared" si="26"/>
        <v>2041</v>
      </c>
      <c r="AC39" s="120">
        <f t="shared" si="26"/>
        <v>2042</v>
      </c>
      <c r="AD39" s="120">
        <f t="shared" si="26"/>
        <v>2043</v>
      </c>
      <c r="AE39" s="120">
        <f t="shared" si="26"/>
        <v>2044</v>
      </c>
      <c r="AF39" s="120">
        <f t="shared" si="26"/>
        <v>2045</v>
      </c>
      <c r="AG39" s="120">
        <f>AG2</f>
        <v>2046</v>
      </c>
      <c r="AH39" s="120">
        <f>AH2</f>
        <v>2047</v>
      </c>
      <c r="AI39" s="120">
        <f>AI2</f>
        <v>2048</v>
      </c>
      <c r="AJ39" s="120">
        <f>AJ2</f>
        <v>2049</v>
      </c>
      <c r="AK39" s="120">
        <f>AK2</f>
        <v>2050</v>
      </c>
    </row>
    <row r="40" spans="1:37" x14ac:dyDescent="0.2">
      <c r="A40" s="53" t="s">
        <v>89</v>
      </c>
      <c r="B40" s="121"/>
      <c r="C40" s="121"/>
      <c r="D40" s="121"/>
      <c r="E40" s="121"/>
      <c r="F40" s="123"/>
      <c r="G40" s="123"/>
      <c r="H40" s="123"/>
      <c r="I40" s="123">
        <f>monthly_data!U88*0.26417/1000</f>
        <v>2.2982790000000003E-2</v>
      </c>
      <c r="J40" s="123">
        <f>monthly_data!U100*0.26417/1000</f>
        <v>0.34711938000000003</v>
      </c>
      <c r="K40" s="123">
        <f>monthly_data!U112*0.26417/1000</f>
        <v>21.578990619999999</v>
      </c>
      <c r="L40" s="124">
        <f t="shared" ref="L40:L50" si="27">L$52*(SUM(G40:K40)/SUM(G$52:K$52))</f>
        <v>7.1144543990178688</v>
      </c>
      <c r="M40" s="124">
        <f t="shared" ref="M40:M50" si="28">M$52*(SUM(H40:L40)/SUM(H$52:L$52))</f>
        <v>8.8930679987723362</v>
      </c>
      <c r="N40" s="124">
        <f t="shared" ref="N40:AC50" si="29">N$52*(SUM(I40:M40)/SUM(I$52:M$52))</f>
        <v>9.0002148215823983</v>
      </c>
      <c r="O40" s="124">
        <f t="shared" si="29"/>
        <v>9.3867694438745204</v>
      </c>
      <c r="P40" s="124">
        <f t="shared" si="29"/>
        <v>11.194699456649424</v>
      </c>
      <c r="Q40" s="124">
        <f t="shared" si="29"/>
        <v>10.206152207266319</v>
      </c>
      <c r="R40" s="124">
        <f t="shared" si="29"/>
        <v>10.159284783253945</v>
      </c>
      <c r="S40" s="124">
        <f t="shared" si="29"/>
        <v>10.666488369330974</v>
      </c>
      <c r="T40" s="124">
        <f t="shared" si="29"/>
        <v>10.951835716485336</v>
      </c>
      <c r="U40" s="124">
        <f t="shared" si="29"/>
        <v>11.209659465984263</v>
      </c>
      <c r="V40" s="124">
        <f t="shared" si="29"/>
        <v>11.090451261638769</v>
      </c>
      <c r="W40" s="124">
        <f t="shared" si="29"/>
        <v>11.345222864544189</v>
      </c>
      <c r="X40" s="124">
        <f t="shared" si="29"/>
        <v>11.526053046500884</v>
      </c>
      <c r="Y40" s="124">
        <f t="shared" si="29"/>
        <v>11.696221739829374</v>
      </c>
      <c r="Z40" s="124">
        <f t="shared" si="29"/>
        <v>11.884102469563693</v>
      </c>
      <c r="AA40" s="124">
        <f t="shared" si="29"/>
        <v>12.027049304700295</v>
      </c>
      <c r="AB40" s="124">
        <f t="shared" si="29"/>
        <v>12.199501975454078</v>
      </c>
      <c r="AC40" s="124">
        <f t="shared" si="29"/>
        <v>12.361321466984506</v>
      </c>
      <c r="AD40" s="124">
        <f t="shared" ref="AD40:AK50" si="30">AD$52*(SUM(Y40:AC40)/SUM(Y$52:AC$52))</f>
        <v>12.534158434476092</v>
      </c>
      <c r="AE40" s="124">
        <f t="shared" si="30"/>
        <v>12.697287642418047</v>
      </c>
      <c r="AF40" s="124">
        <f t="shared" si="30"/>
        <v>12.863116003008331</v>
      </c>
      <c r="AG40" s="124">
        <f t="shared" si="30"/>
        <v>13.034466827952093</v>
      </c>
      <c r="AH40" s="124">
        <f t="shared" si="30"/>
        <v>13.200503020187954</v>
      </c>
      <c r="AI40" s="124">
        <f t="shared" si="30"/>
        <v>13.365931206270462</v>
      </c>
      <c r="AJ40" s="124">
        <f t="shared" si="30"/>
        <v>13.531717626340102</v>
      </c>
      <c r="AK40" s="124">
        <f t="shared" si="30"/>
        <v>13.699293127324196</v>
      </c>
    </row>
    <row r="41" spans="1:37" x14ac:dyDescent="0.2">
      <c r="A41" s="53" t="s">
        <v>90</v>
      </c>
      <c r="B41" s="121"/>
      <c r="C41" s="121"/>
      <c r="D41" s="121"/>
      <c r="E41" s="121"/>
      <c r="F41" s="123"/>
      <c r="G41" s="123"/>
      <c r="H41" s="123"/>
      <c r="I41" s="123">
        <f>monthly_data!U89*0.26417/1000</f>
        <v>3.9625500000000004E-3</v>
      </c>
      <c r="J41" s="123">
        <f>monthly_data!U101*0.26417/1000</f>
        <v>7.7137640000000003</v>
      </c>
      <c r="K41" s="123">
        <f>monthly_data!U113*0.26417/1000</f>
        <v>18.178330209999999</v>
      </c>
      <c r="L41" s="124">
        <f t="shared" si="27"/>
        <v>8.3938009053994467</v>
      </c>
      <c r="M41" s="124">
        <f t="shared" si="28"/>
        <v>10.492251131749306</v>
      </c>
      <c r="N41" s="124">
        <f t="shared" si="29"/>
        <v>10.618665477512479</v>
      </c>
      <c r="O41" s="124">
        <f t="shared" si="29"/>
        <v>11.079362344932246</v>
      </c>
      <c r="P41" s="124">
        <f t="shared" si="29"/>
        <v>11.752482013918693</v>
      </c>
      <c r="Q41" s="124">
        <f t="shared" si="29"/>
        <v>11.716697041867434</v>
      </c>
      <c r="R41" s="124">
        <f t="shared" si="29"/>
        <v>11.615648830999437</v>
      </c>
      <c r="S41" s="124">
        <f t="shared" si="29"/>
        <v>12.126297999932351</v>
      </c>
      <c r="T41" s="124">
        <f t="shared" si="29"/>
        <v>12.368646939324812</v>
      </c>
      <c r="U41" s="124">
        <f t="shared" si="29"/>
        <v>12.559012760934857</v>
      </c>
      <c r="V41" s="124">
        <f t="shared" si="29"/>
        <v>12.590116405744361</v>
      </c>
      <c r="W41" s="124">
        <f t="shared" si="29"/>
        <v>12.851969619337719</v>
      </c>
      <c r="X41" s="124">
        <f t="shared" si="29"/>
        <v>13.034474109029544</v>
      </c>
      <c r="Y41" s="124">
        <f t="shared" si="29"/>
        <v>13.213600062570155</v>
      </c>
      <c r="Z41" s="124">
        <f t="shared" si="29"/>
        <v>13.426690110318487</v>
      </c>
      <c r="AA41" s="124">
        <f t="shared" si="29"/>
        <v>13.610282400411936</v>
      </c>
      <c r="AB41" s="124">
        <f t="shared" si="29"/>
        <v>13.797149369116529</v>
      </c>
      <c r="AC41" s="124">
        <f t="shared" si="29"/>
        <v>13.975790687618041</v>
      </c>
      <c r="AD41" s="124">
        <f t="shared" si="30"/>
        <v>14.170567304691096</v>
      </c>
      <c r="AE41" s="124">
        <f t="shared" si="30"/>
        <v>14.356998915171738</v>
      </c>
      <c r="AF41" s="124">
        <f t="shared" si="30"/>
        <v>14.546756608139296</v>
      </c>
      <c r="AG41" s="124">
        <f t="shared" si="30"/>
        <v>14.738657981651471</v>
      </c>
      <c r="AH41" s="124">
        <f t="shared" si="30"/>
        <v>14.925857069153389</v>
      </c>
      <c r="AI41" s="124">
        <f t="shared" si="30"/>
        <v>15.113156803312341</v>
      </c>
      <c r="AJ41" s="124">
        <f t="shared" si="30"/>
        <v>15.301048285786388</v>
      </c>
      <c r="AK41" s="124">
        <f t="shared" si="30"/>
        <v>15.490641715506806</v>
      </c>
    </row>
    <row r="42" spans="1:37" x14ac:dyDescent="0.2">
      <c r="A42" s="53" t="s">
        <v>91</v>
      </c>
      <c r="B42" s="121"/>
      <c r="C42" s="121"/>
      <c r="D42" s="121"/>
      <c r="E42" s="121"/>
      <c r="F42" s="123"/>
      <c r="G42" s="123"/>
      <c r="H42" s="123"/>
      <c r="I42" s="123">
        <f>monthly_data!U90*0.26417/1000</f>
        <v>0.32651412000000007</v>
      </c>
      <c r="J42" s="123">
        <f>monthly_data!U102*0.26417/1000</f>
        <v>3.4059438100000001</v>
      </c>
      <c r="K42" s="123">
        <f>monthly_data!U114*0.26417/1000</f>
        <v>23.141292</v>
      </c>
      <c r="L42" s="124">
        <f t="shared" si="27"/>
        <v>8.7107048221465302</v>
      </c>
      <c r="M42" s="124">
        <f t="shared" si="28"/>
        <v>10.888381027683161</v>
      </c>
      <c r="N42" s="124">
        <f t="shared" si="29"/>
        <v>11.019568086280112</v>
      </c>
      <c r="O42" s="124">
        <f t="shared" si="29"/>
        <v>11.433177949221959</v>
      </c>
      <c r="P42" s="124">
        <f t="shared" si="29"/>
        <v>13.038624777066351</v>
      </c>
      <c r="Q42" s="124">
        <f t="shared" si="29"/>
        <v>12.333217305551097</v>
      </c>
      <c r="R42" s="124">
        <f t="shared" si="29"/>
        <v>12.25289026890386</v>
      </c>
      <c r="S42" s="124">
        <f t="shared" si="29"/>
        <v>12.829883191082923</v>
      </c>
      <c r="T42" s="124">
        <f t="shared" si="29"/>
        <v>13.131958416821311</v>
      </c>
      <c r="U42" s="124">
        <f t="shared" si="29"/>
        <v>13.403619314095248</v>
      </c>
      <c r="V42" s="124">
        <f t="shared" si="29"/>
        <v>13.333448879283832</v>
      </c>
      <c r="W42" s="124">
        <f t="shared" si="29"/>
        <v>13.626548100498109</v>
      </c>
      <c r="X42" s="124">
        <f t="shared" si="29"/>
        <v>13.833155064832983</v>
      </c>
      <c r="Y42" s="124">
        <f t="shared" si="29"/>
        <v>14.031477877951145</v>
      </c>
      <c r="Z42" s="124">
        <f t="shared" si="29"/>
        <v>14.258231150687918</v>
      </c>
      <c r="AA42" s="124">
        <f t="shared" si="29"/>
        <v>14.439231071566944</v>
      </c>
      <c r="AB42" s="124">
        <f t="shared" si="29"/>
        <v>14.64237804035664</v>
      </c>
      <c r="AC42" s="124">
        <f t="shared" si="29"/>
        <v>14.834618902123076</v>
      </c>
      <c r="AD42" s="124">
        <f t="shared" si="30"/>
        <v>15.041844372645377</v>
      </c>
      <c r="AE42" s="124">
        <f t="shared" si="30"/>
        <v>15.238606521833598</v>
      </c>
      <c r="AF42" s="124">
        <f t="shared" si="30"/>
        <v>15.438547463698225</v>
      </c>
      <c r="AG42" s="124">
        <f t="shared" si="30"/>
        <v>15.643343316302241</v>
      </c>
      <c r="AH42" s="124">
        <f t="shared" si="30"/>
        <v>15.842379232154824</v>
      </c>
      <c r="AI42" s="124">
        <f t="shared" si="30"/>
        <v>16.041046118471026</v>
      </c>
      <c r="AJ42" s="124">
        <f t="shared" si="30"/>
        <v>16.240211939891971</v>
      </c>
      <c r="AK42" s="124">
        <f t="shared" si="30"/>
        <v>16.441361726511094</v>
      </c>
    </row>
    <row r="43" spans="1:37" x14ac:dyDescent="0.2">
      <c r="A43" s="53" t="s">
        <v>92</v>
      </c>
      <c r="B43" s="121"/>
      <c r="C43" s="121"/>
      <c r="D43" s="121"/>
      <c r="E43" s="121"/>
      <c r="F43" s="123"/>
      <c r="G43" s="123"/>
      <c r="H43" s="123"/>
      <c r="I43" s="123">
        <f>monthly_data!U91*0.26417/1000</f>
        <v>3.3486189200000003</v>
      </c>
      <c r="J43" s="123">
        <f>monthly_data!U103*0.26417/1000</f>
        <v>6.8562681799999998</v>
      </c>
      <c r="K43" s="123">
        <f>monthly_data!U115*0.26417/1000</f>
        <v>21.951470320000002</v>
      </c>
      <c r="L43" s="124">
        <f t="shared" si="27"/>
        <v>10.422979240733802</v>
      </c>
      <c r="M43" s="124">
        <f t="shared" si="28"/>
        <v>13.028724050917251</v>
      </c>
      <c r="N43" s="124">
        <f t="shared" si="29"/>
        <v>13.185698717873306</v>
      </c>
      <c r="O43" s="124">
        <f t="shared" si="29"/>
        <v>13.089028101904871</v>
      </c>
      <c r="P43" s="124">
        <f t="shared" si="29"/>
        <v>14.335580086285846</v>
      </c>
      <c r="Q43" s="124">
        <f t="shared" si="29"/>
        <v>14.341698012064681</v>
      </c>
      <c r="R43" s="124">
        <f t="shared" si="29"/>
        <v>14.186991810775444</v>
      </c>
      <c r="S43" s="124">
        <f t="shared" si="29"/>
        <v>14.765021365678766</v>
      </c>
      <c r="T43" s="124">
        <f t="shared" si="29"/>
        <v>15.005705923011995</v>
      </c>
      <c r="U43" s="124">
        <f t="shared" si="29"/>
        <v>15.310965675570836</v>
      </c>
      <c r="V43" s="124">
        <f t="shared" si="29"/>
        <v>15.347243217822717</v>
      </c>
      <c r="W43" s="124">
        <f t="shared" si="29"/>
        <v>15.654031616664888</v>
      </c>
      <c r="X43" s="124">
        <f t="shared" si="29"/>
        <v>15.868228047687914</v>
      </c>
      <c r="Y43" s="124">
        <f t="shared" si="29"/>
        <v>16.085794330610312</v>
      </c>
      <c r="Z43" s="124">
        <f t="shared" si="29"/>
        <v>16.355959299085541</v>
      </c>
      <c r="AA43" s="124">
        <f t="shared" si="29"/>
        <v>16.577100912726969</v>
      </c>
      <c r="AB43" s="124">
        <f t="shared" si="29"/>
        <v>16.802054964156788</v>
      </c>
      <c r="AC43" s="124">
        <f t="shared" si="29"/>
        <v>17.018976048949142</v>
      </c>
      <c r="AD43" s="124">
        <f t="shared" si="30"/>
        <v>17.257094325046786</v>
      </c>
      <c r="AE43" s="124">
        <f t="shared" si="30"/>
        <v>17.485359655927873</v>
      </c>
      <c r="AF43" s="124">
        <f t="shared" si="30"/>
        <v>17.715711753485056</v>
      </c>
      <c r="AG43" s="124">
        <f t="shared" si="30"/>
        <v>17.94902893937978</v>
      </c>
      <c r="AH43" s="124">
        <f t="shared" si="30"/>
        <v>18.177083979788389</v>
      </c>
      <c r="AI43" s="124">
        <f t="shared" si="30"/>
        <v>18.40540944345577</v>
      </c>
      <c r="AJ43" s="124">
        <f t="shared" si="30"/>
        <v>18.634312593887131</v>
      </c>
      <c r="AK43" s="124">
        <f t="shared" si="30"/>
        <v>18.865051722065779</v>
      </c>
    </row>
    <row r="44" spans="1:37" x14ac:dyDescent="0.2">
      <c r="A44" s="53" t="s">
        <v>93</v>
      </c>
      <c r="B44" s="121"/>
      <c r="C44" s="121"/>
      <c r="D44" s="121"/>
      <c r="E44" s="121"/>
      <c r="F44" s="123"/>
      <c r="G44" s="123"/>
      <c r="H44" s="123"/>
      <c r="I44" s="123">
        <f>monthly_data!U92*0.26417/1000</f>
        <v>4.2549861900000003</v>
      </c>
      <c r="J44" s="123">
        <f>monthly_data!U104*0.26417/1000</f>
        <v>10.917353590000001</v>
      </c>
      <c r="K44" s="123">
        <f>monthly_data!U116*0.26417/1000</f>
        <v>41.764748660000002</v>
      </c>
      <c r="L44" s="124">
        <f t="shared" si="27"/>
        <v>18.455264789065914</v>
      </c>
      <c r="M44" s="124">
        <f t="shared" si="28"/>
        <v>23.069080986332391</v>
      </c>
      <c r="N44" s="124">
        <f t="shared" si="29"/>
        <v>23.347025418239888</v>
      </c>
      <c r="O44" s="124">
        <f t="shared" si="29"/>
        <v>23.510694688727632</v>
      </c>
      <c r="P44" s="124">
        <f t="shared" si="29"/>
        <v>26.029362908473168</v>
      </c>
      <c r="Q44" s="124">
        <f t="shared" si="29"/>
        <v>25.613529075701408</v>
      </c>
      <c r="R44" s="124">
        <f t="shared" si="29"/>
        <v>25.370546422265278</v>
      </c>
      <c r="S44" s="124">
        <f t="shared" si="29"/>
        <v>26.45338215151202</v>
      </c>
      <c r="T44" s="124">
        <f t="shared" si="29"/>
        <v>26.943333345870847</v>
      </c>
      <c r="U44" s="124">
        <f t="shared" si="29"/>
        <v>27.489577575523839</v>
      </c>
      <c r="V44" s="124">
        <f t="shared" si="29"/>
        <v>27.49403743130302</v>
      </c>
      <c r="W44" s="124">
        <f t="shared" si="29"/>
        <v>28.060234757973536</v>
      </c>
      <c r="X44" s="124">
        <f t="shared" si="29"/>
        <v>28.456697565514315</v>
      </c>
      <c r="Y44" s="124">
        <f t="shared" si="29"/>
        <v>28.852055512141455</v>
      </c>
      <c r="Z44" s="124">
        <f t="shared" si="29"/>
        <v>29.330664003805882</v>
      </c>
      <c r="AA44" s="124">
        <f t="shared" si="29"/>
        <v>29.720360512018214</v>
      </c>
      <c r="AB44" s="124">
        <f t="shared" si="29"/>
        <v>30.128127843172855</v>
      </c>
      <c r="AC44" s="124">
        <f t="shared" si="29"/>
        <v>30.519041193584965</v>
      </c>
      <c r="AD44" s="124">
        <f t="shared" si="30"/>
        <v>30.945789494128931</v>
      </c>
      <c r="AE44" s="124">
        <f t="shared" si="30"/>
        <v>31.353732319449811</v>
      </c>
      <c r="AF44" s="124">
        <f t="shared" si="30"/>
        <v>31.766347945389512</v>
      </c>
      <c r="AG44" s="124">
        <f t="shared" si="30"/>
        <v>32.185612700691081</v>
      </c>
      <c r="AH44" s="124">
        <f t="shared" si="30"/>
        <v>32.594713350033928</v>
      </c>
      <c r="AI44" s="124">
        <f t="shared" si="30"/>
        <v>33.003929329767345</v>
      </c>
      <c r="AJ44" s="124">
        <f t="shared" si="30"/>
        <v>33.414187221023049</v>
      </c>
      <c r="AK44" s="124">
        <f t="shared" si="30"/>
        <v>33.82798063894338</v>
      </c>
    </row>
    <row r="45" spans="1:37" x14ac:dyDescent="0.2">
      <c r="A45" s="53" t="s">
        <v>94</v>
      </c>
      <c r="B45" s="121"/>
      <c r="C45" s="121"/>
      <c r="D45" s="121"/>
      <c r="E45" s="121"/>
      <c r="F45" s="123"/>
      <c r="G45" s="123"/>
      <c r="H45" s="123"/>
      <c r="I45" s="123">
        <f>monthly_data!U93*0.26417/1000</f>
        <v>2.0877355099999999</v>
      </c>
      <c r="J45" s="123">
        <f>monthly_data!U105*0.26417/1000</f>
        <v>10.73771799</v>
      </c>
      <c r="K45" s="123">
        <f>monthly_data!U117*0.26417/1000</f>
        <v>27.747888460000002</v>
      </c>
      <c r="L45" s="124">
        <f t="shared" si="27"/>
        <v>13.151212852026871</v>
      </c>
      <c r="M45" s="124">
        <f t="shared" si="28"/>
        <v>16.439016065033588</v>
      </c>
      <c r="N45" s="124">
        <f t="shared" si="29"/>
        <v>16.63707913412685</v>
      </c>
      <c r="O45" s="124">
        <f t="shared" si="29"/>
        <v>16.942582900237461</v>
      </c>
      <c r="P45" s="124">
        <f t="shared" si="29"/>
        <v>18.183555882284953</v>
      </c>
      <c r="Q45" s="124">
        <f t="shared" si="29"/>
        <v>18.212768583575279</v>
      </c>
      <c r="R45" s="124">
        <f t="shared" si="29"/>
        <v>18.034065717060539</v>
      </c>
      <c r="S45" s="124">
        <f t="shared" si="29"/>
        <v>18.795041335036665</v>
      </c>
      <c r="T45" s="124">
        <f t="shared" si="29"/>
        <v>19.132732790408294</v>
      </c>
      <c r="U45" s="124">
        <f t="shared" si="29"/>
        <v>19.468475778045793</v>
      </c>
      <c r="V45" s="124">
        <f t="shared" si="29"/>
        <v>19.523919514240159</v>
      </c>
      <c r="W45" s="124">
        <f t="shared" si="29"/>
        <v>19.920902130688468</v>
      </c>
      <c r="X45" s="124">
        <f t="shared" si="29"/>
        <v>20.197637555064507</v>
      </c>
      <c r="Y45" s="124">
        <f t="shared" si="29"/>
        <v>20.474229285738332</v>
      </c>
      <c r="Z45" s="124">
        <f t="shared" si="29"/>
        <v>20.811149445253506</v>
      </c>
      <c r="AA45" s="124">
        <f t="shared" si="29"/>
        <v>21.095252147907416</v>
      </c>
      <c r="AB45" s="124">
        <f t="shared" si="29"/>
        <v>21.38282682787726</v>
      </c>
      <c r="AC45" s="124">
        <f t="shared" si="29"/>
        <v>21.659077856078579</v>
      </c>
      <c r="AD45" s="124">
        <f t="shared" si="30"/>
        <v>21.961481815113036</v>
      </c>
      <c r="AE45" s="124">
        <f t="shared" si="30"/>
        <v>22.251276223448631</v>
      </c>
      <c r="AF45" s="124">
        <f t="shared" si="30"/>
        <v>22.545015868931383</v>
      </c>
      <c r="AG45" s="124">
        <f t="shared" si="30"/>
        <v>22.84209499931535</v>
      </c>
      <c r="AH45" s="124">
        <f t="shared" si="30"/>
        <v>23.132240633349049</v>
      </c>
      <c r="AI45" s="124">
        <f t="shared" si="30"/>
        <v>23.422673470357708</v>
      </c>
      <c r="AJ45" s="124">
        <f t="shared" si="30"/>
        <v>23.71394363132903</v>
      </c>
      <c r="AK45" s="124">
        <f t="shared" si="30"/>
        <v>24.007688124288457</v>
      </c>
    </row>
    <row r="46" spans="1:37" x14ac:dyDescent="0.2">
      <c r="A46" s="53" t="s">
        <v>95</v>
      </c>
      <c r="B46" s="121"/>
      <c r="C46" s="121"/>
      <c r="D46" s="121"/>
      <c r="E46" s="121"/>
      <c r="F46" s="123"/>
      <c r="G46" s="123"/>
      <c r="H46" s="123"/>
      <c r="I46" s="123">
        <f>monthly_data!U94*0.26417/1000</f>
        <v>2.1817800300000005</v>
      </c>
      <c r="J46" s="123">
        <f>monthly_data!U106*0.26417/1000</f>
        <v>13.165440290000001</v>
      </c>
      <c r="K46" s="123">
        <f>monthly_data!U118*0.26417/1000</f>
        <v>33.215943290000006</v>
      </c>
      <c r="L46" s="124">
        <f t="shared" si="27"/>
        <v>15.740988307853842</v>
      </c>
      <c r="M46" s="124">
        <f t="shared" si="28"/>
        <v>19.6762353848173</v>
      </c>
      <c r="N46" s="124">
        <f t="shared" si="29"/>
        <v>19.913301615125796</v>
      </c>
      <c r="O46" s="124">
        <f t="shared" si="29"/>
        <v>20.342381777559385</v>
      </c>
      <c r="P46" s="124">
        <f t="shared" si="29"/>
        <v>21.777770075071267</v>
      </c>
      <c r="Q46" s="124">
        <f t="shared" si="29"/>
        <v>21.816489657327526</v>
      </c>
      <c r="R46" s="124">
        <f t="shared" si="29"/>
        <v>21.605020555010654</v>
      </c>
      <c r="S46" s="124">
        <f t="shared" si="29"/>
        <v>22.520500231709899</v>
      </c>
      <c r="T46" s="124">
        <f t="shared" si="29"/>
        <v>22.929688419077404</v>
      </c>
      <c r="U46" s="124">
        <f t="shared" si="29"/>
        <v>23.324158963191845</v>
      </c>
      <c r="V46" s="124">
        <f t="shared" si="29"/>
        <v>23.39204135200432</v>
      </c>
      <c r="W46" s="124">
        <f t="shared" si="29"/>
        <v>23.868646944719345</v>
      </c>
      <c r="X46" s="124">
        <f t="shared" si="29"/>
        <v>24.200822662742649</v>
      </c>
      <c r="Y46" s="124">
        <f t="shared" si="29"/>
        <v>24.532178937191539</v>
      </c>
      <c r="Z46" s="124">
        <f t="shared" si="29"/>
        <v>24.934854528444166</v>
      </c>
      <c r="AA46" s="124">
        <f t="shared" si="29"/>
        <v>25.275664165830555</v>
      </c>
      <c r="AB46" s="124">
        <f t="shared" si="29"/>
        <v>25.620415169797756</v>
      </c>
      <c r="AC46" s="124">
        <f t="shared" si="29"/>
        <v>25.951438559581504</v>
      </c>
      <c r="AD46" s="124">
        <f t="shared" si="30"/>
        <v>26.313678644557182</v>
      </c>
      <c r="AE46" s="124">
        <f t="shared" si="30"/>
        <v>26.66080128222524</v>
      </c>
      <c r="AF46" s="124">
        <f t="shared" si="30"/>
        <v>27.012840799490998</v>
      </c>
      <c r="AG46" s="124">
        <f t="shared" si="30"/>
        <v>27.368815642248645</v>
      </c>
      <c r="AH46" s="124">
        <f t="shared" si="30"/>
        <v>27.716448799906683</v>
      </c>
      <c r="AI46" s="124">
        <f t="shared" si="30"/>
        <v>28.064418115676197</v>
      </c>
      <c r="AJ46" s="124">
        <f t="shared" si="30"/>
        <v>28.41340581266871</v>
      </c>
      <c r="AK46" s="124">
        <f t="shared" si="30"/>
        <v>28.765378295852287</v>
      </c>
    </row>
    <row r="47" spans="1:37" x14ac:dyDescent="0.2">
      <c r="A47" s="53" t="s">
        <v>96</v>
      </c>
      <c r="B47" s="121"/>
      <c r="C47" s="121"/>
      <c r="D47" s="121"/>
      <c r="E47" s="121"/>
      <c r="F47" s="123"/>
      <c r="G47" s="123"/>
      <c r="H47" s="123"/>
      <c r="I47" s="123">
        <f>monthly_data!U95*0.26417/1000</f>
        <v>8.0215220499999997</v>
      </c>
      <c r="J47" s="123">
        <f>monthly_data!U107*0.26417/1000</f>
        <v>8.1340584700000012</v>
      </c>
      <c r="K47" s="123">
        <f>monthly_data!U119*0.26417/1000</f>
        <v>19.850790480000001</v>
      </c>
      <c r="L47" s="124">
        <f t="shared" si="27"/>
        <v>11.670900797791901</v>
      </c>
      <c r="M47" s="124">
        <f t="shared" si="28"/>
        <v>14.588625997239875</v>
      </c>
      <c r="N47" s="124">
        <f t="shared" si="29"/>
        <v>14.764394913544608</v>
      </c>
      <c r="O47" s="124">
        <f t="shared" si="29"/>
        <v>13.801754131715276</v>
      </c>
      <c r="P47" s="124">
        <f t="shared" si="29"/>
        <v>14.93529326405833</v>
      </c>
      <c r="Q47" s="124">
        <f t="shared" si="29"/>
        <v>15.617536022296825</v>
      </c>
      <c r="R47" s="124">
        <f t="shared" si="29"/>
        <v>15.382141304802435</v>
      </c>
      <c r="S47" s="124">
        <f t="shared" si="29"/>
        <v>15.910132851824056</v>
      </c>
      <c r="T47" s="124">
        <f t="shared" si="29"/>
        <v>16.051491449041986</v>
      </c>
      <c r="U47" s="124">
        <f t="shared" si="29"/>
        <v>16.420074848870094</v>
      </c>
      <c r="V47" s="124">
        <f t="shared" si="29"/>
        <v>16.550454509645832</v>
      </c>
      <c r="W47" s="124">
        <f t="shared" si="29"/>
        <v>16.849519217395539</v>
      </c>
      <c r="X47" s="124">
        <f t="shared" si="29"/>
        <v>17.056777264036402</v>
      </c>
      <c r="Y47" s="124">
        <f t="shared" si="29"/>
        <v>17.282471440877394</v>
      </c>
      <c r="Z47" s="124">
        <f t="shared" si="29"/>
        <v>17.587476265838102</v>
      </c>
      <c r="AA47" s="124">
        <f t="shared" si="29"/>
        <v>17.834407839087117</v>
      </c>
      <c r="AB47" s="124">
        <f t="shared" si="29"/>
        <v>18.068249367732594</v>
      </c>
      <c r="AC47" s="124">
        <f t="shared" si="29"/>
        <v>18.298224175534877</v>
      </c>
      <c r="AD47" s="124">
        <f t="shared" si="30"/>
        <v>18.555116160437731</v>
      </c>
      <c r="AE47" s="124">
        <f t="shared" si="30"/>
        <v>18.803307223539786</v>
      </c>
      <c r="AF47" s="124">
        <f t="shared" si="30"/>
        <v>19.051293038613416</v>
      </c>
      <c r="AG47" s="124">
        <f t="shared" si="30"/>
        <v>19.300626122595112</v>
      </c>
      <c r="AH47" s="124">
        <f t="shared" si="30"/>
        <v>19.545653183419887</v>
      </c>
      <c r="AI47" s="124">
        <f t="shared" si="30"/>
        <v>19.791611220139057</v>
      </c>
      <c r="AJ47" s="124">
        <f t="shared" si="30"/>
        <v>20.038106118720268</v>
      </c>
      <c r="AK47" s="124">
        <f t="shared" si="30"/>
        <v>20.286080522147621</v>
      </c>
    </row>
    <row r="48" spans="1:37" x14ac:dyDescent="0.2">
      <c r="A48" s="53" t="s">
        <v>97</v>
      </c>
      <c r="B48" s="121"/>
      <c r="C48" s="121"/>
      <c r="D48" s="121"/>
      <c r="E48" s="121"/>
      <c r="F48" s="123"/>
      <c r="G48" s="123"/>
      <c r="H48" s="123"/>
      <c r="I48" s="123">
        <f>monthly_data!U96*0.26417/1000</f>
        <v>6.2190901400000005</v>
      </c>
      <c r="J48" s="123">
        <f>monthly_data!U108*0.26417/1000</f>
        <v>17.112404259999998</v>
      </c>
      <c r="K48" s="123">
        <f>monthly_data!U120*0.26417/1000</f>
        <v>29.391025860000003</v>
      </c>
      <c r="L48" s="124">
        <f t="shared" si="27"/>
        <v>17.089178572426352</v>
      </c>
      <c r="M48" s="124">
        <f t="shared" si="28"/>
        <v>21.361473215532936</v>
      </c>
      <c r="N48" s="124">
        <f t="shared" si="29"/>
        <v>21.618843786173187</v>
      </c>
      <c r="O48" s="124">
        <f t="shared" si="29"/>
        <v>21.314585138826494</v>
      </c>
      <c r="P48" s="124">
        <f t="shared" si="29"/>
        <v>22.155021314591796</v>
      </c>
      <c r="Q48" s="124">
        <f t="shared" si="29"/>
        <v>23.179518237666077</v>
      </c>
      <c r="R48" s="124">
        <f t="shared" si="29"/>
        <v>22.878718941417816</v>
      </c>
      <c r="S48" s="124">
        <f t="shared" si="29"/>
        <v>23.735999827939249</v>
      </c>
      <c r="T48" s="124">
        <f t="shared" si="29"/>
        <v>24.033432095915977</v>
      </c>
      <c r="U48" s="124">
        <f t="shared" si="29"/>
        <v>24.44836594550803</v>
      </c>
      <c r="V48" s="124">
        <f t="shared" si="29"/>
        <v>24.659715219499041</v>
      </c>
      <c r="W48" s="124">
        <f t="shared" si="29"/>
        <v>25.12423141978552</v>
      </c>
      <c r="X48" s="124">
        <f t="shared" si="29"/>
        <v>25.445267976399933</v>
      </c>
      <c r="Y48" s="124">
        <f t="shared" si="29"/>
        <v>25.781688487876263</v>
      </c>
      <c r="Z48" s="124">
        <f t="shared" si="29"/>
        <v>26.218278764461868</v>
      </c>
      <c r="AA48" s="124">
        <f t="shared" si="29"/>
        <v>26.592580670490488</v>
      </c>
      <c r="AB48" s="124">
        <f t="shared" si="29"/>
        <v>26.945093070919107</v>
      </c>
      <c r="AC48" s="124">
        <f t="shared" si="29"/>
        <v>27.288756587786665</v>
      </c>
      <c r="AD48" s="124">
        <f t="shared" si="30"/>
        <v>27.670217752585042</v>
      </c>
      <c r="AE48" s="124">
        <f t="shared" si="30"/>
        <v>28.038396690969559</v>
      </c>
      <c r="AF48" s="124">
        <f t="shared" si="30"/>
        <v>28.40966469376658</v>
      </c>
      <c r="AG48" s="124">
        <f t="shared" si="30"/>
        <v>28.781982878795777</v>
      </c>
      <c r="AH48" s="124">
        <f t="shared" si="30"/>
        <v>29.147194062601766</v>
      </c>
      <c r="AI48" s="124">
        <f t="shared" si="30"/>
        <v>29.513607033509963</v>
      </c>
      <c r="AJ48" s="124">
        <f t="shared" si="30"/>
        <v>29.881081991701457</v>
      </c>
      <c r="AK48" s="124">
        <f t="shared" si="30"/>
        <v>30.25114220734152</v>
      </c>
    </row>
    <row r="49" spans="1:37" x14ac:dyDescent="0.2">
      <c r="A49" s="53" t="s">
        <v>98</v>
      </c>
      <c r="B49" s="121"/>
      <c r="C49" s="121"/>
      <c r="D49" s="121"/>
      <c r="E49" s="121"/>
      <c r="F49" s="123"/>
      <c r="G49" s="123"/>
      <c r="H49" s="123"/>
      <c r="I49" s="123">
        <f>monthly_data!U97*0.26417/1000</f>
        <v>3.1835126700000003</v>
      </c>
      <c r="J49" s="123">
        <f>monthly_data!U109*0.26417/1000</f>
        <v>4.1704517900000004</v>
      </c>
      <c r="K49" s="123">
        <f>monthly_data!U121*0.26417/1000</f>
        <v>24.926024520000002</v>
      </c>
      <c r="L49" s="124">
        <f t="shared" si="27"/>
        <v>10.463052473113599</v>
      </c>
      <c r="M49" s="124">
        <f t="shared" si="28"/>
        <v>13.078815591391997</v>
      </c>
      <c r="N49" s="124">
        <f t="shared" si="29"/>
        <v>13.236393778911737</v>
      </c>
      <c r="O49" s="124">
        <f t="shared" si="29"/>
        <v>13.174947630683468</v>
      </c>
      <c r="P49" s="124">
        <f t="shared" si="29"/>
        <v>14.975846798820159</v>
      </c>
      <c r="Q49" s="124">
        <f t="shared" si="29"/>
        <v>14.535805454756076</v>
      </c>
      <c r="R49" s="124">
        <f t="shared" si="29"/>
        <v>14.400082459676499</v>
      </c>
      <c r="S49" s="124">
        <f t="shared" si="29"/>
        <v>15.017888175690361</v>
      </c>
      <c r="T49" s="124">
        <f t="shared" si="29"/>
        <v>15.299854273388403</v>
      </c>
      <c r="U49" s="124">
        <f t="shared" si="29"/>
        <v>15.647071257575384</v>
      </c>
      <c r="V49" s="124">
        <f t="shared" si="29"/>
        <v>15.616265551682599</v>
      </c>
      <c r="W49" s="124">
        <f t="shared" si="29"/>
        <v>15.940450515049893</v>
      </c>
      <c r="X49" s="124">
        <f t="shared" si="29"/>
        <v>16.168261420921475</v>
      </c>
      <c r="Y49" s="124">
        <f t="shared" si="29"/>
        <v>16.395423922333144</v>
      </c>
      <c r="Z49" s="124">
        <f t="shared" si="29"/>
        <v>16.669679734199509</v>
      </c>
      <c r="AA49" s="124">
        <f t="shared" si="29"/>
        <v>16.886194807342633</v>
      </c>
      <c r="AB49" s="124">
        <f t="shared" si="29"/>
        <v>17.118918935709356</v>
      </c>
      <c r="AC49" s="124">
        <f t="shared" si="29"/>
        <v>17.341763174523166</v>
      </c>
      <c r="AD49" s="124">
        <f t="shared" si="30"/>
        <v>17.584591059761244</v>
      </c>
      <c r="AE49" s="124">
        <f t="shared" si="30"/>
        <v>17.816280592852934</v>
      </c>
      <c r="AF49" s="124">
        <f t="shared" si="30"/>
        <v>18.050123716736049</v>
      </c>
      <c r="AG49" s="124">
        <f t="shared" si="30"/>
        <v>18.288640862143559</v>
      </c>
      <c r="AH49" s="124">
        <f t="shared" si="30"/>
        <v>18.521228422259696</v>
      </c>
      <c r="AI49" s="124">
        <f t="shared" si="30"/>
        <v>18.753758521514371</v>
      </c>
      <c r="AJ49" s="124">
        <f t="shared" si="30"/>
        <v>18.986811004681119</v>
      </c>
      <c r="AK49" s="124">
        <f t="shared" si="30"/>
        <v>19.22188238218455</v>
      </c>
    </row>
    <row r="50" spans="1:37" x14ac:dyDescent="0.2">
      <c r="A50" s="53" t="s">
        <v>99</v>
      </c>
      <c r="B50" s="121"/>
      <c r="C50" s="121"/>
      <c r="D50" s="121"/>
      <c r="E50" s="121"/>
      <c r="F50" s="123"/>
      <c r="G50" s="123"/>
      <c r="H50" s="123"/>
      <c r="I50" s="123">
        <f>monthly_data!U98*0.26417/1000</f>
        <v>3.4196806500000001</v>
      </c>
      <c r="J50" s="123">
        <f>monthly_data!U110*0.26417/1000</f>
        <v>16.56319483</v>
      </c>
      <c r="K50" s="123">
        <f>monthly_data!U122*0.26417/1000</f>
        <v>2.94840137</v>
      </c>
      <c r="L50" s="124">
        <f t="shared" si="27"/>
        <v>7.4328139673684959</v>
      </c>
      <c r="M50" s="124">
        <f t="shared" si="28"/>
        <v>9.2910174592106181</v>
      </c>
      <c r="N50" s="124">
        <f t="shared" si="29"/>
        <v>9.4029589176099755</v>
      </c>
      <c r="O50" s="124">
        <f t="shared" si="29"/>
        <v>9.1276773088378178</v>
      </c>
      <c r="P50" s="124">
        <f t="shared" si="29"/>
        <v>7.6405738046053813</v>
      </c>
      <c r="Q50" s="124">
        <f t="shared" si="29"/>
        <v>9.6030038536364746</v>
      </c>
      <c r="R50" s="124">
        <f t="shared" si="29"/>
        <v>9.4047250996341649</v>
      </c>
      <c r="S50" s="124">
        <f t="shared" si="29"/>
        <v>9.6482163604113307</v>
      </c>
      <c r="T50" s="124">
        <f t="shared" si="29"/>
        <v>9.6385510767533606</v>
      </c>
      <c r="U50" s="124">
        <f t="shared" si="29"/>
        <v>9.6828018199792165</v>
      </c>
      <c r="V50" s="124">
        <f t="shared" si="29"/>
        <v>10.002926716178729</v>
      </c>
      <c r="W50" s="124">
        <f t="shared" si="29"/>
        <v>10.149288075260834</v>
      </c>
      <c r="X50" s="124">
        <f t="shared" si="29"/>
        <v>10.245074475197004</v>
      </c>
      <c r="Y50" s="124">
        <f t="shared" si="29"/>
        <v>10.361491000393318</v>
      </c>
      <c r="Z50" s="124">
        <f t="shared" si="29"/>
        <v>10.54120170236642</v>
      </c>
      <c r="AA50" s="124">
        <f t="shared" si="29"/>
        <v>10.722374292487313</v>
      </c>
      <c r="AB50" s="124">
        <f t="shared" si="29"/>
        <v>10.852014192243271</v>
      </c>
      <c r="AC50" s="124">
        <f t="shared" si="29"/>
        <v>10.984044284665964</v>
      </c>
      <c r="AD50" s="124">
        <f t="shared" si="30"/>
        <v>11.136950260243195</v>
      </c>
      <c r="AE50" s="124">
        <f t="shared" si="30"/>
        <v>11.288332432641482</v>
      </c>
      <c r="AF50" s="124">
        <f t="shared" si="30"/>
        <v>11.440791062110012</v>
      </c>
      <c r="AG50" s="124">
        <f t="shared" si="30"/>
        <v>11.587951917781526</v>
      </c>
      <c r="AH50" s="124">
        <f t="shared" si="30"/>
        <v>11.73423848708258</v>
      </c>
      <c r="AI50" s="124">
        <f t="shared" si="30"/>
        <v>11.882169536406797</v>
      </c>
      <c r="AJ50" s="124">
        <f t="shared" si="30"/>
        <v>12.030752646493111</v>
      </c>
      <c r="AK50" s="124">
        <f t="shared" si="30"/>
        <v>12.179853856647341</v>
      </c>
    </row>
    <row r="51" spans="1:37" x14ac:dyDescent="0.2">
      <c r="A51" s="53" t="s">
        <v>100</v>
      </c>
      <c r="B51" s="121"/>
      <c r="C51" s="121"/>
      <c r="D51" s="121"/>
      <c r="E51" s="121"/>
      <c r="F51" s="123"/>
      <c r="G51" s="123"/>
      <c r="H51" s="123"/>
      <c r="I51" s="123">
        <f>monthly_data!U99*0.26417/1000</f>
        <v>4.4628879800000005</v>
      </c>
      <c r="J51" s="123">
        <f>monthly_data!U111*0.26417/1000</f>
        <v>11.502490139999999</v>
      </c>
      <c r="K51" s="123">
        <f>monthly_data!U123*0.26417/1000</f>
        <v>8.3747173400000019</v>
      </c>
      <c r="L51" s="124">
        <f t="shared" ref="L51:U51" si="31">L52-SUM(L40:L50)</f>
        <v>7.8894604380554085</v>
      </c>
      <c r="M51" s="124">
        <f t="shared" si="31"/>
        <v>9.8618255475693104</v>
      </c>
      <c r="N51" s="124">
        <f t="shared" si="31"/>
        <v>9.9806443033322125</v>
      </c>
      <c r="O51" s="124">
        <f t="shared" si="31"/>
        <v>9.521827553791411</v>
      </c>
      <c r="P51" s="124">
        <f t="shared" si="31"/>
        <v>9.1256950365497005</v>
      </c>
      <c r="Q51" s="124">
        <f t="shared" si="31"/>
        <v>10.383066424340825</v>
      </c>
      <c r="R51" s="124">
        <f t="shared" si="31"/>
        <v>10.199385861385707</v>
      </c>
      <c r="S51" s="124">
        <f t="shared" si="31"/>
        <v>10.509204327206533</v>
      </c>
      <c r="T51" s="124">
        <f t="shared" si="31"/>
        <v>10.554146401591879</v>
      </c>
      <c r="U51" s="124">
        <f t="shared" si="31"/>
        <v>10.702288069761011</v>
      </c>
      <c r="V51" s="124">
        <f t="shared" ref="V51:AE51" si="32">V52-SUM(V40:V50)</f>
        <v>10.914206059529533</v>
      </c>
      <c r="W51" s="124">
        <f t="shared" si="32"/>
        <v>11.093786163549225</v>
      </c>
      <c r="X51" s="124">
        <f t="shared" si="32"/>
        <v>11.21528595283857</v>
      </c>
      <c r="Y51" s="124">
        <f t="shared" si="32"/>
        <v>11.353710152498905</v>
      </c>
      <c r="Z51" s="124">
        <f t="shared" si="32"/>
        <v>11.55217537524706</v>
      </c>
      <c r="AA51" s="124">
        <f t="shared" si="32"/>
        <v>11.731737104976105</v>
      </c>
      <c r="AB51" s="124">
        <f t="shared" si="32"/>
        <v>11.879913813274641</v>
      </c>
      <c r="AC51" s="124">
        <f t="shared" si="32"/>
        <v>12.027958074490471</v>
      </c>
      <c r="AD51" s="124">
        <f t="shared" si="32"/>
        <v>12.196119230142159</v>
      </c>
      <c r="AE51" s="124">
        <f t="shared" si="32"/>
        <v>12.360483271686405</v>
      </c>
      <c r="AF51" s="124">
        <f t="shared" ref="AF51:AK51" si="33">AF52-SUM(AF40:AF50)</f>
        <v>12.525386337567539</v>
      </c>
      <c r="AG51" s="124">
        <f t="shared" si="33"/>
        <v>12.687980607926164</v>
      </c>
      <c r="AH51" s="124">
        <f t="shared" si="33"/>
        <v>12.848625406488992</v>
      </c>
      <c r="AI51" s="124">
        <f t="shared" si="33"/>
        <v>13.010444907100577</v>
      </c>
      <c r="AJ51" s="124">
        <f t="shared" si="33"/>
        <v>13.17279285291221</v>
      </c>
      <c r="AK51" s="124">
        <f t="shared" si="33"/>
        <v>13.335926079980595</v>
      </c>
    </row>
    <row r="52" spans="1:37" x14ac:dyDescent="0.2">
      <c r="A52" s="86" t="s">
        <v>101</v>
      </c>
      <c r="B52" s="122">
        <f t="shared" ref="B52:H52" si="34">SUM(B40:B51)</f>
        <v>0</v>
      </c>
      <c r="C52" s="122">
        <f t="shared" si="34"/>
        <v>0</v>
      </c>
      <c r="D52" s="122">
        <f t="shared" si="34"/>
        <v>0</v>
      </c>
      <c r="E52" s="122">
        <f t="shared" si="34"/>
        <v>0</v>
      </c>
      <c r="F52" s="122">
        <f t="shared" si="34"/>
        <v>0</v>
      </c>
      <c r="G52" s="122">
        <f t="shared" si="34"/>
        <v>0</v>
      </c>
      <c r="H52" s="122">
        <f t="shared" si="34"/>
        <v>0</v>
      </c>
      <c r="I52" s="122">
        <f t="shared" ref="I52:T52" si="35">I5</f>
        <v>37.533273600000001</v>
      </c>
      <c r="J52" s="122">
        <f>SUM(J40:J51)</f>
        <v>110.62620673000001</v>
      </c>
      <c r="K52" s="122">
        <f>SUM(K40:K51)</f>
        <v>273.06962313000008</v>
      </c>
      <c r="L52" s="125">
        <f t="shared" si="35"/>
        <v>136.53481156500004</v>
      </c>
      <c r="M52" s="125">
        <f t="shared" si="35"/>
        <v>170.66851445625005</v>
      </c>
      <c r="N52" s="125">
        <f t="shared" si="35"/>
        <v>172.72478897031255</v>
      </c>
      <c r="O52" s="125">
        <f t="shared" si="35"/>
        <v>172.72478897031255</v>
      </c>
      <c r="P52" s="125">
        <f t="shared" si="35"/>
        <v>185.14450541837505</v>
      </c>
      <c r="Q52" s="125">
        <f t="shared" si="35"/>
        <v>187.55948187605003</v>
      </c>
      <c r="R52" s="125">
        <f t="shared" si="35"/>
        <v>185.48950205518577</v>
      </c>
      <c r="S52" s="125">
        <f t="shared" si="35"/>
        <v>192.97805618735515</v>
      </c>
      <c r="T52" s="125">
        <f t="shared" si="35"/>
        <v>196.04137684769162</v>
      </c>
      <c r="U52" s="125">
        <f>U5</f>
        <v>199.66607147504038</v>
      </c>
      <c r="V52" s="125">
        <f>V5</f>
        <v>200.51482611857293</v>
      </c>
      <c r="W52" s="125">
        <f t="shared" ref="W52:AF52" si="36">W5</f>
        <v>204.48483142546729</v>
      </c>
      <c r="X52" s="125">
        <f t="shared" si="36"/>
        <v>207.2477351407662</v>
      </c>
      <c r="Y52" s="125">
        <f t="shared" si="36"/>
        <v>210.06034275001136</v>
      </c>
      <c r="Z52" s="125">
        <f t="shared" si="36"/>
        <v>213.57046284927216</v>
      </c>
      <c r="AA52" s="125">
        <f t="shared" si="36"/>
        <v>216.51223522954598</v>
      </c>
      <c r="AB52" s="125">
        <f t="shared" si="36"/>
        <v>219.43664356981088</v>
      </c>
      <c r="AC52" s="125">
        <f t="shared" si="36"/>
        <v>222.26101101192097</v>
      </c>
      <c r="AD52" s="125">
        <f t="shared" si="36"/>
        <v>225.36760885382787</v>
      </c>
      <c r="AE52" s="125">
        <f t="shared" si="36"/>
        <v>228.3508627721651</v>
      </c>
      <c r="AF52" s="125">
        <f t="shared" si="36"/>
        <v>231.36559529093637</v>
      </c>
      <c r="AG52" s="125">
        <f>AG5</f>
        <v>234.40920279678281</v>
      </c>
      <c r="AH52" s="125">
        <f>AH5</f>
        <v>237.38616564642714</v>
      </c>
      <c r="AI52" s="125">
        <f>AI5</f>
        <v>240.36815570598159</v>
      </c>
      <c r="AJ52" s="125">
        <f>AJ5</f>
        <v>243.35837172543455</v>
      </c>
      <c r="AK52" s="125">
        <f>AK5</f>
        <v>246.37228039879363</v>
      </c>
    </row>
    <row r="53" spans="1:37" x14ac:dyDescent="0.2">
      <c r="J53" s="114"/>
    </row>
    <row r="54" spans="1:37" ht="12" thickBot="1" x14ac:dyDescent="0.25">
      <c r="A54" s="81" t="s">
        <v>118</v>
      </c>
    </row>
    <row r="55" spans="1:37" ht="12" thickBot="1" x14ac:dyDescent="0.25">
      <c r="A55" s="82"/>
      <c r="B55" s="120">
        <f t="shared" ref="B55:T55" si="37">B2</f>
        <v>2015</v>
      </c>
      <c r="C55" s="120">
        <f t="shared" si="37"/>
        <v>2016</v>
      </c>
      <c r="D55" s="120">
        <f t="shared" si="37"/>
        <v>2017</v>
      </c>
      <c r="E55" s="120">
        <f t="shared" si="37"/>
        <v>2018</v>
      </c>
      <c r="F55" s="120">
        <f t="shared" si="37"/>
        <v>2019</v>
      </c>
      <c r="G55" s="120">
        <f t="shared" si="37"/>
        <v>2020</v>
      </c>
      <c r="H55" s="120">
        <f t="shared" si="37"/>
        <v>2021</v>
      </c>
      <c r="I55" s="120">
        <f t="shared" si="37"/>
        <v>2022</v>
      </c>
      <c r="J55" s="120">
        <f t="shared" si="37"/>
        <v>2023</v>
      </c>
      <c r="K55" s="120">
        <f t="shared" si="37"/>
        <v>2024</v>
      </c>
      <c r="L55" s="120">
        <f t="shared" si="37"/>
        <v>2025</v>
      </c>
      <c r="M55" s="120">
        <f t="shared" si="37"/>
        <v>2026</v>
      </c>
      <c r="N55" s="120">
        <f t="shared" si="37"/>
        <v>2027</v>
      </c>
      <c r="O55" s="120">
        <f t="shared" si="37"/>
        <v>2028</v>
      </c>
      <c r="P55" s="120">
        <f t="shared" si="37"/>
        <v>2029</v>
      </c>
      <c r="Q55" s="120">
        <f t="shared" si="37"/>
        <v>2030</v>
      </c>
      <c r="R55" s="120">
        <f t="shared" si="37"/>
        <v>2031</v>
      </c>
      <c r="S55" s="120">
        <f t="shared" si="37"/>
        <v>2032</v>
      </c>
      <c r="T55" s="120">
        <f t="shared" si="37"/>
        <v>2033</v>
      </c>
      <c r="U55" s="120">
        <f>U2</f>
        <v>2034</v>
      </c>
      <c r="V55" s="120">
        <f>V2</f>
        <v>2035</v>
      </c>
      <c r="W55" s="120">
        <f t="shared" ref="W55:AF55" si="38">W2</f>
        <v>2036</v>
      </c>
      <c r="X55" s="120">
        <f t="shared" si="38"/>
        <v>2037</v>
      </c>
      <c r="Y55" s="120">
        <f t="shared" si="38"/>
        <v>2038</v>
      </c>
      <c r="Z55" s="120">
        <f t="shared" si="38"/>
        <v>2039</v>
      </c>
      <c r="AA55" s="120">
        <f t="shared" si="38"/>
        <v>2040</v>
      </c>
      <c r="AB55" s="120">
        <f t="shared" si="38"/>
        <v>2041</v>
      </c>
      <c r="AC55" s="120">
        <f t="shared" si="38"/>
        <v>2042</v>
      </c>
      <c r="AD55" s="120">
        <f t="shared" si="38"/>
        <v>2043</v>
      </c>
      <c r="AE55" s="120">
        <f t="shared" si="38"/>
        <v>2044</v>
      </c>
      <c r="AF55" s="120">
        <f t="shared" si="38"/>
        <v>2045</v>
      </c>
      <c r="AG55" s="120">
        <f>AG2</f>
        <v>2046</v>
      </c>
      <c r="AH55" s="120">
        <f>AH2</f>
        <v>2047</v>
      </c>
      <c r="AI55" s="120">
        <f>AI2</f>
        <v>2048</v>
      </c>
      <c r="AJ55" s="120">
        <f>AJ2</f>
        <v>2049</v>
      </c>
      <c r="AK55" s="120">
        <f>AK2</f>
        <v>2050</v>
      </c>
    </row>
    <row r="56" spans="1:37" x14ac:dyDescent="0.2">
      <c r="A56" s="53" t="s">
        <v>89</v>
      </c>
      <c r="B56" s="121"/>
      <c r="C56" s="121"/>
      <c r="D56" s="121"/>
      <c r="E56" s="121"/>
      <c r="F56" s="121">
        <f>F40+F24</f>
        <v>0</v>
      </c>
      <c r="G56" s="121">
        <f>G40+G24</f>
        <v>0</v>
      </c>
      <c r="H56" s="121">
        <f>H40+H24</f>
        <v>0</v>
      </c>
      <c r="I56" s="121">
        <f>I40+I24</f>
        <v>2.2982790000000003E-2</v>
      </c>
      <c r="J56" s="121">
        <f>J40+J24</f>
        <v>0.34711938000000003</v>
      </c>
      <c r="K56" s="121">
        <f t="shared" ref="K56:K67" si="39">K40+K24</f>
        <v>23.414952908</v>
      </c>
      <c r="L56" s="124">
        <f t="shared" ref="L56:L66" si="40">L$68*((SUM(G56:K56)/SUM(G$68:K$68)))</f>
        <v>15.513590612823624</v>
      </c>
      <c r="M56" s="124">
        <f t="shared" ref="M56:M66" si="41">M$68*((SUM(H56:L56)/SUM(H$68:L$68)))</f>
        <v>17.665837117811197</v>
      </c>
      <c r="N56" s="124">
        <f t="shared" ref="N56:AC66" si="42">N$68*((SUM(I56:M56)/SUM(I$68:M$68)))</f>
        <v>17.955554770808728</v>
      </c>
      <c r="O56" s="124">
        <f t="shared" si="42"/>
        <v>18.543246722769329</v>
      </c>
      <c r="P56" s="124">
        <f t="shared" si="42"/>
        <v>21.039987357762268</v>
      </c>
      <c r="Q56" s="124">
        <f t="shared" si="42"/>
        <v>21.942852397275473</v>
      </c>
      <c r="R56" s="124">
        <f t="shared" si="42"/>
        <v>22.111425434798281</v>
      </c>
      <c r="S56" s="124">
        <f t="shared" si="42"/>
        <v>22.902118783317079</v>
      </c>
      <c r="T56" s="124">
        <f t="shared" si="42"/>
        <v>23.520071305869052</v>
      </c>
      <c r="U56" s="124">
        <f t="shared" si="42"/>
        <v>24.099612227444435</v>
      </c>
      <c r="V56" s="124">
        <f t="shared" si="42"/>
        <v>24.535894368504962</v>
      </c>
      <c r="W56" s="124">
        <f t="shared" si="42"/>
        <v>24.744063095268814</v>
      </c>
      <c r="X56" s="124">
        <f t="shared" si="42"/>
        <v>24.89097236552934</v>
      </c>
      <c r="Y56" s="124">
        <f t="shared" si="42"/>
        <v>25.026040238745335</v>
      </c>
      <c r="Z56" s="124">
        <f t="shared" si="42"/>
        <v>25.171174556286473</v>
      </c>
      <c r="AA56" s="124">
        <f t="shared" si="42"/>
        <v>25.280211270636851</v>
      </c>
      <c r="AB56" s="124">
        <f t="shared" si="42"/>
        <v>25.417246402199908</v>
      </c>
      <c r="AC56" s="124">
        <f t="shared" si="42"/>
        <v>25.544718949013625</v>
      </c>
      <c r="AD56" s="124">
        <f t="shared" ref="AD56:AK66" si="43">AD$68*((SUM(Y56:AC56)/SUM(Y$68:AC$68)))</f>
        <v>25.679995940095637</v>
      </c>
      <c r="AE56" s="124">
        <f t="shared" si="43"/>
        <v>25.807340086749932</v>
      </c>
      <c r="AF56" s="124">
        <f t="shared" si="43"/>
        <v>25.937104700231405</v>
      </c>
      <c r="AG56" s="124">
        <f t="shared" si="43"/>
        <v>26.071690923063862</v>
      </c>
      <c r="AH56" s="124">
        <f t="shared" si="43"/>
        <v>26.201821756576905</v>
      </c>
      <c r="AI56" s="124">
        <f t="shared" si="43"/>
        <v>26.33136145270262</v>
      </c>
      <c r="AJ56" s="124">
        <f t="shared" si="43"/>
        <v>26.461197008809808</v>
      </c>
      <c r="AK56" s="124">
        <f t="shared" si="43"/>
        <v>26.592509004944528</v>
      </c>
    </row>
    <row r="57" spans="1:37" x14ac:dyDescent="0.2">
      <c r="A57" s="53" t="s">
        <v>90</v>
      </c>
      <c r="B57" s="121"/>
      <c r="C57" s="121"/>
      <c r="D57" s="121"/>
      <c r="E57" s="121"/>
      <c r="F57" s="121">
        <f t="shared" ref="F57:J67" si="44">F41+F25</f>
        <v>0</v>
      </c>
      <c r="G57" s="121">
        <f t="shared" si="44"/>
        <v>0</v>
      </c>
      <c r="H57" s="121">
        <f t="shared" si="44"/>
        <v>0</v>
      </c>
      <c r="I57" s="121">
        <f t="shared" si="44"/>
        <v>3.9625500000000004E-3</v>
      </c>
      <c r="J57" s="121">
        <f t="shared" si="44"/>
        <v>7.7137640000000003</v>
      </c>
      <c r="K57" s="121">
        <f t="shared" si="39"/>
        <v>20.214518318</v>
      </c>
      <c r="L57" s="124">
        <f t="shared" si="40"/>
        <v>18.218558265189976</v>
      </c>
      <c r="M57" s="124">
        <f t="shared" si="41"/>
        <v>20.746072967025391</v>
      </c>
      <c r="N57" s="124">
        <f t="shared" si="42"/>
        <v>21.086306126022549</v>
      </c>
      <c r="O57" s="124">
        <f t="shared" si="42"/>
        <v>21.782169960081582</v>
      </c>
      <c r="P57" s="124">
        <f t="shared" si="42"/>
        <v>23.06378087096099</v>
      </c>
      <c r="Q57" s="124">
        <f t="shared" si="42"/>
        <v>25.372378571739073</v>
      </c>
      <c r="R57" s="124">
        <f t="shared" si="42"/>
        <v>25.503501763336388</v>
      </c>
      <c r="S57" s="124">
        <f t="shared" si="42"/>
        <v>26.332051216240668</v>
      </c>
      <c r="T57" s="124">
        <f t="shared" si="42"/>
        <v>26.945053197946759</v>
      </c>
      <c r="U57" s="124">
        <f t="shared" si="42"/>
        <v>27.492576881196971</v>
      </c>
      <c r="V57" s="124">
        <f t="shared" si="42"/>
        <v>28.191238433496014</v>
      </c>
      <c r="W57" s="124">
        <f t="shared" si="42"/>
        <v>28.396526911471859</v>
      </c>
      <c r="X57" s="124">
        <f t="shared" si="42"/>
        <v>28.538482362793381</v>
      </c>
      <c r="Y57" s="124">
        <f t="shared" si="42"/>
        <v>28.678164309520653</v>
      </c>
      <c r="Z57" s="124">
        <f t="shared" si="42"/>
        <v>28.845983445976643</v>
      </c>
      <c r="AA57" s="124">
        <f t="shared" si="42"/>
        <v>28.996429479944545</v>
      </c>
      <c r="AB57" s="124">
        <f t="shared" si="42"/>
        <v>29.143747518051885</v>
      </c>
      <c r="AC57" s="124">
        <f t="shared" si="42"/>
        <v>29.284901185054157</v>
      </c>
      <c r="AD57" s="124">
        <f t="shared" si="43"/>
        <v>29.439366101891199</v>
      </c>
      <c r="AE57" s="124">
        <f t="shared" si="43"/>
        <v>29.587690055399861</v>
      </c>
      <c r="AF57" s="124">
        <f t="shared" si="43"/>
        <v>29.73897154375917</v>
      </c>
      <c r="AG57" s="124">
        <f t="shared" si="43"/>
        <v>29.891124971512731</v>
      </c>
      <c r="AH57" s="124">
        <f t="shared" si="43"/>
        <v>30.039722362962973</v>
      </c>
      <c r="AI57" s="124">
        <f t="shared" si="43"/>
        <v>30.188534673092143</v>
      </c>
      <c r="AJ57" s="124">
        <f t="shared" si="43"/>
        <v>30.337873913344332</v>
      </c>
      <c r="AK57" s="124">
        <f t="shared" si="43"/>
        <v>30.488532096343373</v>
      </c>
    </row>
    <row r="58" spans="1:37" x14ac:dyDescent="0.2">
      <c r="A58" s="53" t="s">
        <v>91</v>
      </c>
      <c r="B58" s="121"/>
      <c r="C58" s="121"/>
      <c r="D58" s="121"/>
      <c r="E58" s="121"/>
      <c r="F58" s="121">
        <f t="shared" si="44"/>
        <v>0</v>
      </c>
      <c r="G58" s="121">
        <f t="shared" si="44"/>
        <v>0</v>
      </c>
      <c r="H58" s="121">
        <f t="shared" si="44"/>
        <v>0</v>
      </c>
      <c r="I58" s="121">
        <f t="shared" si="44"/>
        <v>0.32651412000000007</v>
      </c>
      <c r="J58" s="121">
        <f t="shared" si="44"/>
        <v>3.4059438100000001</v>
      </c>
      <c r="K58" s="121">
        <f t="shared" si="39"/>
        <v>38.391472528000008</v>
      </c>
      <c r="L58" s="124">
        <f t="shared" si="40"/>
        <v>27.474958959961093</v>
      </c>
      <c r="M58" s="124">
        <f t="shared" si="41"/>
        <v>31.286641624022995</v>
      </c>
      <c r="N58" s="124">
        <f t="shared" si="42"/>
        <v>31.799738870478869</v>
      </c>
      <c r="O58" s="124">
        <f t="shared" si="42"/>
        <v>32.769794105766991</v>
      </c>
      <c r="P58" s="124">
        <f t="shared" si="42"/>
        <v>36.550921449094126</v>
      </c>
      <c r="Q58" s="124">
        <f t="shared" si="42"/>
        <v>38.67214839780852</v>
      </c>
      <c r="R58" s="124">
        <f t="shared" si="42"/>
        <v>38.938797183875785</v>
      </c>
      <c r="S58" s="124">
        <f t="shared" si="42"/>
        <v>40.291408527169686</v>
      </c>
      <c r="T58" s="124">
        <f t="shared" si="42"/>
        <v>41.332036912746716</v>
      </c>
      <c r="U58" s="124">
        <f t="shared" si="42"/>
        <v>42.310797079831296</v>
      </c>
      <c r="V58" s="124">
        <f t="shared" si="42"/>
        <v>43.159893751986765</v>
      </c>
      <c r="W58" s="124">
        <f t="shared" si="42"/>
        <v>43.510541112619727</v>
      </c>
      <c r="X58" s="124">
        <f t="shared" si="42"/>
        <v>43.756913207568992</v>
      </c>
      <c r="Y58" s="124">
        <f t="shared" si="42"/>
        <v>43.988028653056141</v>
      </c>
      <c r="Z58" s="124">
        <f t="shared" si="42"/>
        <v>44.244959999696093</v>
      </c>
      <c r="AA58" s="124">
        <f t="shared" si="42"/>
        <v>44.446908214413888</v>
      </c>
      <c r="AB58" s="124">
        <f t="shared" si="42"/>
        <v>44.683446816027725</v>
      </c>
      <c r="AC58" s="124">
        <f t="shared" si="42"/>
        <v>44.905400959621133</v>
      </c>
      <c r="AD58" s="124">
        <f t="shared" si="43"/>
        <v>45.143055467724501</v>
      </c>
      <c r="AE58" s="124">
        <f t="shared" si="43"/>
        <v>45.368017950645296</v>
      </c>
      <c r="AF58" s="124">
        <f t="shared" si="43"/>
        <v>45.597094232168246</v>
      </c>
      <c r="AG58" s="124">
        <f t="shared" si="43"/>
        <v>45.832756038526774</v>
      </c>
      <c r="AH58" s="124">
        <f t="shared" si="43"/>
        <v>46.061281656015325</v>
      </c>
      <c r="AI58" s="124">
        <f t="shared" si="43"/>
        <v>46.289153554551568</v>
      </c>
      <c r="AJ58" s="124">
        <f t="shared" si="43"/>
        <v>46.517607085458174</v>
      </c>
      <c r="AK58" s="124">
        <f t="shared" si="43"/>
        <v>46.748475695850907</v>
      </c>
    </row>
    <row r="59" spans="1:37" x14ac:dyDescent="0.2">
      <c r="A59" s="53" t="s">
        <v>92</v>
      </c>
      <c r="B59" s="121"/>
      <c r="C59" s="121"/>
      <c r="D59" s="121"/>
      <c r="E59" s="121"/>
      <c r="F59" s="121">
        <f t="shared" si="44"/>
        <v>0</v>
      </c>
      <c r="G59" s="121">
        <f t="shared" si="44"/>
        <v>0</v>
      </c>
      <c r="H59" s="121">
        <f t="shared" si="44"/>
        <v>0</v>
      </c>
      <c r="I59" s="121">
        <f t="shared" si="44"/>
        <v>3.3486189200000003</v>
      </c>
      <c r="J59" s="121">
        <f t="shared" si="44"/>
        <v>6.8562681799999998</v>
      </c>
      <c r="K59" s="121">
        <f t="shared" si="39"/>
        <v>34.359113915999998</v>
      </c>
      <c r="L59" s="124">
        <f t="shared" si="40"/>
        <v>29.066473277631484</v>
      </c>
      <c r="M59" s="124">
        <f t="shared" si="41"/>
        <v>33.098951450182085</v>
      </c>
      <c r="N59" s="124">
        <f t="shared" si="42"/>
        <v>33.641770364840689</v>
      </c>
      <c r="O59" s="124">
        <f t="shared" si="42"/>
        <v>33.924477571807572</v>
      </c>
      <c r="P59" s="124">
        <f t="shared" si="42"/>
        <v>37.086153852544392</v>
      </c>
      <c r="Q59" s="124">
        <f t="shared" si="42"/>
        <v>40.349767471335767</v>
      </c>
      <c r="R59" s="124">
        <f t="shared" si="42"/>
        <v>40.537023880280493</v>
      </c>
      <c r="S59" s="124">
        <f t="shared" si="42"/>
        <v>41.826088915232432</v>
      </c>
      <c r="T59" s="124">
        <f t="shared" si="42"/>
        <v>42.767097828646619</v>
      </c>
      <c r="U59" s="124">
        <f t="shared" si="42"/>
        <v>43.776187273407984</v>
      </c>
      <c r="V59" s="124">
        <f t="shared" si="42"/>
        <v>44.811160957733968</v>
      </c>
      <c r="W59" s="124">
        <f t="shared" si="42"/>
        <v>45.133399185746114</v>
      </c>
      <c r="X59" s="124">
        <f t="shared" si="42"/>
        <v>45.358650091335953</v>
      </c>
      <c r="Y59" s="124">
        <f t="shared" si="42"/>
        <v>45.585937748707579</v>
      </c>
      <c r="Z59" s="124">
        <f t="shared" si="42"/>
        <v>45.865751225332787</v>
      </c>
      <c r="AA59" s="124">
        <f t="shared" si="42"/>
        <v>46.092283325180382</v>
      </c>
      <c r="AB59" s="124">
        <f t="shared" si="42"/>
        <v>46.326702218676616</v>
      </c>
      <c r="AC59" s="124">
        <f t="shared" si="42"/>
        <v>46.552201403989862</v>
      </c>
      <c r="AD59" s="124">
        <f t="shared" si="43"/>
        <v>46.799169561560795</v>
      </c>
      <c r="AE59" s="124">
        <f t="shared" si="43"/>
        <v>47.035599771562843</v>
      </c>
      <c r="AF59" s="124">
        <f t="shared" si="43"/>
        <v>47.274215157343086</v>
      </c>
      <c r="AG59" s="124">
        <f t="shared" si="43"/>
        <v>47.51640056740878</v>
      </c>
      <c r="AH59" s="124">
        <f t="shared" si="43"/>
        <v>47.752949341269513</v>
      </c>
      <c r="AI59" s="124">
        <f t="shared" si="43"/>
        <v>47.989680632302992</v>
      </c>
      <c r="AJ59" s="124">
        <f t="shared" si="43"/>
        <v>48.226995547440545</v>
      </c>
      <c r="AK59" s="124">
        <f t="shared" si="43"/>
        <v>48.466259116024986</v>
      </c>
    </row>
    <row r="60" spans="1:37" x14ac:dyDescent="0.2">
      <c r="A60" s="53" t="s">
        <v>93</v>
      </c>
      <c r="B60" s="121"/>
      <c r="C60" s="121"/>
      <c r="D60" s="121"/>
      <c r="E60" s="121"/>
      <c r="F60" s="121">
        <f t="shared" si="44"/>
        <v>0</v>
      </c>
      <c r="G60" s="121">
        <f t="shared" si="44"/>
        <v>0</v>
      </c>
      <c r="H60" s="121">
        <f t="shared" si="44"/>
        <v>0</v>
      </c>
      <c r="I60" s="121">
        <f t="shared" si="44"/>
        <v>4.2549861900000003</v>
      </c>
      <c r="J60" s="121">
        <f t="shared" si="44"/>
        <v>10.917353590000001</v>
      </c>
      <c r="K60" s="121">
        <f t="shared" si="39"/>
        <v>53.881056752000006</v>
      </c>
      <c r="L60" s="124">
        <f t="shared" si="40"/>
        <v>45.039463676217885</v>
      </c>
      <c r="M60" s="124">
        <f t="shared" si="41"/>
        <v>51.287922250567973</v>
      </c>
      <c r="N60" s="124">
        <f t="shared" si="42"/>
        <v>52.129038149150162</v>
      </c>
      <c r="O60" s="124">
        <f t="shared" si="42"/>
        <v>52.798297884371159</v>
      </c>
      <c r="P60" s="124">
        <f t="shared" si="42"/>
        <v>57.66322984851837</v>
      </c>
      <c r="Q60" s="124">
        <f t="shared" si="42"/>
        <v>62.626874883635921</v>
      </c>
      <c r="R60" s="124">
        <f t="shared" si="42"/>
        <v>62.934497317517611</v>
      </c>
      <c r="S60" s="124">
        <f t="shared" si="42"/>
        <v>64.958073705847781</v>
      </c>
      <c r="T60" s="124">
        <f t="shared" si="42"/>
        <v>66.445640138595522</v>
      </c>
      <c r="U60" s="124">
        <f t="shared" si="42"/>
        <v>67.993735900682182</v>
      </c>
      <c r="V60" s="124">
        <f t="shared" si="42"/>
        <v>69.588306032460096</v>
      </c>
      <c r="W60" s="124">
        <f t="shared" si="42"/>
        <v>70.09573458078809</v>
      </c>
      <c r="X60" s="124">
        <f t="shared" si="42"/>
        <v>70.45028404961127</v>
      </c>
      <c r="Y60" s="124">
        <f t="shared" si="42"/>
        <v>70.80443279573781</v>
      </c>
      <c r="Z60" s="124">
        <f t="shared" si="42"/>
        <v>71.235070228120662</v>
      </c>
      <c r="AA60" s="124">
        <f t="shared" si="42"/>
        <v>71.586086572260754</v>
      </c>
      <c r="AB60" s="124">
        <f t="shared" si="42"/>
        <v>71.951801803951383</v>
      </c>
      <c r="AC60" s="124">
        <f t="shared" si="42"/>
        <v>72.302582059173133</v>
      </c>
      <c r="AD60" s="124">
        <f t="shared" si="43"/>
        <v>72.685862866687415</v>
      </c>
      <c r="AE60" s="124">
        <f t="shared" si="43"/>
        <v>73.05248544877017</v>
      </c>
      <c r="AF60" s="124">
        <f t="shared" si="43"/>
        <v>73.423185330084735</v>
      </c>
      <c r="AG60" s="124">
        <f t="shared" si="43"/>
        <v>73.79961607485005</v>
      </c>
      <c r="AH60" s="124">
        <f t="shared" si="43"/>
        <v>74.167018814528817</v>
      </c>
      <c r="AI60" s="124">
        <f t="shared" si="43"/>
        <v>74.534595583379755</v>
      </c>
      <c r="AJ60" s="124">
        <f t="shared" si="43"/>
        <v>74.903118456352971</v>
      </c>
      <c r="AK60" s="124">
        <f t="shared" si="43"/>
        <v>75.274774681865665</v>
      </c>
    </row>
    <row r="61" spans="1:37" x14ac:dyDescent="0.2">
      <c r="A61" s="53" t="s">
        <v>94</v>
      </c>
      <c r="B61" s="121"/>
      <c r="C61" s="121"/>
      <c r="D61" s="121"/>
      <c r="E61" s="121"/>
      <c r="F61" s="121">
        <f t="shared" si="44"/>
        <v>0</v>
      </c>
      <c r="G61" s="121">
        <f t="shared" si="44"/>
        <v>0</v>
      </c>
      <c r="H61" s="121">
        <f t="shared" si="44"/>
        <v>0</v>
      </c>
      <c r="I61" s="121">
        <f t="shared" si="44"/>
        <v>2.0877355099999999</v>
      </c>
      <c r="J61" s="121">
        <f t="shared" si="44"/>
        <v>10.73771799</v>
      </c>
      <c r="K61" s="121">
        <f t="shared" si="39"/>
        <v>48.604063000000011</v>
      </c>
      <c r="L61" s="124">
        <f t="shared" si="40"/>
        <v>40.066855737751268</v>
      </c>
      <c r="M61" s="124">
        <f t="shared" si="41"/>
        <v>45.625449642900165</v>
      </c>
      <c r="N61" s="124">
        <f t="shared" si="42"/>
        <v>46.373701656056724</v>
      </c>
      <c r="O61" s="124">
        <f t="shared" si="42"/>
        <v>47.389337912110335</v>
      </c>
      <c r="P61" s="124">
        <f t="shared" si="42"/>
        <v>51.543700088016628</v>
      </c>
      <c r="Q61" s="124">
        <f t="shared" si="42"/>
        <v>55.873871203967006</v>
      </c>
      <c r="R61" s="124">
        <f t="shared" si="42"/>
        <v>56.174734490643011</v>
      </c>
      <c r="S61" s="124">
        <f t="shared" si="42"/>
        <v>58.015599697491048</v>
      </c>
      <c r="T61" s="124">
        <f t="shared" si="42"/>
        <v>59.384797040689975</v>
      </c>
      <c r="U61" s="124">
        <f t="shared" si="42"/>
        <v>60.72480650994104</v>
      </c>
      <c r="V61" s="124">
        <f t="shared" si="42"/>
        <v>62.139269518430346</v>
      </c>
      <c r="W61" s="124">
        <f t="shared" si="42"/>
        <v>62.602760143370574</v>
      </c>
      <c r="X61" s="124">
        <f t="shared" si="42"/>
        <v>62.926120105443644</v>
      </c>
      <c r="Y61" s="124">
        <f t="shared" si="42"/>
        <v>63.243448952758499</v>
      </c>
      <c r="Z61" s="124">
        <f t="shared" si="42"/>
        <v>63.621020210738621</v>
      </c>
      <c r="AA61" s="124">
        <f t="shared" si="42"/>
        <v>63.934788784490827</v>
      </c>
      <c r="AB61" s="124">
        <f t="shared" si="42"/>
        <v>64.263704305717056</v>
      </c>
      <c r="AC61" s="124">
        <f t="shared" si="42"/>
        <v>64.577653105630375</v>
      </c>
      <c r="AD61" s="124">
        <f t="shared" si="43"/>
        <v>64.919402195267295</v>
      </c>
      <c r="AE61" s="124">
        <f t="shared" si="43"/>
        <v>65.245948347722063</v>
      </c>
      <c r="AF61" s="124">
        <f t="shared" si="43"/>
        <v>65.577384891477749</v>
      </c>
      <c r="AG61" s="124">
        <f t="shared" si="43"/>
        <v>65.913957760128469</v>
      </c>
      <c r="AH61" s="124">
        <f t="shared" si="43"/>
        <v>66.242078790884193</v>
      </c>
      <c r="AI61" s="124">
        <f t="shared" si="43"/>
        <v>66.570218405618945</v>
      </c>
      <c r="AJ61" s="124">
        <f t="shared" si="43"/>
        <v>66.899287619747057</v>
      </c>
      <c r="AK61" s="124">
        <f t="shared" si="43"/>
        <v>67.23132301629758</v>
      </c>
    </row>
    <row r="62" spans="1:37" x14ac:dyDescent="0.2">
      <c r="A62" s="53" t="s">
        <v>95</v>
      </c>
      <c r="B62" s="121"/>
      <c r="C62" s="121"/>
      <c r="D62" s="121"/>
      <c r="E62" s="121"/>
      <c r="F62" s="121">
        <f t="shared" si="44"/>
        <v>0</v>
      </c>
      <c r="G62" s="121">
        <f t="shared" si="44"/>
        <v>0</v>
      </c>
      <c r="H62" s="121">
        <f t="shared" si="44"/>
        <v>0</v>
      </c>
      <c r="I62" s="121">
        <f t="shared" si="44"/>
        <v>2.1817800300000005</v>
      </c>
      <c r="J62" s="121">
        <f t="shared" si="44"/>
        <v>13.165440290000001</v>
      </c>
      <c r="K62" s="121">
        <f t="shared" si="39"/>
        <v>51.474686302000009</v>
      </c>
      <c r="L62" s="124">
        <f t="shared" si="40"/>
        <v>43.583994230935545</v>
      </c>
      <c r="M62" s="124">
        <f t="shared" si="41"/>
        <v>49.630531206030867</v>
      </c>
      <c r="N62" s="124">
        <f t="shared" si="42"/>
        <v>50.444466086225979</v>
      </c>
      <c r="O62" s="124">
        <f t="shared" si="42"/>
        <v>51.571346165800016</v>
      </c>
      <c r="P62" s="124">
        <f t="shared" si="42"/>
        <v>55.757795221727619</v>
      </c>
      <c r="Q62" s="124">
        <f t="shared" si="42"/>
        <v>60.708816392472556</v>
      </c>
      <c r="R62" s="124">
        <f t="shared" si="42"/>
        <v>61.024328308581225</v>
      </c>
      <c r="S62" s="124">
        <f t="shared" si="42"/>
        <v>63.009189977446297</v>
      </c>
      <c r="T62" s="124">
        <f t="shared" si="42"/>
        <v>64.478747472759125</v>
      </c>
      <c r="U62" s="124">
        <f t="shared" si="42"/>
        <v>65.908413819829576</v>
      </c>
      <c r="V62" s="124">
        <f t="shared" si="42"/>
        <v>67.483405048521206</v>
      </c>
      <c r="W62" s="124">
        <f t="shared" si="42"/>
        <v>67.980495513873365</v>
      </c>
      <c r="X62" s="124">
        <f t="shared" si="42"/>
        <v>68.326637734589667</v>
      </c>
      <c r="Y62" s="124">
        <f t="shared" si="42"/>
        <v>68.668219380091031</v>
      </c>
      <c r="Z62" s="124">
        <f t="shared" si="42"/>
        <v>69.078144578682753</v>
      </c>
      <c r="AA62" s="124">
        <f t="shared" si="42"/>
        <v>69.423927419875525</v>
      </c>
      <c r="AB62" s="124">
        <f t="shared" si="42"/>
        <v>69.779222859375409</v>
      </c>
      <c r="AC62" s="124">
        <f t="shared" si="42"/>
        <v>70.119148123932163</v>
      </c>
      <c r="AD62" s="124">
        <f t="shared" si="43"/>
        <v>70.490072282959815</v>
      </c>
      <c r="AE62" s="124">
        <f t="shared" si="43"/>
        <v>70.84506297646395</v>
      </c>
      <c r="AF62" s="124">
        <f t="shared" si="43"/>
        <v>71.205458959482982</v>
      </c>
      <c r="AG62" s="124">
        <f t="shared" si="43"/>
        <v>71.570503845970265</v>
      </c>
      <c r="AH62" s="124">
        <f t="shared" si="43"/>
        <v>71.926662977904698</v>
      </c>
      <c r="AI62" s="124">
        <f t="shared" si="43"/>
        <v>72.283013961135282</v>
      </c>
      <c r="AJ62" s="124">
        <f t="shared" si="43"/>
        <v>72.640415761285183</v>
      </c>
      <c r="AK62" s="124">
        <f t="shared" si="43"/>
        <v>73.000971602621078</v>
      </c>
    </row>
    <row r="63" spans="1:37" x14ac:dyDescent="0.2">
      <c r="A63" s="53" t="s">
        <v>96</v>
      </c>
      <c r="B63" s="121"/>
      <c r="C63" s="121"/>
      <c r="D63" s="121"/>
      <c r="E63" s="121"/>
      <c r="F63" s="121">
        <f t="shared" si="44"/>
        <v>0</v>
      </c>
      <c r="G63" s="121">
        <f t="shared" si="44"/>
        <v>0</v>
      </c>
      <c r="H63" s="121">
        <f t="shared" si="44"/>
        <v>0</v>
      </c>
      <c r="I63" s="121">
        <f t="shared" si="44"/>
        <v>8.0215220499999997</v>
      </c>
      <c r="J63" s="121">
        <f t="shared" si="44"/>
        <v>8.1340584700000012</v>
      </c>
      <c r="K63" s="121">
        <f t="shared" si="39"/>
        <v>29.024113512000003</v>
      </c>
      <c r="L63" s="124">
        <f t="shared" si="40"/>
        <v>29.468053570890234</v>
      </c>
      <c r="M63" s="124">
        <f t="shared" si="41"/>
        <v>33.556244170319204</v>
      </c>
      <c r="N63" s="124">
        <f t="shared" si="42"/>
        <v>34.106562631856207</v>
      </c>
      <c r="O63" s="124">
        <f t="shared" si="42"/>
        <v>33.247698005248047</v>
      </c>
      <c r="P63" s="124">
        <f t="shared" si="42"/>
        <v>36.026593189204199</v>
      </c>
      <c r="Q63" s="124">
        <f t="shared" si="42"/>
        <v>40.249949972206558</v>
      </c>
      <c r="R63" s="124">
        <f t="shared" si="42"/>
        <v>40.328974720242137</v>
      </c>
      <c r="S63" s="124">
        <f t="shared" si="42"/>
        <v>41.470041573979735</v>
      </c>
      <c r="T63" s="124">
        <f t="shared" si="42"/>
        <v>42.23720908883611</v>
      </c>
      <c r="U63" s="124">
        <f t="shared" si="42"/>
        <v>43.289217129874466</v>
      </c>
      <c r="V63" s="124">
        <f t="shared" si="42"/>
        <v>44.451231853160273</v>
      </c>
      <c r="W63" s="124">
        <f t="shared" si="42"/>
        <v>44.723518430537823</v>
      </c>
      <c r="X63" s="124">
        <f t="shared" si="42"/>
        <v>44.91346224984509</v>
      </c>
      <c r="Y63" s="124">
        <f t="shared" si="42"/>
        <v>45.127326603303203</v>
      </c>
      <c r="Z63" s="124">
        <f t="shared" si="42"/>
        <v>45.424665917916052</v>
      </c>
      <c r="AA63" s="124">
        <f t="shared" si="42"/>
        <v>45.662431170114814</v>
      </c>
      <c r="AB63" s="124">
        <f t="shared" si="42"/>
        <v>45.882885886506564</v>
      </c>
      <c r="AC63" s="124">
        <f t="shared" si="42"/>
        <v>46.10165470326541</v>
      </c>
      <c r="AD63" s="124">
        <f t="shared" si="43"/>
        <v>46.34749037150447</v>
      </c>
      <c r="AE63" s="124">
        <f t="shared" si="43"/>
        <v>46.58542397554605</v>
      </c>
      <c r="AF63" s="124">
        <f t="shared" si="43"/>
        <v>46.822183250412046</v>
      </c>
      <c r="AG63" s="124">
        <f t="shared" si="43"/>
        <v>47.059843841690572</v>
      </c>
      <c r="AH63" s="124">
        <f t="shared" si="43"/>
        <v>47.293853907006465</v>
      </c>
      <c r="AI63" s="124">
        <f t="shared" si="43"/>
        <v>47.52891736221666</v>
      </c>
      <c r="AJ63" s="124">
        <f t="shared" si="43"/>
        <v>47.764430064694352</v>
      </c>
      <c r="AK63" s="124">
        <f t="shared" si="43"/>
        <v>48.001203374832322</v>
      </c>
    </row>
    <row r="64" spans="1:37" x14ac:dyDescent="0.2">
      <c r="A64" s="53" t="s">
        <v>97</v>
      </c>
      <c r="B64" s="121"/>
      <c r="C64" s="121"/>
      <c r="D64" s="121"/>
      <c r="E64" s="121"/>
      <c r="F64" s="121">
        <f t="shared" si="44"/>
        <v>0</v>
      </c>
      <c r="G64" s="121">
        <f t="shared" si="44"/>
        <v>0</v>
      </c>
      <c r="H64" s="121">
        <f t="shared" si="44"/>
        <v>0</v>
      </c>
      <c r="I64" s="121">
        <f t="shared" si="44"/>
        <v>6.2190901400000005</v>
      </c>
      <c r="J64" s="121">
        <f t="shared" si="44"/>
        <v>17.112404259999998</v>
      </c>
      <c r="K64" s="121">
        <f t="shared" si="39"/>
        <v>45.37344496</v>
      </c>
      <c r="L64" s="124">
        <f t="shared" si="40"/>
        <v>44.812185585215673</v>
      </c>
      <c r="M64" s="124">
        <f t="shared" si="41"/>
        <v>51.029113194927859</v>
      </c>
      <c r="N64" s="124">
        <f t="shared" si="42"/>
        <v>51.865984655407601</v>
      </c>
      <c r="O64" s="124">
        <f t="shared" si="42"/>
        <v>52.040272200570278</v>
      </c>
      <c r="P64" s="124">
        <f t="shared" si="42"/>
        <v>55.399790140806083</v>
      </c>
      <c r="Q64" s="124">
        <f t="shared" si="42"/>
        <v>61.714843599032221</v>
      </c>
      <c r="R64" s="124">
        <f t="shared" si="42"/>
        <v>61.920427318414895</v>
      </c>
      <c r="S64" s="124">
        <f t="shared" si="42"/>
        <v>63.783443921157939</v>
      </c>
      <c r="T64" s="124">
        <f t="shared" si="42"/>
        <v>65.094082071939681</v>
      </c>
      <c r="U64" s="124">
        <f t="shared" si="42"/>
        <v>66.542412322199226</v>
      </c>
      <c r="V64" s="124">
        <f t="shared" si="42"/>
        <v>68.324076904147631</v>
      </c>
      <c r="W64" s="124">
        <f t="shared" si="42"/>
        <v>68.774617136705487</v>
      </c>
      <c r="X64" s="124">
        <f t="shared" si="42"/>
        <v>69.086732149608522</v>
      </c>
      <c r="Y64" s="124">
        <f t="shared" si="42"/>
        <v>69.417049020918142</v>
      </c>
      <c r="Z64" s="124">
        <f t="shared" si="42"/>
        <v>69.849370739318047</v>
      </c>
      <c r="AA64" s="124">
        <f t="shared" si="42"/>
        <v>70.219714830065442</v>
      </c>
      <c r="AB64" s="124">
        <f t="shared" si="42"/>
        <v>70.565445497277324</v>
      </c>
      <c r="AC64" s="124">
        <f t="shared" si="42"/>
        <v>70.903480856218422</v>
      </c>
      <c r="AD64" s="124">
        <f t="shared" si="43"/>
        <v>71.279404615905008</v>
      </c>
      <c r="AE64" s="124">
        <f t="shared" si="43"/>
        <v>71.642452288823975</v>
      </c>
      <c r="AF64" s="124">
        <f t="shared" si="43"/>
        <v>72.008179049535357</v>
      </c>
      <c r="AG64" s="124">
        <f t="shared" si="43"/>
        <v>72.374668583855836</v>
      </c>
      <c r="AH64" s="124">
        <f t="shared" si="43"/>
        <v>72.734385908572222</v>
      </c>
      <c r="AI64" s="124">
        <f t="shared" si="43"/>
        <v>73.095366415882964</v>
      </c>
      <c r="AJ64" s="124">
        <f t="shared" si="43"/>
        <v>73.457367522253847</v>
      </c>
      <c r="AK64" s="124">
        <f t="shared" si="43"/>
        <v>73.821850675984592</v>
      </c>
    </row>
    <row r="65" spans="1:37" x14ac:dyDescent="0.2">
      <c r="A65" s="53" t="s">
        <v>98</v>
      </c>
      <c r="B65" s="121"/>
      <c r="C65" s="121"/>
      <c r="D65" s="121"/>
      <c r="E65" s="121"/>
      <c r="F65" s="121">
        <f t="shared" si="44"/>
        <v>0</v>
      </c>
      <c r="G65" s="121">
        <f t="shared" si="44"/>
        <v>0</v>
      </c>
      <c r="H65" s="121">
        <f t="shared" si="44"/>
        <v>0</v>
      </c>
      <c r="I65" s="121">
        <f t="shared" si="44"/>
        <v>3.1835126700000003</v>
      </c>
      <c r="J65" s="121">
        <f t="shared" si="44"/>
        <v>4.1704517900000004</v>
      </c>
      <c r="K65" s="121">
        <f t="shared" si="39"/>
        <v>30.931988040000004</v>
      </c>
      <c r="L65" s="124">
        <f t="shared" si="40"/>
        <v>24.971671974658918</v>
      </c>
      <c r="M65" s="124">
        <f t="shared" si="41"/>
        <v>28.436066199857155</v>
      </c>
      <c r="N65" s="124">
        <f t="shared" si="42"/>
        <v>28.902414344299107</v>
      </c>
      <c r="O65" s="124">
        <f t="shared" si="42"/>
        <v>29.069376284618439</v>
      </c>
      <c r="P65" s="124">
        <f t="shared" si="42"/>
        <v>32.163821739355136</v>
      </c>
      <c r="Q65" s="124">
        <f t="shared" si="42"/>
        <v>34.720155138021219</v>
      </c>
      <c r="R65" s="124">
        <f t="shared" si="42"/>
        <v>34.890261772645538</v>
      </c>
      <c r="S65" s="124">
        <f t="shared" si="42"/>
        <v>36.011537569884219</v>
      </c>
      <c r="T65" s="124">
        <f t="shared" si="42"/>
        <v>36.835542408241821</v>
      </c>
      <c r="U65" s="124">
        <f t="shared" si="42"/>
        <v>37.73708602065858</v>
      </c>
      <c r="V65" s="124">
        <f t="shared" si="42"/>
        <v>38.587768461837243</v>
      </c>
      <c r="W65" s="124">
        <f t="shared" si="42"/>
        <v>38.870706843632462</v>
      </c>
      <c r="X65" s="124">
        <f t="shared" si="42"/>
        <v>39.069244031346251</v>
      </c>
      <c r="Y65" s="124">
        <f t="shared" si="42"/>
        <v>39.268091856831226</v>
      </c>
      <c r="Z65" s="124">
        <f t="shared" si="42"/>
        <v>39.510019235490319</v>
      </c>
      <c r="AA65" s="124">
        <f t="shared" si="42"/>
        <v>39.699656777461342</v>
      </c>
      <c r="AB65" s="124">
        <f t="shared" si="42"/>
        <v>39.903279770716466</v>
      </c>
      <c r="AC65" s="124">
        <f t="shared" si="42"/>
        <v>40.098472395944306</v>
      </c>
      <c r="AD65" s="124">
        <f t="shared" si="43"/>
        <v>40.311434685120275</v>
      </c>
      <c r="AE65" s="124">
        <f t="shared" si="43"/>
        <v>40.514743641474524</v>
      </c>
      <c r="AF65" s="124">
        <f t="shared" si="43"/>
        <v>40.719681132976397</v>
      </c>
      <c r="AG65" s="124">
        <f t="shared" si="43"/>
        <v>40.928687055828199</v>
      </c>
      <c r="AH65" s="124">
        <f t="shared" si="43"/>
        <v>41.132572433938137</v>
      </c>
      <c r="AI65" s="124">
        <f t="shared" si="43"/>
        <v>41.336447511906051</v>
      </c>
      <c r="AJ65" s="124">
        <f t="shared" si="43"/>
        <v>41.540770585936414</v>
      </c>
      <c r="AK65" s="124">
        <f t="shared" si="43"/>
        <v>41.746823331513447</v>
      </c>
    </row>
    <row r="66" spans="1:37" x14ac:dyDescent="0.2">
      <c r="A66" s="53" t="s">
        <v>99</v>
      </c>
      <c r="B66" s="121"/>
      <c r="C66" s="121"/>
      <c r="D66" s="121"/>
      <c r="E66" s="121"/>
      <c r="F66" s="121">
        <f t="shared" si="44"/>
        <v>0</v>
      </c>
      <c r="G66" s="121">
        <f t="shared" si="44"/>
        <v>0</v>
      </c>
      <c r="H66" s="121">
        <f t="shared" si="44"/>
        <v>0</v>
      </c>
      <c r="I66" s="121">
        <f t="shared" si="44"/>
        <v>3.4196806500000001</v>
      </c>
      <c r="J66" s="121">
        <f t="shared" si="44"/>
        <v>18.413194830000002</v>
      </c>
      <c r="K66" s="121">
        <f t="shared" si="39"/>
        <v>12.801174786000001</v>
      </c>
      <c r="L66" s="124">
        <f t="shared" si="40"/>
        <v>22.589751225241169</v>
      </c>
      <c r="M66" s="124">
        <f t="shared" si="41"/>
        <v>25.723694509968279</v>
      </c>
      <c r="N66" s="124">
        <f t="shared" si="42"/>
        <v>26.145560077399534</v>
      </c>
      <c r="O66" s="124">
        <f t="shared" si="42"/>
        <v>26.162944298801914</v>
      </c>
      <c r="P66" s="124">
        <f t="shared" si="42"/>
        <v>25.634757124642821</v>
      </c>
      <c r="Q66" s="124">
        <f t="shared" si="42"/>
        <v>30.538875161234241</v>
      </c>
      <c r="R66" s="124">
        <f t="shared" si="42"/>
        <v>30.546158055517431</v>
      </c>
      <c r="S66" s="124">
        <f t="shared" si="42"/>
        <v>31.341139940056738</v>
      </c>
      <c r="T66" s="124">
        <f t="shared" si="42"/>
        <v>31.83938025670383</v>
      </c>
      <c r="U66" s="124">
        <f t="shared" si="42"/>
        <v>32.394675276435279</v>
      </c>
      <c r="V66" s="124">
        <f t="shared" si="42"/>
        <v>33.548004242191304</v>
      </c>
      <c r="W66" s="124">
        <f t="shared" si="42"/>
        <v>33.719367283645099</v>
      </c>
      <c r="X66" s="124">
        <f t="shared" si="42"/>
        <v>33.833474921691099</v>
      </c>
      <c r="Y66" s="124">
        <f t="shared" si="42"/>
        <v>33.97370122045244</v>
      </c>
      <c r="Z66" s="124">
        <f t="shared" si="42"/>
        <v>34.189082657919101</v>
      </c>
      <c r="AA66" s="124">
        <f t="shared" si="42"/>
        <v>34.406080013486289</v>
      </c>
      <c r="AB66" s="124">
        <f t="shared" si="42"/>
        <v>34.561108217987481</v>
      </c>
      <c r="AC66" s="124">
        <f t="shared" si="42"/>
        <v>34.719488147948148</v>
      </c>
      <c r="AD66" s="124">
        <f t="shared" si="43"/>
        <v>34.902836784284979</v>
      </c>
      <c r="AE66" s="124">
        <f t="shared" si="43"/>
        <v>35.084102222374646</v>
      </c>
      <c r="AF66" s="124">
        <f t="shared" si="43"/>
        <v>35.266640046813848</v>
      </c>
      <c r="AG66" s="124">
        <f t="shared" si="43"/>
        <v>35.443013135454478</v>
      </c>
      <c r="AH66" s="124">
        <f t="shared" si="43"/>
        <v>35.618339842641426</v>
      </c>
      <c r="AI66" s="124">
        <f t="shared" si="43"/>
        <v>35.795570268354631</v>
      </c>
      <c r="AJ66" s="124">
        <f t="shared" si="43"/>
        <v>35.97354391688669</v>
      </c>
      <c r="AK66" s="124">
        <f t="shared" si="43"/>
        <v>36.152168806768493</v>
      </c>
    </row>
    <row r="67" spans="1:37" x14ac:dyDescent="0.2">
      <c r="A67" s="53" t="s">
        <v>100</v>
      </c>
      <c r="B67" s="121"/>
      <c r="C67" s="121"/>
      <c r="D67" s="121"/>
      <c r="E67" s="121"/>
      <c r="F67" s="121">
        <f t="shared" si="44"/>
        <v>0</v>
      </c>
      <c r="G67" s="121">
        <f t="shared" si="44"/>
        <v>0</v>
      </c>
      <c r="H67" s="121">
        <f t="shared" si="44"/>
        <v>0</v>
      </c>
      <c r="I67" s="121">
        <f t="shared" si="44"/>
        <v>4.4628879800000005</v>
      </c>
      <c r="J67" s="121">
        <f t="shared" si="44"/>
        <v>13.352490139999999</v>
      </c>
      <c r="K67" s="121">
        <f t="shared" si="39"/>
        <v>22.551986396000004</v>
      </c>
      <c r="L67" s="124">
        <f t="shared" ref="L67:T67" si="45">L68-SUM(L56:L66)</f>
        <v>26.329254448483141</v>
      </c>
      <c r="M67" s="124">
        <f t="shared" si="45"/>
        <v>29.981990122636887</v>
      </c>
      <c r="N67" s="124">
        <f t="shared" si="45"/>
        <v>30.473691237766388</v>
      </c>
      <c r="O67" s="124">
        <f t="shared" si="45"/>
        <v>30.375827858366847</v>
      </c>
      <c r="P67" s="124">
        <f t="shared" si="45"/>
        <v>31.576474535742364</v>
      </c>
      <c r="Q67" s="124">
        <f t="shared" si="45"/>
        <v>35.976448687321465</v>
      </c>
      <c r="R67" s="124">
        <f t="shared" si="45"/>
        <v>36.049371809332968</v>
      </c>
      <c r="S67" s="124">
        <f t="shared" si="45"/>
        <v>37.072362359531496</v>
      </c>
      <c r="T67" s="124">
        <f t="shared" si="45"/>
        <v>37.761719124716421</v>
      </c>
      <c r="U67" s="124">
        <f>U68-SUM(U56:U66)</f>
        <v>38.561551033539331</v>
      </c>
      <c r="V67" s="124">
        <f>V68-SUM(V56:V66)</f>
        <v>39.707076546103053</v>
      </c>
      <c r="W67" s="124">
        <f t="shared" ref="W67:AF67" si="46">W68-SUM(W56:W66)</f>
        <v>39.945601187807824</v>
      </c>
      <c r="X67" s="124">
        <f t="shared" si="46"/>
        <v>40.10926187140285</v>
      </c>
      <c r="Y67" s="124">
        <f t="shared" si="46"/>
        <v>40.29240196988917</v>
      </c>
      <c r="Z67" s="124">
        <f t="shared" si="46"/>
        <v>40.547720053794592</v>
      </c>
      <c r="AA67" s="124">
        <f t="shared" si="46"/>
        <v>40.776217371615417</v>
      </c>
      <c r="AB67" s="124">
        <f t="shared" si="46"/>
        <v>40.970552273322937</v>
      </c>
      <c r="AC67" s="124">
        <f t="shared" si="46"/>
        <v>41.163809122130033</v>
      </c>
      <c r="AD67" s="124">
        <f t="shared" si="46"/>
        <v>41.38201798082639</v>
      </c>
      <c r="AE67" s="124">
        <f t="shared" si="46"/>
        <v>41.59449600663163</v>
      </c>
      <c r="AF67" s="124">
        <f t="shared" si="46"/>
        <v>41.807996996651354</v>
      </c>
      <c r="AG67" s="124">
        <f>AG68-SUM(AG56:AG66)</f>
        <v>42.019439998492658</v>
      </c>
      <c r="AH67" s="124">
        <f>AH68-SUM(AH56:AH66)</f>
        <v>42.227977854126493</v>
      </c>
      <c r="AI67" s="124">
        <f>AI68-SUM(AI56:AI66)</f>
        <v>42.43779588483801</v>
      </c>
      <c r="AJ67" s="124">
        <f>AJ68-SUM(AJ56:AJ66)</f>
        <v>42.648264243225071</v>
      </c>
      <c r="AK67" s="124">
        <f>AK68-SUM(AK56:AK66)</f>
        <v>42.859888995746587</v>
      </c>
    </row>
    <row r="68" spans="1:37" x14ac:dyDescent="0.2">
      <c r="A68" s="86" t="s">
        <v>101</v>
      </c>
      <c r="B68" s="122">
        <f t="shared" ref="B68:K68" si="47">SUM(B56:B67)</f>
        <v>0</v>
      </c>
      <c r="C68" s="122">
        <f t="shared" si="47"/>
        <v>0</v>
      </c>
      <c r="D68" s="122">
        <f t="shared" si="47"/>
        <v>0</v>
      </c>
      <c r="E68" s="122">
        <f t="shared" si="47"/>
        <v>0</v>
      </c>
      <c r="F68" s="122">
        <f t="shared" si="47"/>
        <v>0</v>
      </c>
      <c r="G68" s="122">
        <f t="shared" si="47"/>
        <v>0</v>
      </c>
      <c r="H68" s="122">
        <f t="shared" si="47"/>
        <v>0</v>
      </c>
      <c r="I68" s="122">
        <f t="shared" si="47"/>
        <v>37.533273599999994</v>
      </c>
      <c r="J68" s="122">
        <f t="shared" si="47"/>
        <v>114.32620673000001</v>
      </c>
      <c r="K68" s="122">
        <f t="shared" si="47"/>
        <v>411.02257141800004</v>
      </c>
      <c r="L68" s="125">
        <f t="shared" ref="L68:T68" si="48">L7</f>
        <v>367.13481156500001</v>
      </c>
      <c r="M68" s="125">
        <f t="shared" si="48"/>
        <v>418.06851445625</v>
      </c>
      <c r="N68" s="125">
        <f t="shared" si="48"/>
        <v>424.92478897031253</v>
      </c>
      <c r="O68" s="125">
        <f t="shared" si="48"/>
        <v>429.67478897031248</v>
      </c>
      <c r="P68" s="125">
        <f t="shared" si="48"/>
        <v>463.507005418375</v>
      </c>
      <c r="Q68" s="125">
        <f t="shared" si="48"/>
        <v>508.74698187604997</v>
      </c>
      <c r="R68" s="125">
        <f t="shared" si="48"/>
        <v>510.95950205518574</v>
      </c>
      <c r="S68" s="125">
        <f t="shared" si="48"/>
        <v>527.01305618735512</v>
      </c>
      <c r="T68" s="125">
        <f t="shared" si="48"/>
        <v>538.64137684769162</v>
      </c>
      <c r="U68" s="125">
        <f>U7</f>
        <v>550.83107147504029</v>
      </c>
      <c r="V68" s="125">
        <f>V7</f>
        <v>564.52732611857289</v>
      </c>
      <c r="W68" s="125">
        <f t="shared" ref="W68:AF68" si="49">W7</f>
        <v>568.49733142546722</v>
      </c>
      <c r="X68" s="125">
        <f t="shared" si="49"/>
        <v>571.2602351407661</v>
      </c>
      <c r="Y68" s="125">
        <f t="shared" si="49"/>
        <v>574.07284275001132</v>
      </c>
      <c r="Z68" s="125">
        <f t="shared" si="49"/>
        <v>577.58296284927212</v>
      </c>
      <c r="AA68" s="125">
        <f t="shared" si="49"/>
        <v>580.52473522954597</v>
      </c>
      <c r="AB68" s="125">
        <f t="shared" si="49"/>
        <v>583.44914356981076</v>
      </c>
      <c r="AC68" s="125">
        <f t="shared" si="49"/>
        <v>586.27351101192085</v>
      </c>
      <c r="AD68" s="125">
        <f t="shared" si="49"/>
        <v>589.38010885382778</v>
      </c>
      <c r="AE68" s="125">
        <f t="shared" si="49"/>
        <v>592.36336277216503</v>
      </c>
      <c r="AF68" s="125">
        <f t="shared" si="49"/>
        <v>595.37809529093624</v>
      </c>
      <c r="AG68" s="125">
        <f>AG7</f>
        <v>598.42170279678271</v>
      </c>
      <c r="AH68" s="125">
        <f>AH7</f>
        <v>601.39866564642705</v>
      </c>
      <c r="AI68" s="125">
        <f>AI7</f>
        <v>604.38065570598155</v>
      </c>
      <c r="AJ68" s="125">
        <f>AJ7</f>
        <v>607.37087172543443</v>
      </c>
      <c r="AK68" s="125">
        <f>AK7</f>
        <v>610.38478039879351</v>
      </c>
    </row>
    <row r="69" spans="1:37" x14ac:dyDescent="0.2">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row>
    <row r="70" spans="1:37" x14ac:dyDescent="0.2">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row>
    <row r="71" spans="1:37" ht="12" thickBot="1" x14ac:dyDescent="0.25">
      <c r="A71" s="81" t="s">
        <v>119</v>
      </c>
    </row>
    <row r="72" spans="1:37" ht="12" thickBot="1" x14ac:dyDescent="0.25">
      <c r="A72" s="82"/>
      <c r="B72" s="120">
        <f t="shared" ref="B72:T72" si="50">B2</f>
        <v>2015</v>
      </c>
      <c r="C72" s="120">
        <f t="shared" si="50"/>
        <v>2016</v>
      </c>
      <c r="D72" s="120">
        <f t="shared" si="50"/>
        <v>2017</v>
      </c>
      <c r="E72" s="120">
        <f t="shared" si="50"/>
        <v>2018</v>
      </c>
      <c r="F72" s="120">
        <f t="shared" si="50"/>
        <v>2019</v>
      </c>
      <c r="G72" s="120">
        <f t="shared" si="50"/>
        <v>2020</v>
      </c>
      <c r="H72" s="120">
        <f t="shared" si="50"/>
        <v>2021</v>
      </c>
      <c r="I72" s="120">
        <f t="shared" si="50"/>
        <v>2022</v>
      </c>
      <c r="J72" s="120">
        <f t="shared" si="50"/>
        <v>2023</v>
      </c>
      <c r="K72" s="120">
        <f t="shared" si="50"/>
        <v>2024</v>
      </c>
      <c r="L72" s="120">
        <f t="shared" si="50"/>
        <v>2025</v>
      </c>
      <c r="M72" s="120">
        <f t="shared" si="50"/>
        <v>2026</v>
      </c>
      <c r="N72" s="120">
        <f t="shared" si="50"/>
        <v>2027</v>
      </c>
      <c r="O72" s="120">
        <f t="shared" si="50"/>
        <v>2028</v>
      </c>
      <c r="P72" s="120">
        <f t="shared" si="50"/>
        <v>2029</v>
      </c>
      <c r="Q72" s="120">
        <f t="shared" si="50"/>
        <v>2030</v>
      </c>
      <c r="R72" s="120">
        <f t="shared" si="50"/>
        <v>2031</v>
      </c>
      <c r="S72" s="120">
        <f t="shared" si="50"/>
        <v>2032</v>
      </c>
      <c r="T72" s="120">
        <f t="shared" si="50"/>
        <v>2033</v>
      </c>
      <c r="U72" s="120">
        <f>U2</f>
        <v>2034</v>
      </c>
      <c r="V72" s="120">
        <f>V2</f>
        <v>2035</v>
      </c>
      <c r="W72" s="120">
        <f t="shared" ref="W72:AF72" si="51">W2</f>
        <v>2036</v>
      </c>
      <c r="X72" s="120">
        <f t="shared" si="51"/>
        <v>2037</v>
      </c>
      <c r="Y72" s="120">
        <f t="shared" si="51"/>
        <v>2038</v>
      </c>
      <c r="Z72" s="120">
        <f t="shared" si="51"/>
        <v>2039</v>
      </c>
      <c r="AA72" s="120">
        <f t="shared" si="51"/>
        <v>2040</v>
      </c>
      <c r="AB72" s="120">
        <f t="shared" si="51"/>
        <v>2041</v>
      </c>
      <c r="AC72" s="120">
        <f t="shared" si="51"/>
        <v>2042</v>
      </c>
      <c r="AD72" s="120">
        <f t="shared" si="51"/>
        <v>2043</v>
      </c>
      <c r="AE72" s="120">
        <f t="shared" si="51"/>
        <v>2044</v>
      </c>
      <c r="AF72" s="120">
        <f t="shared" si="51"/>
        <v>2045</v>
      </c>
      <c r="AG72" s="120">
        <f>AG2</f>
        <v>2046</v>
      </c>
      <c r="AH72" s="120">
        <f>AH2</f>
        <v>2047</v>
      </c>
      <c r="AI72" s="120">
        <f>AI2</f>
        <v>2048</v>
      </c>
      <c r="AJ72" s="120">
        <f>AJ2</f>
        <v>2049</v>
      </c>
      <c r="AK72" s="120">
        <f>AK2</f>
        <v>2050</v>
      </c>
    </row>
    <row r="73" spans="1:37" x14ac:dyDescent="0.2">
      <c r="A73" s="53" t="s">
        <v>89</v>
      </c>
      <c r="B73" s="121">
        <v>0</v>
      </c>
      <c r="C73" s="121">
        <v>0</v>
      </c>
      <c r="D73" s="121">
        <v>0</v>
      </c>
      <c r="E73" s="121">
        <v>0</v>
      </c>
      <c r="F73" s="121">
        <v>0</v>
      </c>
      <c r="G73" s="121">
        <v>0</v>
      </c>
      <c r="H73" s="121">
        <v>0</v>
      </c>
      <c r="I73" s="121">
        <v>0</v>
      </c>
      <c r="J73" s="121">
        <v>0</v>
      </c>
      <c r="K73" s="121">
        <v>0</v>
      </c>
      <c r="L73" s="124">
        <f t="shared" ref="L73:AK73" si="52">K84+L40+L24-L56</f>
        <v>10.817530452860911</v>
      </c>
      <c r="M73" s="124">
        <f t="shared" si="52"/>
        <v>11.843897547627744</v>
      </c>
      <c r="N73" s="124">
        <f t="shared" si="52"/>
        <v>12.061326717440242</v>
      </c>
      <c r="O73" s="124">
        <f t="shared" si="52"/>
        <v>12.256022721105033</v>
      </c>
      <c r="P73" s="124">
        <f t="shared" si="52"/>
        <v>13.351587098886956</v>
      </c>
      <c r="Q73" s="124">
        <f t="shared" si="52"/>
        <v>16.813299809990596</v>
      </c>
      <c r="R73" s="124">
        <f t="shared" si="52"/>
        <v>16.597859348455362</v>
      </c>
      <c r="S73" s="124">
        <f t="shared" si="52"/>
        <v>16.314369586013612</v>
      </c>
      <c r="T73" s="124">
        <f t="shared" si="52"/>
        <v>15.981764410615938</v>
      </c>
      <c r="U73" s="124">
        <f t="shared" si="52"/>
        <v>15.660047238539409</v>
      </c>
      <c r="V73" s="124">
        <f t="shared" si="52"/>
        <v>18.67330689313328</v>
      </c>
      <c r="W73" s="124">
        <f t="shared" si="52"/>
        <v>18.719909769274942</v>
      </c>
      <c r="X73" s="124">
        <f t="shared" si="52"/>
        <v>18.753830680971159</v>
      </c>
      <c r="Y73" s="124">
        <f t="shared" si="52"/>
        <v>18.788931501083798</v>
      </c>
      <c r="Z73" s="124">
        <f t="shared" si="52"/>
        <v>18.831677913277098</v>
      </c>
      <c r="AA73" s="124">
        <f t="shared" si="52"/>
        <v>18.865588034063368</v>
      </c>
      <c r="AB73" s="124">
        <f t="shared" si="52"/>
        <v>18.901005573254047</v>
      </c>
      <c r="AC73" s="124">
        <f t="shared" si="52"/>
        <v>18.93535251797093</v>
      </c>
      <c r="AD73" s="124">
        <f t="shared" si="52"/>
        <v>18.972912494380736</v>
      </c>
      <c r="AE73" s="124">
        <f t="shared" si="52"/>
        <v>19.008697555668547</v>
      </c>
      <c r="AF73" s="124">
        <f t="shared" si="52"/>
        <v>19.044761302777562</v>
      </c>
      <c r="AG73" s="124">
        <f t="shared" si="52"/>
        <v>19.081525904888935</v>
      </c>
      <c r="AH73" s="124">
        <f t="shared" si="52"/>
        <v>19.117431263611905</v>
      </c>
      <c r="AI73" s="124">
        <f t="shared" si="52"/>
        <v>19.153319753568706</v>
      </c>
      <c r="AJ73" s="124">
        <f t="shared" si="52"/>
        <v>19.189270617531189</v>
      </c>
      <c r="AK73" s="124">
        <f t="shared" si="52"/>
        <v>19.22553412238069</v>
      </c>
    </row>
    <row r="74" spans="1:37" x14ac:dyDescent="0.2">
      <c r="A74" s="53" t="s">
        <v>90</v>
      </c>
      <c r="B74" s="121">
        <v>0</v>
      </c>
      <c r="C74" s="121">
        <v>0</v>
      </c>
      <c r="D74" s="121">
        <v>0</v>
      </c>
      <c r="E74" s="121">
        <v>0</v>
      </c>
      <c r="F74" s="121">
        <v>0</v>
      </c>
      <c r="G74" s="121">
        <v>0</v>
      </c>
      <c r="H74" s="121">
        <v>0</v>
      </c>
      <c r="I74" s="121">
        <v>0</v>
      </c>
      <c r="J74" s="121">
        <v>0</v>
      </c>
      <c r="K74" s="121">
        <v>0</v>
      </c>
      <c r="L74" s="124">
        <f t="shared" ref="L74:AK83" si="53">L73+L41+L25-L57</f>
        <v>20.209439759737045</v>
      </c>
      <c r="M74" s="124">
        <f t="shared" si="53"/>
        <v>22.206742379018323</v>
      </c>
      <c r="N74" s="124">
        <f t="shared" si="53"/>
        <v>22.610352735596834</v>
      </c>
      <c r="O74" s="124">
        <f t="shared" si="53"/>
        <v>22.965715105955688</v>
      </c>
      <c r="P74" s="124">
        <f t="shared" si="53"/>
        <v>25.237163241844648</v>
      </c>
      <c r="Q74" s="124">
        <f t="shared" si="53"/>
        <v>31.707618280118954</v>
      </c>
      <c r="R74" s="124">
        <f t="shared" si="53"/>
        <v>27.691256416118406</v>
      </c>
      <c r="S74" s="124">
        <f t="shared" si="53"/>
        <v>30.658616369705289</v>
      </c>
      <c r="T74" s="124">
        <f t="shared" si="53"/>
        <v>29.955358151993988</v>
      </c>
      <c r="U74" s="124">
        <f t="shared" si="53"/>
        <v>29.276483118277294</v>
      </c>
      <c r="V74" s="124">
        <f t="shared" si="53"/>
        <v>35.190934865381621</v>
      </c>
      <c r="W74" s="124">
        <f t="shared" si="53"/>
        <v>35.29410247714079</v>
      </c>
      <c r="X74" s="124">
        <f t="shared" si="53"/>
        <v>35.368572427207312</v>
      </c>
      <c r="Y74" s="124">
        <f t="shared" si="53"/>
        <v>35.443117254133298</v>
      </c>
      <c r="Z74" s="124">
        <f t="shared" si="53"/>
        <v>35.531134577618943</v>
      </c>
      <c r="AA74" s="124">
        <f t="shared" si="53"/>
        <v>35.598190954530757</v>
      </c>
      <c r="AB74" s="124">
        <f t="shared" si="53"/>
        <v>35.673157424318688</v>
      </c>
      <c r="AC74" s="124">
        <f t="shared" si="53"/>
        <v>35.744992020534809</v>
      </c>
      <c r="AD74" s="124">
        <f t="shared" si="53"/>
        <v>35.822863697180637</v>
      </c>
      <c r="AE74" s="124">
        <f t="shared" si="53"/>
        <v>35.896756415440422</v>
      </c>
      <c r="AF74" s="124">
        <f t="shared" si="53"/>
        <v>35.971296367157684</v>
      </c>
      <c r="AG74" s="124">
        <f t="shared" si="53"/>
        <v>36.047808915027666</v>
      </c>
      <c r="AH74" s="124">
        <f t="shared" si="53"/>
        <v>36.122315969802315</v>
      </c>
      <c r="AI74" s="124">
        <f t="shared" si="53"/>
        <v>36.196691883788894</v>
      </c>
      <c r="AJ74" s="124">
        <f t="shared" si="53"/>
        <v>36.271194989973232</v>
      </c>
      <c r="AK74" s="124">
        <f t="shared" si="53"/>
        <v>36.346393741544105</v>
      </c>
    </row>
    <row r="75" spans="1:37" x14ac:dyDescent="0.2">
      <c r="A75" s="53" t="s">
        <v>91</v>
      </c>
      <c r="B75" s="121">
        <v>0</v>
      </c>
      <c r="C75" s="121">
        <v>0</v>
      </c>
      <c r="D75" s="121">
        <v>0</v>
      </c>
      <c r="E75" s="121">
        <v>0</v>
      </c>
      <c r="F75" s="121">
        <v>0</v>
      </c>
      <c r="G75" s="121">
        <v>0</v>
      </c>
      <c r="H75" s="121">
        <v>0</v>
      </c>
      <c r="I75" s="121">
        <v>0</v>
      </c>
      <c r="J75" s="121">
        <v>0</v>
      </c>
      <c r="K75" s="121">
        <v>0</v>
      </c>
      <c r="L75" s="124">
        <f t="shared" si="53"/>
        <v>21.862893955255814</v>
      </c>
      <c r="M75" s="124">
        <f t="shared" si="53"/>
        <v>23.713690116011815</v>
      </c>
      <c r="N75" s="124">
        <f t="shared" si="53"/>
        <v>24.160390284731399</v>
      </c>
      <c r="O75" s="124">
        <f t="shared" si="53"/>
        <v>23.041598949410648</v>
      </c>
      <c r="P75" s="124">
        <f t="shared" si="53"/>
        <v>24.921741569816867</v>
      </c>
      <c r="Q75" s="124">
        <f t="shared" si="53"/>
        <v>30.349937187861521</v>
      </c>
      <c r="R75" s="124">
        <f t="shared" si="53"/>
        <v>25.986599501146479</v>
      </c>
      <c r="S75" s="124">
        <f t="shared" si="53"/>
        <v>33.531466033618521</v>
      </c>
      <c r="T75" s="124">
        <f t="shared" si="53"/>
        <v>32.089654656068575</v>
      </c>
      <c r="U75" s="124">
        <f t="shared" si="53"/>
        <v>30.703680352541234</v>
      </c>
      <c r="V75" s="124">
        <f t="shared" si="53"/>
        <v>37.483239992678683</v>
      </c>
      <c r="W75" s="124">
        <f t="shared" si="53"/>
        <v>37.52885946501916</v>
      </c>
      <c r="X75" s="124">
        <f t="shared" si="53"/>
        <v>37.56356428447129</v>
      </c>
      <c r="Y75" s="124">
        <f t="shared" si="53"/>
        <v>37.605316479028296</v>
      </c>
      <c r="Z75" s="124">
        <f t="shared" si="53"/>
        <v>37.663155728610761</v>
      </c>
      <c r="AA75" s="124">
        <f t="shared" si="53"/>
        <v>37.709263811683805</v>
      </c>
      <c r="AB75" s="124">
        <f t="shared" si="53"/>
        <v>37.750838648647601</v>
      </c>
      <c r="AC75" s="124">
        <f t="shared" si="53"/>
        <v>37.792959963036751</v>
      </c>
      <c r="AD75" s="124">
        <f t="shared" si="53"/>
        <v>37.840402602101513</v>
      </c>
      <c r="AE75" s="124">
        <f t="shared" si="53"/>
        <v>37.88609498662872</v>
      </c>
      <c r="AF75" s="124">
        <f t="shared" si="53"/>
        <v>37.931499598687651</v>
      </c>
      <c r="AG75" s="124">
        <f t="shared" si="53"/>
        <v>37.977146192803126</v>
      </c>
      <c r="AH75" s="124">
        <f t="shared" si="53"/>
        <v>38.022163545941808</v>
      </c>
      <c r="AI75" s="124">
        <f t="shared" si="53"/>
        <v>38.06733444770834</v>
      </c>
      <c r="AJ75" s="124">
        <f t="shared" si="53"/>
        <v>38.11254984440702</v>
      </c>
      <c r="AK75" s="124">
        <f t="shared" si="53"/>
        <v>38.15802977220428</v>
      </c>
    </row>
    <row r="76" spans="1:37" x14ac:dyDescent="0.2">
      <c r="A76" s="53" t="s">
        <v>92</v>
      </c>
      <c r="B76" s="121">
        <v>0</v>
      </c>
      <c r="C76" s="121">
        <v>0</v>
      </c>
      <c r="D76" s="121">
        <v>0</v>
      </c>
      <c r="E76" s="121">
        <v>0</v>
      </c>
      <c r="F76" s="121">
        <v>0</v>
      </c>
      <c r="G76" s="121">
        <v>0</v>
      </c>
      <c r="H76" s="121">
        <v>0</v>
      </c>
      <c r="I76" s="121">
        <v>0</v>
      </c>
      <c r="J76" s="121">
        <v>0</v>
      </c>
      <c r="K76" s="121">
        <v>0</v>
      </c>
      <c r="L76" s="124">
        <f t="shared" si="53"/>
        <v>22.436066585024793</v>
      </c>
      <c r="M76" s="124">
        <f t="shared" si="53"/>
        <v>24.260129383413641</v>
      </c>
      <c r="N76" s="124">
        <f t="shared" si="53"/>
        <v>24.720985304430684</v>
      </c>
      <c r="O76" s="124">
        <f t="shared" si="53"/>
        <v>23.618649479507944</v>
      </c>
      <c r="P76" s="124">
        <f t="shared" si="53"/>
        <v>25.368042803558318</v>
      </c>
      <c r="Q76" s="124">
        <f t="shared" si="53"/>
        <v>29.323117728590432</v>
      </c>
      <c r="R76" s="124">
        <f t="shared" si="53"/>
        <v>28.186567431641429</v>
      </c>
      <c r="S76" s="124">
        <f t="shared" si="53"/>
        <v>35.020398484064856</v>
      </c>
      <c r="T76" s="124">
        <f t="shared" si="53"/>
        <v>32.878262750433954</v>
      </c>
      <c r="U76" s="124">
        <f t="shared" si="53"/>
        <v>32.572833754704078</v>
      </c>
      <c r="V76" s="124">
        <f t="shared" si="53"/>
        <v>40.138072252767422</v>
      </c>
      <c r="W76" s="124">
        <f t="shared" si="53"/>
        <v>40.168241895937925</v>
      </c>
      <c r="X76" s="124">
        <f t="shared" si="53"/>
        <v>40.191892240823243</v>
      </c>
      <c r="Y76" s="124">
        <f t="shared" si="53"/>
        <v>40.223923060931014</v>
      </c>
      <c r="Z76" s="124">
        <f t="shared" si="53"/>
        <v>40.272113802363506</v>
      </c>
      <c r="AA76" s="124">
        <f t="shared" si="53"/>
        <v>40.312831399230383</v>
      </c>
      <c r="AB76" s="124">
        <f t="shared" si="53"/>
        <v>40.344941394127773</v>
      </c>
      <c r="AC76" s="124">
        <f t="shared" si="53"/>
        <v>40.378484607996022</v>
      </c>
      <c r="AD76" s="124">
        <f t="shared" si="53"/>
        <v>40.417077365587495</v>
      </c>
      <c r="AE76" s="124">
        <f t="shared" si="53"/>
        <v>40.454604870993748</v>
      </c>
      <c r="AF76" s="124">
        <f t="shared" si="53"/>
        <v>40.491746194829609</v>
      </c>
      <c r="AG76" s="124">
        <f t="shared" si="53"/>
        <v>40.528524564774116</v>
      </c>
      <c r="AH76" s="124">
        <f t="shared" si="53"/>
        <v>40.565048184460679</v>
      </c>
      <c r="AI76" s="124">
        <f t="shared" si="53"/>
        <v>40.601813258861114</v>
      </c>
      <c r="AJ76" s="124">
        <f t="shared" si="53"/>
        <v>40.638616890853591</v>
      </c>
      <c r="AK76" s="124">
        <f t="shared" si="53"/>
        <v>40.675572378245064</v>
      </c>
    </row>
    <row r="77" spans="1:37" x14ac:dyDescent="0.2">
      <c r="A77" s="53" t="s">
        <v>93</v>
      </c>
      <c r="B77" s="121">
        <v>0</v>
      </c>
      <c r="C77" s="121">
        <v>0</v>
      </c>
      <c r="D77" s="121">
        <v>0</v>
      </c>
      <c r="E77" s="121">
        <v>0</v>
      </c>
      <c r="F77" s="121">
        <v>0</v>
      </c>
      <c r="G77" s="121">
        <v>0</v>
      </c>
      <c r="H77" s="121">
        <v>0</v>
      </c>
      <c r="I77" s="121">
        <v>0</v>
      </c>
      <c r="J77" s="121">
        <v>0</v>
      </c>
      <c r="K77" s="121">
        <v>0</v>
      </c>
      <c r="L77" s="124">
        <f t="shared" si="53"/>
        <v>17.470617697872818</v>
      </c>
      <c r="M77" s="124">
        <f t="shared" si="53"/>
        <v>19.235038119178057</v>
      </c>
      <c r="N77" s="124">
        <f t="shared" si="53"/>
        <v>19.5827225735204</v>
      </c>
      <c r="O77" s="124">
        <f t="shared" si="53"/>
        <v>15.743546283864411</v>
      </c>
      <c r="P77" s="124">
        <f t="shared" si="53"/>
        <v>16.931050863513107</v>
      </c>
      <c r="Q77" s="124">
        <f t="shared" si="53"/>
        <v>17.291021920655908</v>
      </c>
      <c r="R77" s="124">
        <f t="shared" si="53"/>
        <v>22.74136653638908</v>
      </c>
      <c r="S77" s="124">
        <f t="shared" si="53"/>
        <v>28.634456929729083</v>
      </c>
      <c r="T77" s="124">
        <f t="shared" si="53"/>
        <v>25.494705957709272</v>
      </c>
      <c r="U77" s="124">
        <f t="shared" si="53"/>
        <v>22.403050429545729</v>
      </c>
      <c r="V77" s="124">
        <f t="shared" si="53"/>
        <v>30.162553651610338</v>
      </c>
      <c r="W77" s="124">
        <f t="shared" si="53"/>
        <v>30.251492073123359</v>
      </c>
      <c r="X77" s="124">
        <f t="shared" si="53"/>
        <v>30.317055756726276</v>
      </c>
      <c r="Y77" s="124">
        <f t="shared" si="53"/>
        <v>30.390295777334643</v>
      </c>
      <c r="Z77" s="124">
        <f t="shared" si="53"/>
        <v>30.486457578048714</v>
      </c>
      <c r="AA77" s="124">
        <f t="shared" si="53"/>
        <v>30.565855338987831</v>
      </c>
      <c r="AB77" s="124">
        <f t="shared" si="53"/>
        <v>30.640017433349229</v>
      </c>
      <c r="AC77" s="124">
        <f t="shared" si="53"/>
        <v>30.713693742407841</v>
      </c>
      <c r="AD77" s="124">
        <f t="shared" si="53"/>
        <v>30.79575399302901</v>
      </c>
      <c r="AE77" s="124">
        <f t="shared" si="53"/>
        <v>30.874601741673374</v>
      </c>
      <c r="AF77" s="124">
        <f t="shared" si="53"/>
        <v>30.953658810134385</v>
      </c>
      <c r="AG77" s="124">
        <f t="shared" si="53"/>
        <v>31.033271190615139</v>
      </c>
      <c r="AH77" s="124">
        <f t="shared" si="53"/>
        <v>31.111492719965781</v>
      </c>
      <c r="AI77" s="124">
        <f t="shared" si="53"/>
        <v>31.189897005248696</v>
      </c>
      <c r="AJ77" s="124">
        <f t="shared" si="53"/>
        <v>31.26843565552366</v>
      </c>
      <c r="AK77" s="124">
        <f t="shared" si="53"/>
        <v>31.347528335322764</v>
      </c>
    </row>
    <row r="78" spans="1:37" x14ac:dyDescent="0.2">
      <c r="A78" s="53" t="s">
        <v>94</v>
      </c>
      <c r="B78" s="121">
        <v>0</v>
      </c>
      <c r="C78" s="121">
        <v>0</v>
      </c>
      <c r="D78" s="121">
        <v>0</v>
      </c>
      <c r="E78" s="121">
        <v>0</v>
      </c>
      <c r="F78" s="121">
        <v>0</v>
      </c>
      <c r="G78" s="121">
        <v>0</v>
      </c>
      <c r="H78" s="121">
        <v>0</v>
      </c>
      <c r="I78" s="121">
        <v>0</v>
      </c>
      <c r="J78" s="121">
        <v>0</v>
      </c>
      <c r="K78" s="121">
        <v>0</v>
      </c>
      <c r="L78" s="124">
        <f t="shared" si="53"/>
        <v>9.7716414788150843</v>
      </c>
      <c r="M78" s="124">
        <f t="shared" si="53"/>
        <v>10.665271207978137</v>
      </c>
      <c r="N78" s="124">
        <f t="shared" si="53"/>
        <v>10.862766718257191</v>
      </c>
      <c r="O78" s="124">
        <f t="shared" si="53"/>
        <v>6.7092912719915319</v>
      </c>
      <c r="P78" s="124">
        <f t="shared" si="53"/>
        <v>6.7677816577814198</v>
      </c>
      <c r="Q78" s="124">
        <f t="shared" si="53"/>
        <v>4.6111693002641729</v>
      </c>
      <c r="R78" s="124">
        <f t="shared" si="53"/>
        <v>9.5819477628065997</v>
      </c>
      <c r="S78" s="124">
        <f t="shared" si="53"/>
        <v>17.96389856727469</v>
      </c>
      <c r="T78" s="124">
        <f t="shared" si="53"/>
        <v>13.792641707427592</v>
      </c>
      <c r="U78" s="124">
        <f t="shared" si="53"/>
        <v>11.481094697650484</v>
      </c>
      <c r="V78" s="124">
        <f t="shared" si="53"/>
        <v>19.665953647420146</v>
      </c>
      <c r="W78" s="124">
        <f t="shared" si="53"/>
        <v>19.688384060441251</v>
      </c>
      <c r="X78" s="124">
        <f t="shared" si="53"/>
        <v>19.707323206347127</v>
      </c>
      <c r="Y78" s="124">
        <f t="shared" si="53"/>
        <v>19.739826110314468</v>
      </c>
      <c r="Z78" s="124">
        <f t="shared" si="53"/>
        <v>19.79533681256359</v>
      </c>
      <c r="AA78" s="124">
        <f t="shared" si="53"/>
        <v>19.845068702404411</v>
      </c>
      <c r="AB78" s="124">
        <f t="shared" si="53"/>
        <v>19.877889955509431</v>
      </c>
      <c r="AC78" s="124">
        <f t="shared" si="53"/>
        <v>19.913868492856039</v>
      </c>
      <c r="AD78" s="124">
        <f t="shared" si="53"/>
        <v>19.956583612874738</v>
      </c>
      <c r="AE78" s="124">
        <f t="shared" si="53"/>
        <v>19.998679617399929</v>
      </c>
      <c r="AF78" s="124">
        <f t="shared" si="53"/>
        <v>20.040039787588015</v>
      </c>
      <c r="AG78" s="124">
        <f t="shared" si="53"/>
        <v>20.080158429802012</v>
      </c>
      <c r="AH78" s="124">
        <f t="shared" si="53"/>
        <v>20.120404562430622</v>
      </c>
      <c r="AI78" s="124">
        <f t="shared" si="53"/>
        <v>20.16110206998745</v>
      </c>
      <c r="AJ78" s="124">
        <f t="shared" si="53"/>
        <v>20.201841667105626</v>
      </c>
      <c r="AK78" s="124">
        <f t="shared" si="53"/>
        <v>20.242643443313625</v>
      </c>
    </row>
    <row r="79" spans="1:37" x14ac:dyDescent="0.2">
      <c r="A79" s="53" t="s">
        <v>95</v>
      </c>
      <c r="B79" s="121">
        <v>0</v>
      </c>
      <c r="C79" s="121">
        <v>0</v>
      </c>
      <c r="D79" s="121">
        <v>0</v>
      </c>
      <c r="E79" s="121">
        <v>0</v>
      </c>
      <c r="F79" s="121">
        <v>0</v>
      </c>
      <c r="G79" s="121">
        <v>0</v>
      </c>
      <c r="H79" s="121">
        <v>0</v>
      </c>
      <c r="I79" s="121">
        <v>0</v>
      </c>
      <c r="J79" s="121">
        <v>0</v>
      </c>
      <c r="K79" s="121">
        <v>0</v>
      </c>
      <c r="L79" s="124">
        <f t="shared" si="53"/>
        <v>2.3463438890667092</v>
      </c>
      <c r="M79" s="124">
        <f t="shared" si="53"/>
        <v>2.6161837200978937</v>
      </c>
      <c r="N79" s="124">
        <f t="shared" si="53"/>
        <v>2.6618105804903323</v>
      </c>
      <c r="O79" s="124">
        <f t="shared" si="53"/>
        <v>-3.1071731162491076</v>
      </c>
      <c r="P79" s="124">
        <f t="shared" si="53"/>
        <v>-4.015368488874941</v>
      </c>
      <c r="Q79" s="124">
        <f t="shared" si="53"/>
        <v>-9.2999074348808648</v>
      </c>
      <c r="R79" s="124">
        <f t="shared" si="53"/>
        <v>-4.8561099907639758</v>
      </c>
      <c r="S79" s="124">
        <f t="shared" si="53"/>
        <v>7.8095838215382827</v>
      </c>
      <c r="T79" s="124">
        <f t="shared" si="53"/>
        <v>2.5779576537458695</v>
      </c>
      <c r="U79" s="124">
        <f t="shared" si="53"/>
        <v>-0.76878515898725652</v>
      </c>
      <c r="V79" s="124">
        <f t="shared" si="53"/>
        <v>7.6933399509032512</v>
      </c>
      <c r="W79" s="124">
        <f t="shared" si="53"/>
        <v>7.6952854912872226</v>
      </c>
      <c r="X79" s="124">
        <f t="shared" si="53"/>
        <v>7.7002581345001033</v>
      </c>
      <c r="Y79" s="124">
        <f t="shared" si="53"/>
        <v>7.7225356674149594</v>
      </c>
      <c r="Z79" s="124">
        <f t="shared" si="53"/>
        <v>7.7707967623249914</v>
      </c>
      <c r="AA79" s="124">
        <f t="shared" si="53"/>
        <v>7.8155554483594329</v>
      </c>
      <c r="AB79" s="124">
        <f t="shared" si="53"/>
        <v>7.8378322659317661</v>
      </c>
      <c r="AC79" s="124">
        <f t="shared" si="53"/>
        <v>7.8649089285053719</v>
      </c>
      <c r="AD79" s="124">
        <f t="shared" si="53"/>
        <v>7.8989399744720998</v>
      </c>
      <c r="AE79" s="124">
        <f t="shared" si="53"/>
        <v>7.9331679231612071</v>
      </c>
      <c r="AF79" s="124">
        <f t="shared" si="53"/>
        <v>7.9661716275960259</v>
      </c>
      <c r="AG79" s="124">
        <f t="shared" si="53"/>
        <v>7.9972202260803869</v>
      </c>
      <c r="AH79" s="124">
        <f t="shared" si="53"/>
        <v>8.0289403844326017</v>
      </c>
      <c r="AI79" s="124">
        <f t="shared" si="53"/>
        <v>8.0612562245283641</v>
      </c>
      <c r="AJ79" s="124">
        <f t="shared" si="53"/>
        <v>8.0935817184891476</v>
      </c>
      <c r="AK79" s="124">
        <f t="shared" si="53"/>
        <v>8.1258001365448251</v>
      </c>
    </row>
    <row r="80" spans="1:37" x14ac:dyDescent="0.2">
      <c r="A80" s="53" t="s">
        <v>96</v>
      </c>
      <c r="B80" s="121">
        <v>0</v>
      </c>
      <c r="C80" s="121">
        <v>0</v>
      </c>
      <c r="D80" s="121">
        <v>0</v>
      </c>
      <c r="E80" s="121">
        <v>0</v>
      </c>
      <c r="F80" s="121">
        <v>0</v>
      </c>
      <c r="G80" s="121">
        <v>0</v>
      </c>
      <c r="H80" s="121">
        <v>0</v>
      </c>
      <c r="I80" s="121">
        <v>0</v>
      </c>
      <c r="J80" s="121">
        <v>0</v>
      </c>
      <c r="K80" s="121">
        <v>0</v>
      </c>
      <c r="L80" s="124">
        <f t="shared" si="53"/>
        <v>3.7658577826350381</v>
      </c>
      <c r="M80" s="124">
        <f t="shared" si="53"/>
        <v>4.2652322136852234</v>
      </c>
      <c r="N80" s="124">
        <f t="shared" si="53"/>
        <v>4.3363095288453977</v>
      </c>
      <c r="O80" s="124">
        <f t="shared" si="53"/>
        <v>-1.1406169897818828</v>
      </c>
      <c r="P80" s="124">
        <f t="shared" si="53"/>
        <v>-1.9097934140208181</v>
      </c>
      <c r="Q80" s="124">
        <f t="shared" si="53"/>
        <v>-8.9510713847906054</v>
      </c>
      <c r="R80" s="124">
        <f t="shared" si="53"/>
        <v>-4.8216934062036856</v>
      </c>
      <c r="S80" s="124">
        <f t="shared" si="53"/>
        <v>10.799675099382604</v>
      </c>
      <c r="T80" s="124">
        <f t="shared" si="53"/>
        <v>4.9422400139517464</v>
      </c>
      <c r="U80" s="124">
        <f t="shared" si="53"/>
        <v>2.6964475600083659</v>
      </c>
      <c r="V80" s="124">
        <f t="shared" si="53"/>
        <v>11.911312607388801</v>
      </c>
      <c r="W80" s="124">
        <f t="shared" si="53"/>
        <v>11.94003627814493</v>
      </c>
      <c r="X80" s="124">
        <f t="shared" si="53"/>
        <v>11.962323148691404</v>
      </c>
      <c r="Y80" s="124">
        <f t="shared" si="53"/>
        <v>11.996430504989142</v>
      </c>
      <c r="Z80" s="124">
        <f t="shared" si="53"/>
        <v>12.052357110247037</v>
      </c>
      <c r="AA80" s="124">
        <f t="shared" si="53"/>
        <v>12.10628211733173</v>
      </c>
      <c r="AB80" s="124">
        <f t="shared" si="53"/>
        <v>12.141945747157784</v>
      </c>
      <c r="AC80" s="124">
        <f t="shared" si="53"/>
        <v>12.18022840077483</v>
      </c>
      <c r="AD80" s="124">
        <f t="shared" si="53"/>
        <v>12.225315763405355</v>
      </c>
      <c r="AE80" s="124">
        <f t="shared" si="53"/>
        <v>12.269801171154938</v>
      </c>
      <c r="AF80" s="124">
        <f t="shared" si="53"/>
        <v>12.314031415797388</v>
      </c>
      <c r="AG80" s="124">
        <f t="shared" si="53"/>
        <v>12.356752506984918</v>
      </c>
      <c r="AH80" s="124">
        <f t="shared" si="53"/>
        <v>12.399489660846015</v>
      </c>
      <c r="AI80" s="124">
        <f t="shared" si="53"/>
        <v>12.442700082450756</v>
      </c>
      <c r="AJ80" s="124">
        <f t="shared" si="53"/>
        <v>12.486007772515052</v>
      </c>
      <c r="AK80" s="124">
        <f t="shared" si="53"/>
        <v>12.529427283860116</v>
      </c>
    </row>
    <row r="81" spans="1:37" x14ac:dyDescent="0.2">
      <c r="A81" s="53" t="s">
        <v>97</v>
      </c>
      <c r="B81" s="121">
        <v>0</v>
      </c>
      <c r="C81" s="121">
        <v>0</v>
      </c>
      <c r="D81" s="121">
        <v>0</v>
      </c>
      <c r="E81" s="121">
        <v>0</v>
      </c>
      <c r="F81" s="121">
        <v>0</v>
      </c>
      <c r="G81" s="121">
        <v>0</v>
      </c>
      <c r="H81" s="121">
        <v>0</v>
      </c>
      <c r="I81" s="121">
        <v>0</v>
      </c>
      <c r="J81" s="121">
        <v>0</v>
      </c>
      <c r="K81" s="121">
        <v>0</v>
      </c>
      <c r="L81" s="124">
        <f t="shared" si="53"/>
        <v>-2.3383992301542875</v>
      </c>
      <c r="M81" s="124">
        <f t="shared" si="53"/>
        <v>-2.2086577657097024</v>
      </c>
      <c r="N81" s="124">
        <f t="shared" si="53"/>
        <v>-2.2670813403890193</v>
      </c>
      <c r="O81" s="124">
        <f t="shared" si="53"/>
        <v>-10.453804051525672</v>
      </c>
      <c r="P81" s="124">
        <f t="shared" si="53"/>
        <v>-11.95768724023511</v>
      </c>
      <c r="Q81" s="124">
        <f t="shared" si="53"/>
        <v>-22.505146746156754</v>
      </c>
      <c r="R81" s="124">
        <f t="shared" si="53"/>
        <v>-18.882151783200769</v>
      </c>
      <c r="S81" s="124">
        <f t="shared" si="53"/>
        <v>2.8709810061639018</v>
      </c>
      <c r="T81" s="124">
        <f t="shared" si="53"/>
        <v>-3.9996599620719664</v>
      </c>
      <c r="U81" s="124">
        <f t="shared" si="53"/>
        <v>-9.0632238166828358</v>
      </c>
      <c r="V81" s="124">
        <f t="shared" si="53"/>
        <v>0.36570092274020283</v>
      </c>
      <c r="W81" s="124">
        <f t="shared" si="53"/>
        <v>0.40840056122495128</v>
      </c>
      <c r="X81" s="124">
        <f t="shared" si="53"/>
        <v>0.43960897548281253</v>
      </c>
      <c r="Y81" s="124">
        <f t="shared" si="53"/>
        <v>0.47981997194725068</v>
      </c>
      <c r="Z81" s="124">
        <f t="shared" si="53"/>
        <v>0.54001513539084556</v>
      </c>
      <c r="AA81" s="124">
        <f t="shared" si="53"/>
        <v>0.59789795775677135</v>
      </c>
      <c r="AB81" s="124">
        <f t="shared" si="53"/>
        <v>0.64034332079955902</v>
      </c>
      <c r="AC81" s="124">
        <f t="shared" si="53"/>
        <v>0.68425413234307086</v>
      </c>
      <c r="AD81" s="124">
        <f t="shared" si="53"/>
        <v>0.73487890008537704</v>
      </c>
      <c r="AE81" s="124">
        <f t="shared" si="53"/>
        <v>0.78449557330051789</v>
      </c>
      <c r="AF81" s="124">
        <f t="shared" si="53"/>
        <v>0.83426706002859419</v>
      </c>
      <c r="AG81" s="124">
        <f t="shared" si="53"/>
        <v>0.88281680192484657</v>
      </c>
      <c r="AH81" s="124">
        <f t="shared" si="53"/>
        <v>0.93104781487555499</v>
      </c>
      <c r="AI81" s="124">
        <f t="shared" si="53"/>
        <v>0.97969070007773951</v>
      </c>
      <c r="AJ81" s="124">
        <f t="shared" si="53"/>
        <v>1.0284722419626604</v>
      </c>
      <c r="AK81" s="124">
        <f t="shared" si="53"/>
        <v>1.0774688152170313</v>
      </c>
    </row>
    <row r="82" spans="1:37" x14ac:dyDescent="0.2">
      <c r="A82" s="53" t="s">
        <v>98</v>
      </c>
      <c r="B82" s="121">
        <v>0</v>
      </c>
      <c r="C82" s="121">
        <v>0</v>
      </c>
      <c r="D82" s="121">
        <v>0</v>
      </c>
      <c r="E82" s="121">
        <v>0</v>
      </c>
      <c r="F82" s="121">
        <v>0</v>
      </c>
      <c r="G82" s="121">
        <v>0</v>
      </c>
      <c r="H82" s="121">
        <v>0</v>
      </c>
      <c r="I82" s="121">
        <v>0</v>
      </c>
      <c r="J82" s="121">
        <v>0</v>
      </c>
      <c r="K82" s="121">
        <v>0</v>
      </c>
      <c r="L82" s="124">
        <f t="shared" si="53"/>
        <v>2.3696479349670589</v>
      </c>
      <c r="M82" s="124">
        <f t="shared" si="53"/>
        <v>3.0507582924918033</v>
      </c>
      <c r="N82" s="124">
        <f t="shared" si="53"/>
        <v>3.0835647608902761</v>
      </c>
      <c r="O82" s="124">
        <f t="shared" si="53"/>
        <v>-4.9357327054606479</v>
      </c>
      <c r="P82" s="124">
        <f t="shared" si="53"/>
        <v>-5.9487871807700898</v>
      </c>
      <c r="Q82" s="124">
        <f t="shared" si="53"/>
        <v>-17.708246429421905</v>
      </c>
      <c r="R82" s="124">
        <f t="shared" si="53"/>
        <v>-10.822331096169812</v>
      </c>
      <c r="S82" s="124">
        <f t="shared" si="53"/>
        <v>10.42733161197004</v>
      </c>
      <c r="T82" s="124">
        <f t="shared" si="53"/>
        <v>3.0146519030746148</v>
      </c>
      <c r="U82" s="124">
        <f t="shared" si="53"/>
        <v>-0.81886357976603819</v>
      </c>
      <c r="V82" s="124">
        <f t="shared" si="53"/>
        <v>9.5129480125855537</v>
      </c>
      <c r="W82" s="124">
        <f t="shared" si="53"/>
        <v>9.5968942326423701</v>
      </c>
      <c r="X82" s="124">
        <f t="shared" si="53"/>
        <v>9.6573763650580275</v>
      </c>
      <c r="Y82" s="124">
        <f t="shared" si="53"/>
        <v>9.7259020374491598</v>
      </c>
      <c r="Z82" s="124">
        <f t="shared" si="53"/>
        <v>9.8184256341000236</v>
      </c>
      <c r="AA82" s="124">
        <f t="shared" si="53"/>
        <v>9.9031859876380537</v>
      </c>
      <c r="AB82" s="124">
        <f t="shared" si="53"/>
        <v>9.974732485792444</v>
      </c>
      <c r="AC82" s="124">
        <f t="shared" si="53"/>
        <v>10.046294910921922</v>
      </c>
      <c r="AD82" s="124">
        <f t="shared" si="53"/>
        <v>10.126785274726338</v>
      </c>
      <c r="AE82" s="124">
        <f t="shared" si="53"/>
        <v>10.204782524678919</v>
      </c>
      <c r="AF82" s="124">
        <f t="shared" si="53"/>
        <v>10.283459643788241</v>
      </c>
      <c r="AG82" s="124">
        <f t="shared" si="53"/>
        <v>10.361520608240198</v>
      </c>
      <c r="AH82" s="124">
        <f t="shared" si="53"/>
        <v>10.438453803197106</v>
      </c>
      <c r="AI82" s="124">
        <f t="shared" si="53"/>
        <v>10.51575170968605</v>
      </c>
      <c r="AJ82" s="124">
        <f t="shared" si="53"/>
        <v>10.593262660707353</v>
      </c>
      <c r="AK82" s="124">
        <f t="shared" si="53"/>
        <v>10.671277865888122</v>
      </c>
    </row>
    <row r="83" spans="1:37" x14ac:dyDescent="0.2">
      <c r="A83" s="53" t="s">
        <v>99</v>
      </c>
      <c r="B83" s="121">
        <v>0</v>
      </c>
      <c r="C83" s="121">
        <v>0</v>
      </c>
      <c r="D83" s="121">
        <v>0</v>
      </c>
      <c r="E83" s="121">
        <v>0</v>
      </c>
      <c r="F83" s="121">
        <v>0</v>
      </c>
      <c r="G83" s="121">
        <v>0</v>
      </c>
      <c r="H83" s="121">
        <v>0</v>
      </c>
      <c r="I83" s="121">
        <v>0</v>
      </c>
      <c r="J83" s="121">
        <v>0</v>
      </c>
      <c r="K83" s="121">
        <v>0</v>
      </c>
      <c r="L83" s="124">
        <f t="shared" si="53"/>
        <v>7.6304190104277154</v>
      </c>
      <c r="M83" s="124">
        <f t="shared" si="53"/>
        <v>8.5232895750674693</v>
      </c>
      <c r="N83" s="124">
        <f t="shared" si="53"/>
        <v>8.6711719344340459</v>
      </c>
      <c r="O83" s="124">
        <f t="shared" si="53"/>
        <v>-0.55849969542475009</v>
      </c>
      <c r="P83" s="124">
        <f t="shared" si="53"/>
        <v>-0.74609550080753451</v>
      </c>
      <c r="Q83" s="124">
        <f t="shared" si="53"/>
        <v>-13.662867737019678</v>
      </c>
      <c r="R83" s="124">
        <f t="shared" si="53"/>
        <v>-1.6293890520530852</v>
      </c>
      <c r="S83" s="124">
        <f t="shared" si="53"/>
        <v>19.068783032324628</v>
      </c>
      <c r="T83" s="124">
        <f t="shared" si="53"/>
        <v>11.148197723124138</v>
      </c>
      <c r="U83" s="124">
        <f t="shared" si="53"/>
        <v>6.803637963777895</v>
      </c>
      <c r="V83" s="124">
        <f t="shared" si="53"/>
        <v>18.086620486572969</v>
      </c>
      <c r="W83" s="124">
        <f t="shared" si="53"/>
        <v>18.145565024258097</v>
      </c>
      <c r="X83" s="124">
        <f t="shared" si="53"/>
        <v>18.18772591856392</v>
      </c>
      <c r="Y83" s="124">
        <f t="shared" si="53"/>
        <v>18.232441817390026</v>
      </c>
      <c r="Z83" s="124">
        <f t="shared" si="53"/>
        <v>18.289294678547336</v>
      </c>
      <c r="AA83" s="124">
        <f t="shared" si="53"/>
        <v>18.338230266639073</v>
      </c>
      <c r="AB83" s="124">
        <f t="shared" si="53"/>
        <v>18.384388460048228</v>
      </c>
      <c r="AC83" s="124">
        <f t="shared" si="53"/>
        <v>18.429601047639729</v>
      </c>
      <c r="AD83" s="124">
        <f t="shared" si="53"/>
        <v>18.479648750684547</v>
      </c>
      <c r="AE83" s="124">
        <f t="shared" si="53"/>
        <v>18.527762734945746</v>
      </c>
      <c r="AF83" s="124">
        <f t="shared" si="53"/>
        <v>18.576360659084401</v>
      </c>
      <c r="AG83" s="124">
        <f t="shared" ref="AG83:AL83" si="54">AG82+AG50+AG34-AG66</f>
        <v>18.625209390567235</v>
      </c>
      <c r="AH83" s="124">
        <f t="shared" si="54"/>
        <v>18.67310244763825</v>
      </c>
      <c r="AI83" s="124">
        <f t="shared" si="54"/>
        <v>18.72110097773821</v>
      </c>
      <c r="AJ83" s="124">
        <f t="shared" si="54"/>
        <v>18.769221390313767</v>
      </c>
      <c r="AK83" s="124">
        <f t="shared" si="54"/>
        <v>18.817712915766961</v>
      </c>
    </row>
    <row r="84" spans="1:37" x14ac:dyDescent="0.2">
      <c r="A84" s="53" t="s">
        <v>100</v>
      </c>
      <c r="B84" s="121">
        <v>0</v>
      </c>
      <c r="C84" s="121">
        <v>0</v>
      </c>
      <c r="D84" s="121">
        <v>0</v>
      </c>
      <c r="E84" s="121">
        <v>0</v>
      </c>
      <c r="F84" s="121">
        <v>0</v>
      </c>
      <c r="G84" s="121">
        <v>0</v>
      </c>
      <c r="H84" s="121">
        <v>0</v>
      </c>
      <c r="I84" s="121">
        <v>0</v>
      </c>
      <c r="J84" s="121">
        <v>0</v>
      </c>
      <c r="K84" s="124">
        <f>K83+K51+K35-K67</f>
        <v>0</v>
      </c>
      <c r="L84" s="124">
        <f t="shared" ref="L84:AK84" si="55">L83+L51+L35-L67</f>
        <v>-5.6843418860808015E-14</v>
      </c>
      <c r="M84" s="124">
        <f t="shared" si="55"/>
        <v>-9.5923269327613525E-14</v>
      </c>
      <c r="N84" s="124">
        <f t="shared" si="55"/>
        <v>-1.5276668818842154E-13</v>
      </c>
      <c r="O84" s="124">
        <f t="shared" si="55"/>
        <v>-1.9184653865522705E-13</v>
      </c>
      <c r="P84" s="124">
        <f t="shared" si="55"/>
        <v>-2.4868995751603507E-13</v>
      </c>
      <c r="Q84" s="124">
        <f t="shared" si="55"/>
        <v>-2.9842794901924208E-13</v>
      </c>
      <c r="R84" s="124">
        <f t="shared" si="55"/>
        <v>-2.8421709430404007E-13</v>
      </c>
      <c r="S84" s="124">
        <f t="shared" si="55"/>
        <v>-3.4106051316484809E-13</v>
      </c>
      <c r="T84" s="124">
        <f t="shared" si="55"/>
        <v>-4.1211478674085811E-13</v>
      </c>
      <c r="U84" s="124">
        <f t="shared" si="55"/>
        <v>-5.1869619710487314E-13</v>
      </c>
      <c r="V84" s="124">
        <f t="shared" si="55"/>
        <v>-4.2632564145606011E-13</v>
      </c>
      <c r="W84" s="124">
        <f t="shared" si="55"/>
        <v>-3.765876499528531E-13</v>
      </c>
      <c r="X84" s="124">
        <f t="shared" si="55"/>
        <v>-2.3447910280083306E-13</v>
      </c>
      <c r="Y84" s="124">
        <f t="shared" si="55"/>
        <v>-1.1368683772161603E-13</v>
      </c>
      <c r="Z84" s="124">
        <f t="shared" si="55"/>
        <v>-7.1054273576010019E-14</v>
      </c>
      <c r="AA84" s="124">
        <f t="shared" si="55"/>
        <v>-1.1368683772161603E-13</v>
      </c>
      <c r="AB84" s="124">
        <f t="shared" si="55"/>
        <v>5.6843418860808015E-14</v>
      </c>
      <c r="AC84" s="124">
        <f t="shared" si="55"/>
        <v>2.9132252166164108E-13</v>
      </c>
      <c r="AD84" s="124">
        <f t="shared" si="55"/>
        <v>4.4053649617126212E-13</v>
      </c>
      <c r="AE84" s="124">
        <f t="shared" si="55"/>
        <v>6.4659388954169117E-13</v>
      </c>
      <c r="AF84" s="124">
        <f t="shared" si="55"/>
        <v>7.1054273576010019E-13</v>
      </c>
      <c r="AG84" s="124">
        <f t="shared" si="55"/>
        <v>8.6686213762732223E-13</v>
      </c>
      <c r="AH84" s="124">
        <f t="shared" si="55"/>
        <v>8.7396756498492323E-13</v>
      </c>
      <c r="AI84" s="124">
        <f t="shared" si="55"/>
        <v>9.0238927441532724E-13</v>
      </c>
      <c r="AJ84" s="124">
        <f t="shared" si="55"/>
        <v>1.0302869668521453E-12</v>
      </c>
      <c r="AK84" s="124">
        <f t="shared" si="55"/>
        <v>1.0942358130705543E-12</v>
      </c>
    </row>
    <row r="85" spans="1:37" x14ac:dyDescent="0.2">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c r="AD85" s="126"/>
      <c r="AE85" s="126"/>
      <c r="AF85" s="126"/>
      <c r="AG85" s="126"/>
      <c r="AH85" s="126"/>
      <c r="AI85" s="126"/>
      <c r="AJ85" s="126"/>
      <c r="AK85" s="126"/>
    </row>
    <row r="86" spans="1:37" x14ac:dyDescent="0.2">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row>
    <row r="87" spans="1:37" ht="12" thickBot="1" x14ac:dyDescent="0.25">
      <c r="A87" s="81" t="s">
        <v>120</v>
      </c>
      <c r="J87" s="127"/>
    </row>
    <row r="88" spans="1:37" ht="12" thickBot="1" x14ac:dyDescent="0.25">
      <c r="A88" s="82"/>
      <c r="B88" s="120">
        <f t="shared" ref="B88:T88" si="56">B2</f>
        <v>2015</v>
      </c>
      <c r="C88" s="120">
        <f t="shared" si="56"/>
        <v>2016</v>
      </c>
      <c r="D88" s="120">
        <f t="shared" si="56"/>
        <v>2017</v>
      </c>
      <c r="E88" s="120">
        <f t="shared" si="56"/>
        <v>2018</v>
      </c>
      <c r="F88" s="120">
        <f t="shared" si="56"/>
        <v>2019</v>
      </c>
      <c r="G88" s="120">
        <f t="shared" si="56"/>
        <v>2020</v>
      </c>
      <c r="H88" s="120">
        <f t="shared" si="56"/>
        <v>2021</v>
      </c>
      <c r="I88" s="120">
        <f t="shared" si="56"/>
        <v>2022</v>
      </c>
      <c r="J88" s="120">
        <f t="shared" si="56"/>
        <v>2023</v>
      </c>
      <c r="K88" s="120">
        <f t="shared" si="56"/>
        <v>2024</v>
      </c>
      <c r="L88" s="120">
        <f t="shared" si="56"/>
        <v>2025</v>
      </c>
      <c r="M88" s="120">
        <f t="shared" si="56"/>
        <v>2026</v>
      </c>
      <c r="N88" s="120">
        <f t="shared" si="56"/>
        <v>2027</v>
      </c>
      <c r="O88" s="120">
        <f t="shared" si="56"/>
        <v>2028</v>
      </c>
      <c r="P88" s="120">
        <f t="shared" si="56"/>
        <v>2029</v>
      </c>
      <c r="Q88" s="120">
        <f t="shared" si="56"/>
        <v>2030</v>
      </c>
      <c r="R88" s="120">
        <f t="shared" si="56"/>
        <v>2031</v>
      </c>
      <c r="S88" s="120">
        <f t="shared" si="56"/>
        <v>2032</v>
      </c>
      <c r="T88" s="120">
        <f t="shared" si="56"/>
        <v>2033</v>
      </c>
      <c r="U88" s="120">
        <f>U2</f>
        <v>2034</v>
      </c>
      <c r="V88" s="120">
        <f>V2</f>
        <v>2035</v>
      </c>
      <c r="W88" s="120">
        <f t="shared" ref="W88:AF88" si="57">W2</f>
        <v>2036</v>
      </c>
      <c r="X88" s="120">
        <f t="shared" si="57"/>
        <v>2037</v>
      </c>
      <c r="Y88" s="120">
        <f t="shared" si="57"/>
        <v>2038</v>
      </c>
      <c r="Z88" s="120">
        <f t="shared" si="57"/>
        <v>2039</v>
      </c>
      <c r="AA88" s="120">
        <f t="shared" si="57"/>
        <v>2040</v>
      </c>
      <c r="AB88" s="120">
        <f t="shared" si="57"/>
        <v>2041</v>
      </c>
      <c r="AC88" s="120">
        <f t="shared" si="57"/>
        <v>2042</v>
      </c>
      <c r="AD88" s="120">
        <f t="shared" si="57"/>
        <v>2043</v>
      </c>
      <c r="AE88" s="120">
        <f t="shared" si="57"/>
        <v>2044</v>
      </c>
      <c r="AF88" s="120">
        <f t="shared" si="57"/>
        <v>2045</v>
      </c>
      <c r="AG88" s="120">
        <f>AG2</f>
        <v>2046</v>
      </c>
      <c r="AH88" s="120">
        <f>AH2</f>
        <v>2047</v>
      </c>
      <c r="AI88" s="120">
        <f>AI2</f>
        <v>2048</v>
      </c>
      <c r="AJ88" s="120">
        <f>AJ2</f>
        <v>2049</v>
      </c>
      <c r="AK88" s="120">
        <f>AK2</f>
        <v>2050</v>
      </c>
    </row>
    <row r="89" spans="1:37" x14ac:dyDescent="0.2">
      <c r="A89" s="53" t="s">
        <v>89</v>
      </c>
      <c r="B89" s="121">
        <v>0</v>
      </c>
      <c r="C89" s="121">
        <v>0</v>
      </c>
      <c r="D89" s="121">
        <v>0</v>
      </c>
      <c r="E89" s="121">
        <v>0</v>
      </c>
      <c r="F89" s="121">
        <v>0</v>
      </c>
      <c r="G89" s="121">
        <v>0</v>
      </c>
      <c r="H89" s="121">
        <v>0</v>
      </c>
      <c r="I89" s="121">
        <v>0</v>
      </c>
      <c r="J89" s="121">
        <v>0</v>
      </c>
      <c r="K89" s="121">
        <f t="shared" ref="K89:Z100" si="58">46/12</f>
        <v>3.8333333333333335</v>
      </c>
      <c r="L89" s="121">
        <f t="shared" si="58"/>
        <v>3.8333333333333335</v>
      </c>
      <c r="M89" s="121">
        <f t="shared" si="58"/>
        <v>3.8333333333333335</v>
      </c>
      <c r="N89" s="121">
        <f t="shared" si="58"/>
        <v>3.8333333333333335</v>
      </c>
      <c r="O89" s="121">
        <f t="shared" si="58"/>
        <v>3.8333333333333335</v>
      </c>
      <c r="P89" s="121">
        <f t="shared" si="58"/>
        <v>3.8333333333333335</v>
      </c>
      <c r="Q89" s="121">
        <f t="shared" si="58"/>
        <v>3.8333333333333335</v>
      </c>
      <c r="R89" s="121">
        <f t="shared" si="58"/>
        <v>3.8333333333333335</v>
      </c>
      <c r="S89" s="121">
        <f t="shared" si="58"/>
        <v>3.8333333333333335</v>
      </c>
      <c r="T89" s="121">
        <f t="shared" si="58"/>
        <v>3.8333333333333335</v>
      </c>
      <c r="U89" s="121">
        <f t="shared" si="58"/>
        <v>3.8333333333333335</v>
      </c>
      <c r="V89" s="121">
        <f t="shared" si="58"/>
        <v>3.8333333333333335</v>
      </c>
      <c r="W89" s="121">
        <f t="shared" si="58"/>
        <v>3.8333333333333335</v>
      </c>
      <c r="X89" s="121">
        <f t="shared" si="58"/>
        <v>3.8333333333333335</v>
      </c>
      <c r="Y89" s="121">
        <f t="shared" si="58"/>
        <v>3.8333333333333335</v>
      </c>
      <c r="Z89" s="121">
        <f t="shared" si="58"/>
        <v>3.8333333333333335</v>
      </c>
      <c r="AA89" s="121">
        <f t="shared" ref="AA89:AP100" si="59">46/12</f>
        <v>3.8333333333333335</v>
      </c>
      <c r="AB89" s="121">
        <f t="shared" si="59"/>
        <v>3.8333333333333335</v>
      </c>
      <c r="AC89" s="121">
        <f t="shared" si="59"/>
        <v>3.8333333333333335</v>
      </c>
      <c r="AD89" s="121">
        <f t="shared" si="59"/>
        <v>3.8333333333333335</v>
      </c>
      <c r="AE89" s="121">
        <f t="shared" si="59"/>
        <v>3.8333333333333335</v>
      </c>
      <c r="AF89" s="121">
        <f t="shared" si="59"/>
        <v>3.8333333333333335</v>
      </c>
      <c r="AG89" s="121">
        <f t="shared" si="59"/>
        <v>3.8333333333333335</v>
      </c>
      <c r="AH89" s="121">
        <f t="shared" si="59"/>
        <v>3.8333333333333335</v>
      </c>
      <c r="AI89" s="121">
        <f t="shared" si="59"/>
        <v>3.8333333333333335</v>
      </c>
      <c r="AJ89" s="121">
        <f t="shared" si="59"/>
        <v>3.8333333333333335</v>
      </c>
      <c r="AK89" s="121">
        <f t="shared" si="59"/>
        <v>3.8333333333333335</v>
      </c>
    </row>
    <row r="90" spans="1:37" x14ac:dyDescent="0.2">
      <c r="A90" s="53" t="s">
        <v>90</v>
      </c>
      <c r="B90" s="121">
        <v>0</v>
      </c>
      <c r="C90" s="121">
        <v>0</v>
      </c>
      <c r="D90" s="121">
        <v>0</v>
      </c>
      <c r="E90" s="121">
        <v>0</v>
      </c>
      <c r="F90" s="121">
        <v>0</v>
      </c>
      <c r="G90" s="121">
        <v>0</v>
      </c>
      <c r="H90" s="121">
        <v>0</v>
      </c>
      <c r="I90" s="121">
        <v>0</v>
      </c>
      <c r="J90" s="121">
        <v>0</v>
      </c>
      <c r="K90" s="121">
        <f t="shared" si="58"/>
        <v>3.8333333333333335</v>
      </c>
      <c r="L90" s="121">
        <f t="shared" si="58"/>
        <v>3.8333333333333335</v>
      </c>
      <c r="M90" s="121">
        <f t="shared" si="58"/>
        <v>3.8333333333333335</v>
      </c>
      <c r="N90" s="121">
        <f t="shared" si="58"/>
        <v>3.8333333333333335</v>
      </c>
      <c r="O90" s="121">
        <f t="shared" si="58"/>
        <v>3.8333333333333335</v>
      </c>
      <c r="P90" s="121">
        <f t="shared" si="58"/>
        <v>3.8333333333333335</v>
      </c>
      <c r="Q90" s="121">
        <f t="shared" si="58"/>
        <v>3.8333333333333335</v>
      </c>
      <c r="R90" s="121">
        <f t="shared" si="58"/>
        <v>3.8333333333333335</v>
      </c>
      <c r="S90" s="121">
        <f t="shared" si="58"/>
        <v>3.8333333333333335</v>
      </c>
      <c r="T90" s="121">
        <f t="shared" si="58"/>
        <v>3.8333333333333335</v>
      </c>
      <c r="U90" s="121">
        <f t="shared" si="58"/>
        <v>3.8333333333333335</v>
      </c>
      <c r="V90" s="121">
        <f t="shared" si="58"/>
        <v>3.8333333333333335</v>
      </c>
      <c r="W90" s="121">
        <f t="shared" si="58"/>
        <v>3.8333333333333335</v>
      </c>
      <c r="X90" s="121">
        <f t="shared" si="58"/>
        <v>3.8333333333333335</v>
      </c>
      <c r="Y90" s="121">
        <f t="shared" si="58"/>
        <v>3.8333333333333335</v>
      </c>
      <c r="Z90" s="121">
        <f t="shared" si="58"/>
        <v>3.8333333333333335</v>
      </c>
      <c r="AA90" s="121">
        <f t="shared" si="59"/>
        <v>3.8333333333333335</v>
      </c>
      <c r="AB90" s="121">
        <f t="shared" si="59"/>
        <v>3.8333333333333335</v>
      </c>
      <c r="AC90" s="121">
        <f t="shared" si="59"/>
        <v>3.8333333333333335</v>
      </c>
      <c r="AD90" s="121">
        <f t="shared" si="59"/>
        <v>3.8333333333333335</v>
      </c>
      <c r="AE90" s="121">
        <f t="shared" si="59"/>
        <v>3.8333333333333335</v>
      </c>
      <c r="AF90" s="121">
        <f t="shared" si="59"/>
        <v>3.8333333333333335</v>
      </c>
      <c r="AG90" s="121">
        <f t="shared" si="59"/>
        <v>3.8333333333333335</v>
      </c>
      <c r="AH90" s="121">
        <f t="shared" si="59"/>
        <v>3.8333333333333335</v>
      </c>
      <c r="AI90" s="121">
        <f t="shared" si="59"/>
        <v>3.8333333333333335</v>
      </c>
      <c r="AJ90" s="121">
        <f t="shared" si="59"/>
        <v>3.8333333333333335</v>
      </c>
      <c r="AK90" s="121">
        <f t="shared" si="59"/>
        <v>3.8333333333333335</v>
      </c>
    </row>
    <row r="91" spans="1:37" x14ac:dyDescent="0.2">
      <c r="A91" s="53" t="s">
        <v>91</v>
      </c>
      <c r="B91" s="121">
        <v>0</v>
      </c>
      <c r="C91" s="121">
        <v>0</v>
      </c>
      <c r="D91" s="121">
        <v>0</v>
      </c>
      <c r="E91" s="121">
        <v>0</v>
      </c>
      <c r="F91" s="121">
        <v>0</v>
      </c>
      <c r="G91" s="121">
        <v>0</v>
      </c>
      <c r="H91" s="121">
        <v>0</v>
      </c>
      <c r="I91" s="121">
        <v>0</v>
      </c>
      <c r="J91" s="121">
        <v>0</v>
      </c>
      <c r="K91" s="121">
        <f t="shared" si="58"/>
        <v>3.8333333333333335</v>
      </c>
      <c r="L91" s="121">
        <f t="shared" si="58"/>
        <v>3.8333333333333335</v>
      </c>
      <c r="M91" s="121">
        <f t="shared" si="58"/>
        <v>3.8333333333333335</v>
      </c>
      <c r="N91" s="121">
        <f t="shared" si="58"/>
        <v>3.8333333333333335</v>
      </c>
      <c r="O91" s="121">
        <f t="shared" si="58"/>
        <v>3.8333333333333335</v>
      </c>
      <c r="P91" s="121">
        <f t="shared" si="58"/>
        <v>3.8333333333333335</v>
      </c>
      <c r="Q91" s="121">
        <f t="shared" si="58"/>
        <v>3.8333333333333335</v>
      </c>
      <c r="R91" s="121">
        <f t="shared" si="58"/>
        <v>3.8333333333333335</v>
      </c>
      <c r="S91" s="121">
        <f t="shared" si="58"/>
        <v>3.8333333333333335</v>
      </c>
      <c r="T91" s="121">
        <f t="shared" si="58"/>
        <v>3.8333333333333335</v>
      </c>
      <c r="U91" s="121">
        <f t="shared" si="58"/>
        <v>3.8333333333333335</v>
      </c>
      <c r="V91" s="121">
        <f t="shared" si="58"/>
        <v>3.8333333333333335</v>
      </c>
      <c r="W91" s="121">
        <f t="shared" si="58"/>
        <v>3.8333333333333335</v>
      </c>
      <c r="X91" s="121">
        <f t="shared" si="58"/>
        <v>3.8333333333333335</v>
      </c>
      <c r="Y91" s="121">
        <f t="shared" si="58"/>
        <v>3.8333333333333335</v>
      </c>
      <c r="Z91" s="121">
        <f t="shared" si="58"/>
        <v>3.8333333333333335</v>
      </c>
      <c r="AA91" s="121">
        <f t="shared" si="59"/>
        <v>3.8333333333333335</v>
      </c>
      <c r="AB91" s="121">
        <f t="shared" si="59"/>
        <v>3.8333333333333335</v>
      </c>
      <c r="AC91" s="121">
        <f t="shared" si="59"/>
        <v>3.8333333333333335</v>
      </c>
      <c r="AD91" s="121">
        <f t="shared" si="59"/>
        <v>3.8333333333333335</v>
      </c>
      <c r="AE91" s="121">
        <f t="shared" si="59"/>
        <v>3.8333333333333335</v>
      </c>
      <c r="AF91" s="121">
        <f t="shared" si="59"/>
        <v>3.8333333333333335</v>
      </c>
      <c r="AG91" s="121">
        <f t="shared" si="59"/>
        <v>3.8333333333333335</v>
      </c>
      <c r="AH91" s="121">
        <f t="shared" si="59"/>
        <v>3.8333333333333335</v>
      </c>
      <c r="AI91" s="121">
        <f t="shared" si="59"/>
        <v>3.8333333333333335</v>
      </c>
      <c r="AJ91" s="121">
        <f t="shared" si="59"/>
        <v>3.8333333333333335</v>
      </c>
      <c r="AK91" s="121">
        <f t="shared" si="59"/>
        <v>3.8333333333333335</v>
      </c>
    </row>
    <row r="92" spans="1:37" x14ac:dyDescent="0.2">
      <c r="A92" s="53" t="s">
        <v>92</v>
      </c>
      <c r="B92" s="121">
        <v>0</v>
      </c>
      <c r="C92" s="121">
        <v>0</v>
      </c>
      <c r="D92" s="121">
        <v>0</v>
      </c>
      <c r="E92" s="121">
        <v>0</v>
      </c>
      <c r="F92" s="121">
        <v>0</v>
      </c>
      <c r="G92" s="121">
        <v>0</v>
      </c>
      <c r="H92" s="121">
        <v>0</v>
      </c>
      <c r="I92" s="121">
        <v>0</v>
      </c>
      <c r="J92" s="121">
        <v>0</v>
      </c>
      <c r="K92" s="121">
        <f t="shared" si="58"/>
        <v>3.8333333333333335</v>
      </c>
      <c r="L92" s="121">
        <f t="shared" si="58"/>
        <v>3.8333333333333335</v>
      </c>
      <c r="M92" s="121">
        <f t="shared" si="58"/>
        <v>3.8333333333333335</v>
      </c>
      <c r="N92" s="121">
        <f t="shared" si="58"/>
        <v>3.8333333333333335</v>
      </c>
      <c r="O92" s="121">
        <f t="shared" si="58"/>
        <v>3.8333333333333335</v>
      </c>
      <c r="P92" s="121">
        <f t="shared" si="58"/>
        <v>3.8333333333333335</v>
      </c>
      <c r="Q92" s="121">
        <f t="shared" si="58"/>
        <v>3.8333333333333335</v>
      </c>
      <c r="R92" s="121">
        <f t="shared" si="58"/>
        <v>3.8333333333333335</v>
      </c>
      <c r="S92" s="121">
        <f t="shared" si="58"/>
        <v>3.8333333333333335</v>
      </c>
      <c r="T92" s="121">
        <f t="shared" si="58"/>
        <v>3.8333333333333335</v>
      </c>
      <c r="U92" s="121">
        <f t="shared" si="58"/>
        <v>3.8333333333333335</v>
      </c>
      <c r="V92" s="121">
        <f t="shared" si="58"/>
        <v>3.8333333333333335</v>
      </c>
      <c r="W92" s="121">
        <f t="shared" si="58"/>
        <v>3.8333333333333335</v>
      </c>
      <c r="X92" s="121">
        <f t="shared" si="58"/>
        <v>3.8333333333333335</v>
      </c>
      <c r="Y92" s="121">
        <f t="shared" si="58"/>
        <v>3.8333333333333335</v>
      </c>
      <c r="Z92" s="121">
        <f t="shared" si="58"/>
        <v>3.8333333333333335</v>
      </c>
      <c r="AA92" s="121">
        <f t="shared" si="59"/>
        <v>3.8333333333333335</v>
      </c>
      <c r="AB92" s="121">
        <f t="shared" si="59"/>
        <v>3.8333333333333335</v>
      </c>
      <c r="AC92" s="121">
        <f t="shared" si="59"/>
        <v>3.8333333333333335</v>
      </c>
      <c r="AD92" s="121">
        <f t="shared" si="59"/>
        <v>3.8333333333333335</v>
      </c>
      <c r="AE92" s="121">
        <f t="shared" si="59"/>
        <v>3.8333333333333335</v>
      </c>
      <c r="AF92" s="121">
        <f t="shared" si="59"/>
        <v>3.8333333333333335</v>
      </c>
      <c r="AG92" s="121">
        <f t="shared" si="59"/>
        <v>3.8333333333333335</v>
      </c>
      <c r="AH92" s="121">
        <f t="shared" si="59"/>
        <v>3.8333333333333335</v>
      </c>
      <c r="AI92" s="121">
        <f t="shared" si="59"/>
        <v>3.8333333333333335</v>
      </c>
      <c r="AJ92" s="121">
        <f t="shared" si="59"/>
        <v>3.8333333333333335</v>
      </c>
      <c r="AK92" s="121">
        <f t="shared" si="59"/>
        <v>3.8333333333333335</v>
      </c>
    </row>
    <row r="93" spans="1:37" x14ac:dyDescent="0.2">
      <c r="A93" s="53" t="s">
        <v>93</v>
      </c>
      <c r="B93" s="121">
        <v>0</v>
      </c>
      <c r="C93" s="121">
        <v>0</v>
      </c>
      <c r="D93" s="121">
        <v>0</v>
      </c>
      <c r="E93" s="121">
        <v>0</v>
      </c>
      <c r="F93" s="121">
        <v>0</v>
      </c>
      <c r="G93" s="121">
        <v>0</v>
      </c>
      <c r="H93" s="121">
        <v>0</v>
      </c>
      <c r="I93" s="121">
        <v>0</v>
      </c>
      <c r="J93" s="121">
        <v>0</v>
      </c>
      <c r="K93" s="121">
        <f t="shared" si="58"/>
        <v>3.8333333333333335</v>
      </c>
      <c r="L93" s="121">
        <f t="shared" si="58"/>
        <v>3.8333333333333335</v>
      </c>
      <c r="M93" s="121">
        <f t="shared" si="58"/>
        <v>3.8333333333333335</v>
      </c>
      <c r="N93" s="121">
        <f t="shared" si="58"/>
        <v>3.8333333333333335</v>
      </c>
      <c r="O93" s="121">
        <f t="shared" si="58"/>
        <v>3.8333333333333335</v>
      </c>
      <c r="P93" s="121">
        <f t="shared" si="58"/>
        <v>3.8333333333333335</v>
      </c>
      <c r="Q93" s="121">
        <f t="shared" si="58"/>
        <v>3.8333333333333335</v>
      </c>
      <c r="R93" s="121">
        <f t="shared" si="58"/>
        <v>3.8333333333333335</v>
      </c>
      <c r="S93" s="121">
        <f t="shared" si="58"/>
        <v>3.8333333333333335</v>
      </c>
      <c r="T93" s="121">
        <f t="shared" si="58"/>
        <v>3.8333333333333335</v>
      </c>
      <c r="U93" s="121">
        <f t="shared" si="58"/>
        <v>3.8333333333333335</v>
      </c>
      <c r="V93" s="121">
        <f t="shared" si="58"/>
        <v>3.8333333333333335</v>
      </c>
      <c r="W93" s="121">
        <f t="shared" si="58"/>
        <v>3.8333333333333335</v>
      </c>
      <c r="X93" s="121">
        <f t="shared" si="58"/>
        <v>3.8333333333333335</v>
      </c>
      <c r="Y93" s="121">
        <f t="shared" si="58"/>
        <v>3.8333333333333335</v>
      </c>
      <c r="Z93" s="121">
        <f t="shared" si="58"/>
        <v>3.8333333333333335</v>
      </c>
      <c r="AA93" s="121">
        <f t="shared" si="59"/>
        <v>3.8333333333333335</v>
      </c>
      <c r="AB93" s="121">
        <f t="shared" si="59"/>
        <v>3.8333333333333335</v>
      </c>
      <c r="AC93" s="121">
        <f t="shared" si="59"/>
        <v>3.8333333333333335</v>
      </c>
      <c r="AD93" s="121">
        <f t="shared" si="59"/>
        <v>3.8333333333333335</v>
      </c>
      <c r="AE93" s="121">
        <f t="shared" si="59"/>
        <v>3.8333333333333335</v>
      </c>
      <c r="AF93" s="121">
        <f t="shared" si="59"/>
        <v>3.8333333333333335</v>
      </c>
      <c r="AG93" s="121">
        <f t="shared" si="59"/>
        <v>3.8333333333333335</v>
      </c>
      <c r="AH93" s="121">
        <f t="shared" si="59"/>
        <v>3.8333333333333335</v>
      </c>
      <c r="AI93" s="121">
        <f t="shared" si="59"/>
        <v>3.8333333333333335</v>
      </c>
      <c r="AJ93" s="121">
        <f t="shared" si="59"/>
        <v>3.8333333333333335</v>
      </c>
      <c r="AK93" s="121">
        <f t="shared" si="59"/>
        <v>3.8333333333333335</v>
      </c>
    </row>
    <row r="94" spans="1:37" x14ac:dyDescent="0.2">
      <c r="A94" s="53" t="s">
        <v>94</v>
      </c>
      <c r="B94" s="121">
        <v>0</v>
      </c>
      <c r="C94" s="121">
        <v>0</v>
      </c>
      <c r="D94" s="121">
        <v>0</v>
      </c>
      <c r="E94" s="121">
        <v>0</v>
      </c>
      <c r="F94" s="121">
        <v>0</v>
      </c>
      <c r="G94" s="121">
        <v>0</v>
      </c>
      <c r="H94" s="121">
        <v>0</v>
      </c>
      <c r="I94" s="121">
        <v>0</v>
      </c>
      <c r="J94" s="121">
        <v>0</v>
      </c>
      <c r="K94" s="121">
        <f t="shared" si="58"/>
        <v>3.8333333333333335</v>
      </c>
      <c r="L94" s="121">
        <f t="shared" si="58"/>
        <v>3.8333333333333335</v>
      </c>
      <c r="M94" s="121">
        <f t="shared" si="58"/>
        <v>3.8333333333333335</v>
      </c>
      <c r="N94" s="121">
        <f t="shared" si="58"/>
        <v>3.8333333333333335</v>
      </c>
      <c r="O94" s="121">
        <f t="shared" si="58"/>
        <v>3.8333333333333335</v>
      </c>
      <c r="P94" s="121">
        <f t="shared" si="58"/>
        <v>3.8333333333333335</v>
      </c>
      <c r="Q94" s="121">
        <f t="shared" si="58"/>
        <v>3.8333333333333335</v>
      </c>
      <c r="R94" s="121">
        <f t="shared" si="58"/>
        <v>3.8333333333333335</v>
      </c>
      <c r="S94" s="121">
        <f t="shared" si="58"/>
        <v>3.8333333333333335</v>
      </c>
      <c r="T94" s="121">
        <f t="shared" si="58"/>
        <v>3.8333333333333335</v>
      </c>
      <c r="U94" s="121">
        <f t="shared" si="58"/>
        <v>3.8333333333333335</v>
      </c>
      <c r="V94" s="121">
        <f t="shared" si="58"/>
        <v>3.8333333333333335</v>
      </c>
      <c r="W94" s="121">
        <f t="shared" si="58"/>
        <v>3.8333333333333335</v>
      </c>
      <c r="X94" s="121">
        <f t="shared" si="58"/>
        <v>3.8333333333333335</v>
      </c>
      <c r="Y94" s="121">
        <f t="shared" si="58"/>
        <v>3.8333333333333335</v>
      </c>
      <c r="Z94" s="121">
        <f t="shared" si="58"/>
        <v>3.8333333333333335</v>
      </c>
      <c r="AA94" s="121">
        <f t="shared" si="59"/>
        <v>3.8333333333333335</v>
      </c>
      <c r="AB94" s="121">
        <f t="shared" si="59"/>
        <v>3.8333333333333335</v>
      </c>
      <c r="AC94" s="121">
        <f t="shared" si="59"/>
        <v>3.8333333333333335</v>
      </c>
      <c r="AD94" s="121">
        <f t="shared" si="59"/>
        <v>3.8333333333333335</v>
      </c>
      <c r="AE94" s="121">
        <f t="shared" si="59"/>
        <v>3.8333333333333335</v>
      </c>
      <c r="AF94" s="121">
        <f t="shared" si="59"/>
        <v>3.8333333333333335</v>
      </c>
      <c r="AG94" s="121">
        <f t="shared" si="59"/>
        <v>3.8333333333333335</v>
      </c>
      <c r="AH94" s="121">
        <f t="shared" si="59"/>
        <v>3.8333333333333335</v>
      </c>
      <c r="AI94" s="121">
        <f t="shared" si="59"/>
        <v>3.8333333333333335</v>
      </c>
      <c r="AJ94" s="121">
        <f t="shared" si="59"/>
        <v>3.8333333333333335</v>
      </c>
      <c r="AK94" s="121">
        <f t="shared" si="59"/>
        <v>3.8333333333333335</v>
      </c>
    </row>
    <row r="95" spans="1:37" x14ac:dyDescent="0.2">
      <c r="A95" s="53" t="s">
        <v>95</v>
      </c>
      <c r="B95" s="121">
        <v>0</v>
      </c>
      <c r="C95" s="121">
        <v>0</v>
      </c>
      <c r="D95" s="121">
        <v>0</v>
      </c>
      <c r="E95" s="121">
        <v>0</v>
      </c>
      <c r="F95" s="121">
        <v>0</v>
      </c>
      <c r="G95" s="121">
        <v>0</v>
      </c>
      <c r="H95" s="121">
        <v>0</v>
      </c>
      <c r="I95" s="121">
        <v>0</v>
      </c>
      <c r="J95" s="121">
        <v>0</v>
      </c>
      <c r="K95" s="121">
        <f t="shared" si="58"/>
        <v>3.8333333333333335</v>
      </c>
      <c r="L95" s="121">
        <f t="shared" si="58"/>
        <v>3.8333333333333335</v>
      </c>
      <c r="M95" s="121">
        <f t="shared" si="58"/>
        <v>3.8333333333333335</v>
      </c>
      <c r="N95" s="121">
        <f t="shared" si="58"/>
        <v>3.8333333333333335</v>
      </c>
      <c r="O95" s="121">
        <f t="shared" si="58"/>
        <v>3.8333333333333335</v>
      </c>
      <c r="P95" s="121">
        <f t="shared" si="58"/>
        <v>3.8333333333333335</v>
      </c>
      <c r="Q95" s="121">
        <f t="shared" si="58"/>
        <v>3.8333333333333335</v>
      </c>
      <c r="R95" s="121">
        <f t="shared" si="58"/>
        <v>3.8333333333333335</v>
      </c>
      <c r="S95" s="121">
        <f t="shared" si="58"/>
        <v>3.8333333333333335</v>
      </c>
      <c r="T95" s="121">
        <f t="shared" si="58"/>
        <v>3.8333333333333335</v>
      </c>
      <c r="U95" s="121">
        <f t="shared" si="58"/>
        <v>3.8333333333333335</v>
      </c>
      <c r="V95" s="121">
        <f t="shared" si="58"/>
        <v>3.8333333333333335</v>
      </c>
      <c r="W95" s="121">
        <f t="shared" si="58"/>
        <v>3.8333333333333335</v>
      </c>
      <c r="X95" s="121">
        <f t="shared" si="58"/>
        <v>3.8333333333333335</v>
      </c>
      <c r="Y95" s="121">
        <f t="shared" si="58"/>
        <v>3.8333333333333335</v>
      </c>
      <c r="Z95" s="121">
        <f t="shared" si="58"/>
        <v>3.8333333333333335</v>
      </c>
      <c r="AA95" s="121">
        <f t="shared" si="59"/>
        <v>3.8333333333333335</v>
      </c>
      <c r="AB95" s="121">
        <f t="shared" si="59"/>
        <v>3.8333333333333335</v>
      </c>
      <c r="AC95" s="121">
        <f t="shared" si="59"/>
        <v>3.8333333333333335</v>
      </c>
      <c r="AD95" s="121">
        <f t="shared" si="59"/>
        <v>3.8333333333333335</v>
      </c>
      <c r="AE95" s="121">
        <f t="shared" si="59"/>
        <v>3.8333333333333335</v>
      </c>
      <c r="AF95" s="121">
        <f t="shared" si="59"/>
        <v>3.8333333333333335</v>
      </c>
      <c r="AG95" s="121">
        <f t="shared" si="59"/>
        <v>3.8333333333333335</v>
      </c>
      <c r="AH95" s="121">
        <f t="shared" si="59"/>
        <v>3.8333333333333335</v>
      </c>
      <c r="AI95" s="121">
        <f t="shared" si="59"/>
        <v>3.8333333333333335</v>
      </c>
      <c r="AJ95" s="121">
        <f t="shared" si="59"/>
        <v>3.8333333333333335</v>
      </c>
      <c r="AK95" s="121">
        <f t="shared" si="59"/>
        <v>3.8333333333333335</v>
      </c>
    </row>
    <row r="96" spans="1:37" x14ac:dyDescent="0.2">
      <c r="A96" s="53" t="s">
        <v>96</v>
      </c>
      <c r="B96" s="121">
        <v>0</v>
      </c>
      <c r="C96" s="121">
        <v>0</v>
      </c>
      <c r="D96" s="121">
        <v>0</v>
      </c>
      <c r="E96" s="121">
        <v>0</v>
      </c>
      <c r="F96" s="121">
        <v>0</v>
      </c>
      <c r="G96" s="121">
        <v>0</v>
      </c>
      <c r="H96" s="121">
        <v>0</v>
      </c>
      <c r="I96" s="121">
        <v>0</v>
      </c>
      <c r="J96" s="121">
        <v>0</v>
      </c>
      <c r="K96" s="121">
        <f t="shared" si="58"/>
        <v>3.8333333333333335</v>
      </c>
      <c r="L96" s="121">
        <f t="shared" si="58"/>
        <v>3.8333333333333335</v>
      </c>
      <c r="M96" s="121">
        <f t="shared" si="58"/>
        <v>3.8333333333333335</v>
      </c>
      <c r="N96" s="121">
        <f t="shared" si="58"/>
        <v>3.8333333333333335</v>
      </c>
      <c r="O96" s="121">
        <f t="shared" si="58"/>
        <v>3.8333333333333335</v>
      </c>
      <c r="P96" s="121">
        <f t="shared" si="58"/>
        <v>3.8333333333333335</v>
      </c>
      <c r="Q96" s="121">
        <f t="shared" si="58"/>
        <v>3.8333333333333335</v>
      </c>
      <c r="R96" s="121">
        <f t="shared" si="58"/>
        <v>3.8333333333333335</v>
      </c>
      <c r="S96" s="121">
        <f t="shared" si="58"/>
        <v>3.8333333333333335</v>
      </c>
      <c r="T96" s="121">
        <f t="shared" si="58"/>
        <v>3.8333333333333335</v>
      </c>
      <c r="U96" s="121">
        <f t="shared" si="58"/>
        <v>3.8333333333333335</v>
      </c>
      <c r="V96" s="121">
        <f t="shared" si="58"/>
        <v>3.8333333333333335</v>
      </c>
      <c r="W96" s="121">
        <f t="shared" si="58"/>
        <v>3.8333333333333335</v>
      </c>
      <c r="X96" s="121">
        <f t="shared" si="58"/>
        <v>3.8333333333333335</v>
      </c>
      <c r="Y96" s="121">
        <f t="shared" si="58"/>
        <v>3.8333333333333335</v>
      </c>
      <c r="Z96" s="121">
        <f t="shared" si="58"/>
        <v>3.8333333333333335</v>
      </c>
      <c r="AA96" s="121">
        <f t="shared" si="59"/>
        <v>3.8333333333333335</v>
      </c>
      <c r="AB96" s="121">
        <f t="shared" si="59"/>
        <v>3.8333333333333335</v>
      </c>
      <c r="AC96" s="121">
        <f t="shared" si="59"/>
        <v>3.8333333333333335</v>
      </c>
      <c r="AD96" s="121">
        <f t="shared" si="59"/>
        <v>3.8333333333333335</v>
      </c>
      <c r="AE96" s="121">
        <f t="shared" si="59"/>
        <v>3.8333333333333335</v>
      </c>
      <c r="AF96" s="121">
        <f t="shared" si="59"/>
        <v>3.8333333333333335</v>
      </c>
      <c r="AG96" s="121">
        <f t="shared" si="59"/>
        <v>3.8333333333333335</v>
      </c>
      <c r="AH96" s="121">
        <f t="shared" si="59"/>
        <v>3.8333333333333335</v>
      </c>
      <c r="AI96" s="121">
        <f t="shared" si="59"/>
        <v>3.8333333333333335</v>
      </c>
      <c r="AJ96" s="121">
        <f t="shared" si="59"/>
        <v>3.8333333333333335</v>
      </c>
      <c r="AK96" s="121">
        <f t="shared" si="59"/>
        <v>3.8333333333333335</v>
      </c>
    </row>
    <row r="97" spans="1:37" x14ac:dyDescent="0.2">
      <c r="A97" s="53" t="s">
        <v>97</v>
      </c>
      <c r="B97" s="121">
        <v>0</v>
      </c>
      <c r="C97" s="121">
        <v>0</v>
      </c>
      <c r="D97" s="121">
        <v>0</v>
      </c>
      <c r="E97" s="121">
        <v>0</v>
      </c>
      <c r="F97" s="121">
        <v>0</v>
      </c>
      <c r="G97" s="121">
        <v>0</v>
      </c>
      <c r="H97" s="121">
        <v>0</v>
      </c>
      <c r="I97" s="121">
        <v>0</v>
      </c>
      <c r="J97" s="121">
        <v>0</v>
      </c>
      <c r="K97" s="121">
        <f t="shared" si="58"/>
        <v>3.8333333333333335</v>
      </c>
      <c r="L97" s="121">
        <f t="shared" si="58"/>
        <v>3.8333333333333335</v>
      </c>
      <c r="M97" s="121">
        <f t="shared" si="58"/>
        <v>3.8333333333333335</v>
      </c>
      <c r="N97" s="121">
        <f t="shared" si="58"/>
        <v>3.8333333333333335</v>
      </c>
      <c r="O97" s="121">
        <f t="shared" si="58"/>
        <v>3.8333333333333335</v>
      </c>
      <c r="P97" s="121">
        <f t="shared" si="58"/>
        <v>3.8333333333333335</v>
      </c>
      <c r="Q97" s="121">
        <f t="shared" si="58"/>
        <v>3.8333333333333335</v>
      </c>
      <c r="R97" s="121">
        <f t="shared" si="58"/>
        <v>3.8333333333333335</v>
      </c>
      <c r="S97" s="121">
        <f t="shared" si="58"/>
        <v>3.8333333333333335</v>
      </c>
      <c r="T97" s="121">
        <f t="shared" si="58"/>
        <v>3.8333333333333335</v>
      </c>
      <c r="U97" s="121">
        <f t="shared" si="58"/>
        <v>3.8333333333333335</v>
      </c>
      <c r="V97" s="121">
        <f t="shared" si="58"/>
        <v>3.8333333333333335</v>
      </c>
      <c r="W97" s="121">
        <f t="shared" si="58"/>
        <v>3.8333333333333335</v>
      </c>
      <c r="X97" s="121">
        <f t="shared" si="58"/>
        <v>3.8333333333333335</v>
      </c>
      <c r="Y97" s="121">
        <f t="shared" si="58"/>
        <v>3.8333333333333335</v>
      </c>
      <c r="Z97" s="121">
        <f t="shared" si="58"/>
        <v>3.8333333333333335</v>
      </c>
      <c r="AA97" s="121">
        <f t="shared" si="59"/>
        <v>3.8333333333333335</v>
      </c>
      <c r="AB97" s="121">
        <f t="shared" si="59"/>
        <v>3.8333333333333335</v>
      </c>
      <c r="AC97" s="121">
        <f t="shared" si="59"/>
        <v>3.8333333333333335</v>
      </c>
      <c r="AD97" s="121">
        <f t="shared" si="59"/>
        <v>3.8333333333333335</v>
      </c>
      <c r="AE97" s="121">
        <f t="shared" si="59"/>
        <v>3.8333333333333335</v>
      </c>
      <c r="AF97" s="121">
        <f t="shared" si="59"/>
        <v>3.8333333333333335</v>
      </c>
      <c r="AG97" s="121">
        <f t="shared" si="59"/>
        <v>3.8333333333333335</v>
      </c>
      <c r="AH97" s="121">
        <f t="shared" si="59"/>
        <v>3.8333333333333335</v>
      </c>
      <c r="AI97" s="121">
        <f t="shared" si="59"/>
        <v>3.8333333333333335</v>
      </c>
      <c r="AJ97" s="121">
        <f t="shared" si="59"/>
        <v>3.8333333333333335</v>
      </c>
      <c r="AK97" s="121">
        <f t="shared" si="59"/>
        <v>3.8333333333333335</v>
      </c>
    </row>
    <row r="98" spans="1:37" x14ac:dyDescent="0.2">
      <c r="A98" s="53" t="s">
        <v>98</v>
      </c>
      <c r="B98" s="121">
        <v>0</v>
      </c>
      <c r="C98" s="121">
        <v>0</v>
      </c>
      <c r="D98" s="121">
        <v>0</v>
      </c>
      <c r="E98" s="121">
        <v>0</v>
      </c>
      <c r="F98" s="121">
        <v>0</v>
      </c>
      <c r="G98" s="121">
        <v>0</v>
      </c>
      <c r="H98" s="121">
        <v>0</v>
      </c>
      <c r="I98" s="121">
        <v>0</v>
      </c>
      <c r="J98" s="121">
        <v>0</v>
      </c>
      <c r="K98" s="121">
        <f t="shared" si="58"/>
        <v>3.8333333333333335</v>
      </c>
      <c r="L98" s="121">
        <f t="shared" si="58"/>
        <v>3.8333333333333335</v>
      </c>
      <c r="M98" s="121">
        <f t="shared" si="58"/>
        <v>3.8333333333333335</v>
      </c>
      <c r="N98" s="121">
        <f t="shared" si="58"/>
        <v>3.8333333333333335</v>
      </c>
      <c r="O98" s="121">
        <f t="shared" si="58"/>
        <v>3.8333333333333335</v>
      </c>
      <c r="P98" s="121">
        <f t="shared" si="58"/>
        <v>3.8333333333333335</v>
      </c>
      <c r="Q98" s="121">
        <f t="shared" si="58"/>
        <v>3.8333333333333335</v>
      </c>
      <c r="R98" s="121">
        <f t="shared" si="58"/>
        <v>3.8333333333333335</v>
      </c>
      <c r="S98" s="121">
        <f t="shared" si="58"/>
        <v>3.8333333333333335</v>
      </c>
      <c r="T98" s="121">
        <f t="shared" si="58"/>
        <v>3.8333333333333335</v>
      </c>
      <c r="U98" s="121">
        <f t="shared" si="58"/>
        <v>3.8333333333333335</v>
      </c>
      <c r="V98" s="121">
        <f t="shared" si="58"/>
        <v>3.8333333333333335</v>
      </c>
      <c r="W98" s="121">
        <f t="shared" si="58"/>
        <v>3.8333333333333335</v>
      </c>
      <c r="X98" s="121">
        <f t="shared" si="58"/>
        <v>3.8333333333333335</v>
      </c>
      <c r="Y98" s="121">
        <f t="shared" si="58"/>
        <v>3.8333333333333335</v>
      </c>
      <c r="Z98" s="121">
        <f t="shared" si="58"/>
        <v>3.8333333333333335</v>
      </c>
      <c r="AA98" s="121">
        <f t="shared" si="59"/>
        <v>3.8333333333333335</v>
      </c>
      <c r="AB98" s="121">
        <f t="shared" si="59"/>
        <v>3.8333333333333335</v>
      </c>
      <c r="AC98" s="121">
        <f t="shared" si="59"/>
        <v>3.8333333333333335</v>
      </c>
      <c r="AD98" s="121">
        <f t="shared" si="59"/>
        <v>3.8333333333333335</v>
      </c>
      <c r="AE98" s="121">
        <f t="shared" si="59"/>
        <v>3.8333333333333335</v>
      </c>
      <c r="AF98" s="121">
        <f t="shared" si="59"/>
        <v>3.8333333333333335</v>
      </c>
      <c r="AG98" s="121">
        <f t="shared" si="59"/>
        <v>3.8333333333333335</v>
      </c>
      <c r="AH98" s="121">
        <f t="shared" si="59"/>
        <v>3.8333333333333335</v>
      </c>
      <c r="AI98" s="121">
        <f t="shared" si="59"/>
        <v>3.8333333333333335</v>
      </c>
      <c r="AJ98" s="121">
        <f t="shared" si="59"/>
        <v>3.8333333333333335</v>
      </c>
      <c r="AK98" s="121">
        <f t="shared" si="59"/>
        <v>3.8333333333333335</v>
      </c>
    </row>
    <row r="99" spans="1:37" x14ac:dyDescent="0.2">
      <c r="A99" s="53" t="s">
        <v>99</v>
      </c>
      <c r="B99" s="121">
        <v>0</v>
      </c>
      <c r="C99" s="121">
        <v>0</v>
      </c>
      <c r="D99" s="121">
        <v>0</v>
      </c>
      <c r="E99" s="121">
        <v>0</v>
      </c>
      <c r="F99" s="121">
        <v>0</v>
      </c>
      <c r="G99" s="121">
        <v>0</v>
      </c>
      <c r="H99" s="121">
        <v>0</v>
      </c>
      <c r="I99" s="121">
        <v>0</v>
      </c>
      <c r="J99" s="121">
        <f>46/12</f>
        <v>3.8333333333333335</v>
      </c>
      <c r="K99" s="121">
        <f t="shared" si="58"/>
        <v>3.8333333333333335</v>
      </c>
      <c r="L99" s="121">
        <f t="shared" si="58"/>
        <v>3.8333333333333335</v>
      </c>
      <c r="M99" s="121">
        <f t="shared" si="58"/>
        <v>3.8333333333333335</v>
      </c>
      <c r="N99" s="121">
        <f t="shared" si="58"/>
        <v>3.8333333333333335</v>
      </c>
      <c r="O99" s="121">
        <f t="shared" si="58"/>
        <v>3.8333333333333335</v>
      </c>
      <c r="P99" s="121">
        <f t="shared" si="58"/>
        <v>3.8333333333333335</v>
      </c>
      <c r="Q99" s="121">
        <f t="shared" si="58"/>
        <v>3.8333333333333335</v>
      </c>
      <c r="R99" s="121">
        <f t="shared" si="58"/>
        <v>3.8333333333333335</v>
      </c>
      <c r="S99" s="121">
        <f t="shared" si="58"/>
        <v>3.8333333333333335</v>
      </c>
      <c r="T99" s="121">
        <f t="shared" si="58"/>
        <v>3.8333333333333335</v>
      </c>
      <c r="U99" s="121">
        <f t="shared" si="58"/>
        <v>3.8333333333333335</v>
      </c>
      <c r="V99" s="121">
        <f t="shared" si="58"/>
        <v>3.8333333333333335</v>
      </c>
      <c r="W99" s="121">
        <f t="shared" si="58"/>
        <v>3.8333333333333335</v>
      </c>
      <c r="X99" s="121">
        <f t="shared" si="58"/>
        <v>3.8333333333333335</v>
      </c>
      <c r="Y99" s="121">
        <f t="shared" si="58"/>
        <v>3.8333333333333335</v>
      </c>
      <c r="Z99" s="121">
        <f t="shared" si="58"/>
        <v>3.8333333333333335</v>
      </c>
      <c r="AA99" s="121">
        <f t="shared" si="59"/>
        <v>3.8333333333333335</v>
      </c>
      <c r="AB99" s="121">
        <f t="shared" si="59"/>
        <v>3.8333333333333335</v>
      </c>
      <c r="AC99" s="121">
        <f t="shared" si="59"/>
        <v>3.8333333333333335</v>
      </c>
      <c r="AD99" s="121">
        <f t="shared" si="59"/>
        <v>3.8333333333333335</v>
      </c>
      <c r="AE99" s="121">
        <f t="shared" si="59"/>
        <v>3.8333333333333335</v>
      </c>
      <c r="AF99" s="121">
        <f t="shared" si="59"/>
        <v>3.8333333333333335</v>
      </c>
      <c r="AG99" s="121">
        <f t="shared" si="59"/>
        <v>3.8333333333333335</v>
      </c>
      <c r="AH99" s="121">
        <f t="shared" si="59"/>
        <v>3.8333333333333335</v>
      </c>
      <c r="AI99" s="121">
        <f t="shared" si="59"/>
        <v>3.8333333333333335</v>
      </c>
      <c r="AJ99" s="121">
        <f t="shared" si="59"/>
        <v>3.8333333333333335</v>
      </c>
      <c r="AK99" s="121">
        <f t="shared" si="59"/>
        <v>3.8333333333333335</v>
      </c>
    </row>
    <row r="100" spans="1:37" x14ac:dyDescent="0.2">
      <c r="A100" s="53" t="s">
        <v>100</v>
      </c>
      <c r="B100" s="121">
        <v>0</v>
      </c>
      <c r="C100" s="121">
        <v>0</v>
      </c>
      <c r="D100" s="121">
        <v>0</v>
      </c>
      <c r="E100" s="121">
        <v>0</v>
      </c>
      <c r="F100" s="121">
        <v>0</v>
      </c>
      <c r="G100" s="121">
        <v>0</v>
      </c>
      <c r="H100" s="121">
        <v>0</v>
      </c>
      <c r="I100" s="121">
        <v>0</v>
      </c>
      <c r="J100" s="121">
        <f>46/12</f>
        <v>3.8333333333333335</v>
      </c>
      <c r="K100" s="121">
        <f t="shared" si="58"/>
        <v>3.8333333333333335</v>
      </c>
      <c r="L100" s="121">
        <f t="shared" si="58"/>
        <v>3.8333333333333335</v>
      </c>
      <c r="M100" s="121">
        <f t="shared" si="58"/>
        <v>3.8333333333333335</v>
      </c>
      <c r="N100" s="121">
        <f t="shared" si="58"/>
        <v>3.8333333333333335</v>
      </c>
      <c r="O100" s="121">
        <f t="shared" si="58"/>
        <v>3.8333333333333335</v>
      </c>
      <c r="P100" s="121">
        <f t="shared" si="58"/>
        <v>3.8333333333333335</v>
      </c>
      <c r="Q100" s="121">
        <f t="shared" si="58"/>
        <v>3.8333333333333335</v>
      </c>
      <c r="R100" s="121">
        <f t="shared" si="58"/>
        <v>3.8333333333333335</v>
      </c>
      <c r="S100" s="121">
        <f t="shared" si="58"/>
        <v>3.8333333333333335</v>
      </c>
      <c r="T100" s="121">
        <f t="shared" si="58"/>
        <v>3.8333333333333335</v>
      </c>
      <c r="U100" s="121">
        <f t="shared" si="58"/>
        <v>3.8333333333333335</v>
      </c>
      <c r="V100" s="121">
        <f t="shared" si="58"/>
        <v>3.8333333333333335</v>
      </c>
      <c r="W100" s="121">
        <f t="shared" si="58"/>
        <v>3.8333333333333335</v>
      </c>
      <c r="X100" s="121">
        <f t="shared" si="58"/>
        <v>3.8333333333333335</v>
      </c>
      <c r="Y100" s="121">
        <f t="shared" si="58"/>
        <v>3.8333333333333335</v>
      </c>
      <c r="Z100" s="121">
        <f t="shared" si="58"/>
        <v>3.8333333333333335</v>
      </c>
      <c r="AA100" s="121">
        <f t="shared" si="59"/>
        <v>3.8333333333333335</v>
      </c>
      <c r="AB100" s="121">
        <f t="shared" si="59"/>
        <v>3.8333333333333335</v>
      </c>
      <c r="AC100" s="121">
        <f t="shared" si="59"/>
        <v>3.8333333333333335</v>
      </c>
      <c r="AD100" s="121">
        <f t="shared" si="59"/>
        <v>3.8333333333333335</v>
      </c>
      <c r="AE100" s="121">
        <f t="shared" si="59"/>
        <v>3.8333333333333335</v>
      </c>
      <c r="AF100" s="121">
        <f t="shared" si="59"/>
        <v>3.8333333333333335</v>
      </c>
      <c r="AG100" s="121">
        <f t="shared" si="59"/>
        <v>3.8333333333333335</v>
      </c>
      <c r="AH100" s="121">
        <f t="shared" si="59"/>
        <v>3.8333333333333335</v>
      </c>
      <c r="AI100" s="121">
        <f t="shared" si="59"/>
        <v>3.8333333333333335</v>
      </c>
      <c r="AJ100" s="121">
        <f t="shared" si="59"/>
        <v>3.8333333333333335</v>
      </c>
      <c r="AK100" s="121">
        <f t="shared" si="59"/>
        <v>3.8333333333333335</v>
      </c>
    </row>
    <row r="101" spans="1:37" x14ac:dyDescent="0.2">
      <c r="A101" s="53" t="s">
        <v>121</v>
      </c>
      <c r="B101" s="121">
        <f t="shared" ref="B101:T101" si="60">AVERAGE(B89:B100)</f>
        <v>0</v>
      </c>
      <c r="C101" s="121">
        <f t="shared" si="60"/>
        <v>0</v>
      </c>
      <c r="D101" s="121">
        <f t="shared" si="60"/>
        <v>0</v>
      </c>
      <c r="E101" s="121">
        <f t="shared" si="60"/>
        <v>0</v>
      </c>
      <c r="F101" s="121">
        <f t="shared" si="60"/>
        <v>0</v>
      </c>
      <c r="G101" s="121">
        <f t="shared" si="60"/>
        <v>0</v>
      </c>
      <c r="H101" s="121">
        <f t="shared" si="60"/>
        <v>0</v>
      </c>
      <c r="I101" s="121">
        <f t="shared" si="60"/>
        <v>0</v>
      </c>
      <c r="J101" s="121">
        <f t="shared" si="60"/>
        <v>0.63888888888888895</v>
      </c>
      <c r="K101" s="121">
        <f t="shared" si="60"/>
        <v>3.8333333333333339</v>
      </c>
      <c r="L101" s="121">
        <f t="shared" si="60"/>
        <v>3.8333333333333339</v>
      </c>
      <c r="M101" s="121">
        <f t="shared" si="60"/>
        <v>3.8333333333333339</v>
      </c>
      <c r="N101" s="121">
        <f t="shared" si="60"/>
        <v>3.8333333333333339</v>
      </c>
      <c r="O101" s="121">
        <f t="shared" si="60"/>
        <v>3.8333333333333339</v>
      </c>
      <c r="P101" s="121">
        <f t="shared" si="60"/>
        <v>3.8333333333333339</v>
      </c>
      <c r="Q101" s="121">
        <f t="shared" si="60"/>
        <v>3.8333333333333339</v>
      </c>
      <c r="R101" s="121">
        <f t="shared" si="60"/>
        <v>3.8333333333333339</v>
      </c>
      <c r="S101" s="121">
        <f t="shared" si="60"/>
        <v>3.8333333333333339</v>
      </c>
      <c r="T101" s="121">
        <f t="shared" si="60"/>
        <v>3.8333333333333339</v>
      </c>
      <c r="U101" s="121">
        <f>AVERAGE(U89:U100)</f>
        <v>3.8333333333333339</v>
      </c>
      <c r="V101" s="121">
        <f>AVERAGE(V89:V100)</f>
        <v>3.8333333333333339</v>
      </c>
      <c r="W101" s="121">
        <f t="shared" ref="W101:AF101" si="61">AVERAGE(W89:W100)</f>
        <v>3.8333333333333339</v>
      </c>
      <c r="X101" s="121">
        <f t="shared" si="61"/>
        <v>3.8333333333333339</v>
      </c>
      <c r="Y101" s="121">
        <f t="shared" si="61"/>
        <v>3.8333333333333339</v>
      </c>
      <c r="Z101" s="121">
        <f t="shared" si="61"/>
        <v>3.8333333333333339</v>
      </c>
      <c r="AA101" s="121">
        <f t="shared" si="61"/>
        <v>3.8333333333333339</v>
      </c>
      <c r="AB101" s="121">
        <f t="shared" si="61"/>
        <v>3.8333333333333339</v>
      </c>
      <c r="AC101" s="121">
        <f t="shared" si="61"/>
        <v>3.8333333333333339</v>
      </c>
      <c r="AD101" s="121">
        <f t="shared" si="61"/>
        <v>3.8333333333333339</v>
      </c>
      <c r="AE101" s="121">
        <f t="shared" si="61"/>
        <v>3.8333333333333339</v>
      </c>
      <c r="AF101" s="121">
        <f t="shared" si="61"/>
        <v>3.8333333333333339</v>
      </c>
      <c r="AG101" s="121">
        <f>AVERAGE(AG89:AG100)</f>
        <v>3.8333333333333339</v>
      </c>
      <c r="AH101" s="121">
        <f>AVERAGE(AH89:AH100)</f>
        <v>3.8333333333333339</v>
      </c>
      <c r="AI101" s="121">
        <f>AVERAGE(AI89:AI100)</f>
        <v>3.8333333333333339</v>
      </c>
      <c r="AJ101" s="121">
        <f>AVERAGE(AJ89:AJ100)</f>
        <v>3.8333333333333339</v>
      </c>
      <c r="AK101" s="121">
        <f>AVERAGE(AK89:AK100)</f>
        <v>3.8333333333333339</v>
      </c>
    </row>
    <row r="102" spans="1:37" x14ac:dyDescent="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row>
  </sheetData>
  <printOptions verticalCentered="1"/>
  <pageMargins left="0.2" right="0.2" top="0.25" bottom="0.25" header="0" footer="0.1"/>
  <pageSetup scale="53" orientation="landscape" r:id="rId1"/>
  <headerFooter>
    <oddFooter>&amp;L&amp;"Arial,Regular"&amp;10&amp;D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9DB2-9DF0-459E-946C-771352FF9109}">
  <dimension ref="A3:AV99"/>
  <sheetViews>
    <sheetView topLeftCell="A3" workbookViewId="0">
      <pane xSplit="1" ySplit="2" topLeftCell="B5" activePane="bottomRight" state="frozen"/>
      <selection activeCell="B4" sqref="B4"/>
      <selection pane="topRight" activeCell="B4" sqref="B4"/>
      <selection pane="bottomLeft" activeCell="B4" sqref="B4"/>
      <selection pane="bottomRight" activeCell="B4" sqref="B4"/>
    </sheetView>
  </sheetViews>
  <sheetFormatPr defaultColWidth="8" defaultRowHeight="11.25" x14ac:dyDescent="0.2"/>
  <cols>
    <col min="1" max="1" width="18.7109375" style="130" customWidth="1"/>
    <col min="2" max="10" width="9.28515625" style="130" customWidth="1"/>
    <col min="11" max="34" width="10.85546875" style="130" bestFit="1" customWidth="1"/>
    <col min="35" max="16384" width="8" style="130"/>
  </cols>
  <sheetData>
    <row r="3" spans="1:48" s="53" customFormat="1" ht="16.5" customHeight="1" thickBot="1" x14ac:dyDescent="0.25">
      <c r="A3" s="47" t="s">
        <v>122</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8"/>
      <c r="AL3" s="108"/>
      <c r="AM3" s="108"/>
      <c r="AN3" s="108"/>
      <c r="AO3" s="108"/>
      <c r="AP3" s="108"/>
      <c r="AQ3" s="108"/>
      <c r="AR3" s="108"/>
      <c r="AS3" s="108"/>
      <c r="AT3" s="108"/>
      <c r="AU3" s="108"/>
      <c r="AV3" s="80"/>
    </row>
    <row r="4" spans="1:48" ht="12" thickBot="1" x14ac:dyDescent="0.25">
      <c r="A4" s="128" t="s">
        <v>74</v>
      </c>
      <c r="B4" s="129">
        <v>2018</v>
      </c>
      <c r="C4" s="129">
        <v>2019</v>
      </c>
      <c r="D4" s="129">
        <v>2020</v>
      </c>
      <c r="E4" s="129">
        <v>2021</v>
      </c>
      <c r="F4" s="129">
        <v>2022</v>
      </c>
      <c r="G4" s="129">
        <v>2023</v>
      </c>
      <c r="H4" s="129">
        <v>2024</v>
      </c>
      <c r="I4" s="129">
        <v>2025</v>
      </c>
      <c r="J4" s="129">
        <v>2026</v>
      </c>
      <c r="K4" s="129">
        <v>2027</v>
      </c>
      <c r="L4" s="129">
        <v>2028</v>
      </c>
      <c r="M4" s="129">
        <v>2029</v>
      </c>
      <c r="N4" s="129">
        <v>2030</v>
      </c>
      <c r="O4" s="129">
        <v>2031</v>
      </c>
      <c r="P4" s="129">
        <v>2032</v>
      </c>
      <c r="Q4" s="129">
        <v>2033</v>
      </c>
      <c r="R4" s="129">
        <v>2034</v>
      </c>
      <c r="S4" s="129">
        <v>2035</v>
      </c>
      <c r="T4" s="129">
        <v>2036</v>
      </c>
      <c r="U4" s="129">
        <v>2037</v>
      </c>
      <c r="V4" s="129">
        <v>2038</v>
      </c>
      <c r="W4" s="129">
        <v>2039</v>
      </c>
      <c r="X4" s="129">
        <v>2040</v>
      </c>
      <c r="Y4" s="129">
        <v>2041</v>
      </c>
      <c r="Z4" s="129">
        <v>2042</v>
      </c>
      <c r="AA4" s="129">
        <v>2043</v>
      </c>
      <c r="AB4" s="129">
        <v>2044</v>
      </c>
      <c r="AC4" s="129">
        <v>2045</v>
      </c>
      <c r="AD4" s="129">
        <v>2046</v>
      </c>
      <c r="AE4" s="129">
        <v>2047</v>
      </c>
      <c r="AF4" s="129">
        <v>2048</v>
      </c>
      <c r="AG4" s="129">
        <v>2049</v>
      </c>
      <c r="AH4" s="129">
        <v>2050</v>
      </c>
    </row>
    <row r="5" spans="1:48" x14ac:dyDescent="0.2">
      <c r="A5" s="130" t="s">
        <v>75</v>
      </c>
      <c r="B5" s="131">
        <v>0</v>
      </c>
      <c r="C5" s="131">
        <f t="shared" ref="C5:AH5" si="0">B12</f>
        <v>0</v>
      </c>
      <c r="D5" s="131">
        <f t="shared" si="0"/>
        <v>0</v>
      </c>
      <c r="E5" s="131">
        <f t="shared" si="0"/>
        <v>0</v>
      </c>
      <c r="F5" s="131">
        <f t="shared" si="0"/>
        <v>0</v>
      </c>
      <c r="G5" s="131">
        <f t="shared" si="0"/>
        <v>0</v>
      </c>
      <c r="H5" s="131">
        <f t="shared" si="0"/>
        <v>0</v>
      </c>
      <c r="I5" s="132">
        <f t="shared" si="0"/>
        <v>1.5395690196830847E-2</v>
      </c>
      <c r="J5" s="132">
        <f t="shared" si="0"/>
        <v>0.39420157187428323</v>
      </c>
      <c r="K5" s="132">
        <f t="shared" si="0"/>
        <v>2</v>
      </c>
      <c r="L5" s="132">
        <f t="shared" si="0"/>
        <v>3</v>
      </c>
      <c r="M5" s="132">
        <f t="shared" si="0"/>
        <v>3</v>
      </c>
      <c r="N5" s="132">
        <f t="shared" si="0"/>
        <v>5</v>
      </c>
      <c r="O5" s="132">
        <f t="shared" si="0"/>
        <v>7</v>
      </c>
      <c r="P5" s="132">
        <f t="shared" si="0"/>
        <v>9</v>
      </c>
      <c r="Q5" s="132">
        <f t="shared" si="0"/>
        <v>15</v>
      </c>
      <c r="R5" s="132">
        <f t="shared" si="0"/>
        <v>20</v>
      </c>
      <c r="S5" s="132">
        <f t="shared" si="0"/>
        <v>25</v>
      </c>
      <c r="T5" s="132">
        <f t="shared" si="0"/>
        <v>25</v>
      </c>
      <c r="U5" s="132">
        <f t="shared" si="0"/>
        <v>25</v>
      </c>
      <c r="V5" s="132">
        <f t="shared" si="0"/>
        <v>25</v>
      </c>
      <c r="W5" s="132">
        <f t="shared" si="0"/>
        <v>25</v>
      </c>
      <c r="X5" s="132">
        <f t="shared" si="0"/>
        <v>25</v>
      </c>
      <c r="Y5" s="132">
        <f t="shared" si="0"/>
        <v>25</v>
      </c>
      <c r="Z5" s="132">
        <f t="shared" si="0"/>
        <v>25</v>
      </c>
      <c r="AA5" s="132">
        <f t="shared" si="0"/>
        <v>25</v>
      </c>
      <c r="AB5" s="132">
        <f t="shared" si="0"/>
        <v>25</v>
      </c>
      <c r="AC5" s="132">
        <f t="shared" si="0"/>
        <v>25</v>
      </c>
      <c r="AD5" s="132">
        <f t="shared" si="0"/>
        <v>25</v>
      </c>
      <c r="AE5" s="132">
        <f t="shared" si="0"/>
        <v>25</v>
      </c>
      <c r="AF5" s="132">
        <f t="shared" si="0"/>
        <v>25</v>
      </c>
      <c r="AG5" s="132">
        <f t="shared" si="0"/>
        <v>25</v>
      </c>
      <c r="AH5" s="132">
        <f t="shared" si="0"/>
        <v>25</v>
      </c>
    </row>
    <row r="6" spans="1:48" x14ac:dyDescent="0.2">
      <c r="A6" s="130" t="s">
        <v>47</v>
      </c>
      <c r="B6" s="131">
        <f t="shared" ref="B6:F6" si="1">B34/1000</f>
        <v>0</v>
      </c>
      <c r="C6" s="131">
        <f t="shared" si="1"/>
        <v>0</v>
      </c>
      <c r="D6" s="131">
        <f t="shared" si="1"/>
        <v>0</v>
      </c>
      <c r="E6" s="131">
        <f t="shared" si="1"/>
        <v>0</v>
      </c>
      <c r="F6" s="131">
        <f t="shared" si="1"/>
        <v>0</v>
      </c>
      <c r="G6" s="132">
        <f t="shared" ref="G6:N6" si="2">G16*0.5</f>
        <v>0</v>
      </c>
      <c r="H6" s="132">
        <f t="shared" si="2"/>
        <v>6</v>
      </c>
      <c r="I6" s="132">
        <f t="shared" si="2"/>
        <v>83.25</v>
      </c>
      <c r="J6" s="132">
        <f t="shared" si="2"/>
        <v>109.25</v>
      </c>
      <c r="K6" s="132">
        <f t="shared" si="2"/>
        <v>159.25</v>
      </c>
      <c r="L6" s="132">
        <f t="shared" si="2"/>
        <v>259.25</v>
      </c>
      <c r="M6" s="132">
        <f t="shared" si="2"/>
        <v>259.25</v>
      </c>
      <c r="N6" s="132">
        <f t="shared" si="2"/>
        <v>311.75</v>
      </c>
      <c r="O6" s="132">
        <f>O16*0.55</f>
        <v>342.92500000000001</v>
      </c>
      <c r="P6" s="132">
        <f>P16*0.6</f>
        <v>374.09999999999997</v>
      </c>
      <c r="Q6" s="132">
        <f>Q16*0.65</f>
        <v>405.27500000000003</v>
      </c>
      <c r="R6" s="132">
        <f>R16*0.65</f>
        <v>405.27500000000003</v>
      </c>
      <c r="S6" s="132">
        <f>S16*0.65</f>
        <v>405.27500000000003</v>
      </c>
      <c r="T6" s="132">
        <f t="shared" ref="T6:AE6" si="3">T16*0.65</f>
        <v>405.27500000000003</v>
      </c>
      <c r="U6" s="132">
        <f t="shared" si="3"/>
        <v>405.27500000000003</v>
      </c>
      <c r="V6" s="132">
        <f t="shared" si="3"/>
        <v>405.27500000000003</v>
      </c>
      <c r="W6" s="132">
        <f t="shared" si="3"/>
        <v>405.27500000000003</v>
      </c>
      <c r="X6" s="132">
        <f t="shared" si="3"/>
        <v>405.27500000000003</v>
      </c>
      <c r="Y6" s="132">
        <f t="shared" si="3"/>
        <v>405.27500000000003</v>
      </c>
      <c r="Z6" s="132">
        <f t="shared" si="3"/>
        <v>405.27500000000003</v>
      </c>
      <c r="AA6" s="132">
        <f t="shared" si="3"/>
        <v>405.27500000000003</v>
      </c>
      <c r="AB6" s="132">
        <f t="shared" si="3"/>
        <v>405.27500000000003</v>
      </c>
      <c r="AC6" s="132">
        <f t="shared" si="3"/>
        <v>405.27500000000003</v>
      </c>
      <c r="AD6" s="132">
        <f t="shared" si="3"/>
        <v>405.27500000000003</v>
      </c>
      <c r="AE6" s="132">
        <f t="shared" si="3"/>
        <v>405.27500000000003</v>
      </c>
      <c r="AF6" s="132">
        <f>AF16*0.65</f>
        <v>405.27500000000003</v>
      </c>
      <c r="AG6" s="132">
        <f>AG16*0.65</f>
        <v>405.27500000000003</v>
      </c>
      <c r="AH6" s="132">
        <f>AH16*0.65</f>
        <v>405.27500000000003</v>
      </c>
    </row>
    <row r="7" spans="1:48" x14ac:dyDescent="0.2">
      <c r="A7" s="130" t="s">
        <v>49</v>
      </c>
      <c r="B7" s="131">
        <f t="shared" ref="B7:AH7" si="4">B82/1000</f>
        <v>0</v>
      </c>
      <c r="C7" s="131">
        <f t="shared" si="4"/>
        <v>0</v>
      </c>
      <c r="D7" s="131">
        <f t="shared" si="4"/>
        <v>0</v>
      </c>
      <c r="E7" s="131">
        <f t="shared" si="4"/>
        <v>0</v>
      </c>
      <c r="F7" s="131">
        <f t="shared" si="4"/>
        <v>0</v>
      </c>
      <c r="G7" s="131">
        <f t="shared" si="4"/>
        <v>0</v>
      </c>
      <c r="H7" s="132">
        <f t="shared" si="4"/>
        <v>0</v>
      </c>
      <c r="I7" s="132">
        <f t="shared" si="4"/>
        <v>0</v>
      </c>
      <c r="J7" s="132">
        <f t="shared" si="4"/>
        <v>0</v>
      </c>
      <c r="K7" s="132">
        <f t="shared" si="4"/>
        <v>0</v>
      </c>
      <c r="L7" s="132">
        <f t="shared" si="4"/>
        <v>0</v>
      </c>
      <c r="M7" s="132">
        <f t="shared" si="4"/>
        <v>0</v>
      </c>
      <c r="N7" s="132">
        <f t="shared" si="4"/>
        <v>0</v>
      </c>
      <c r="O7" s="132">
        <f t="shared" si="4"/>
        <v>0</v>
      </c>
      <c r="P7" s="132">
        <f t="shared" si="4"/>
        <v>0</v>
      </c>
      <c r="Q7" s="132">
        <f t="shared" si="4"/>
        <v>0</v>
      </c>
      <c r="R7" s="132">
        <f t="shared" si="4"/>
        <v>0</v>
      </c>
      <c r="S7" s="132">
        <f t="shared" si="4"/>
        <v>0</v>
      </c>
      <c r="T7" s="132">
        <f t="shared" si="4"/>
        <v>0</v>
      </c>
      <c r="U7" s="132">
        <f t="shared" si="4"/>
        <v>0</v>
      </c>
      <c r="V7" s="132">
        <f t="shared" si="4"/>
        <v>0</v>
      </c>
      <c r="W7" s="132">
        <f t="shared" si="4"/>
        <v>0</v>
      </c>
      <c r="X7" s="132">
        <f t="shared" si="4"/>
        <v>0</v>
      </c>
      <c r="Y7" s="132">
        <f t="shared" si="4"/>
        <v>0</v>
      </c>
      <c r="Z7" s="132">
        <f t="shared" si="4"/>
        <v>0</v>
      </c>
      <c r="AA7" s="132">
        <f t="shared" si="4"/>
        <v>0</v>
      </c>
      <c r="AB7" s="132">
        <f t="shared" si="4"/>
        <v>0</v>
      </c>
      <c r="AC7" s="132">
        <f t="shared" si="4"/>
        <v>0</v>
      </c>
      <c r="AD7" s="132">
        <f t="shared" si="4"/>
        <v>0</v>
      </c>
      <c r="AE7" s="132">
        <f t="shared" si="4"/>
        <v>0</v>
      </c>
      <c r="AF7" s="132">
        <f t="shared" si="4"/>
        <v>0</v>
      </c>
      <c r="AG7" s="132">
        <f t="shared" si="4"/>
        <v>0</v>
      </c>
      <c r="AH7" s="132">
        <f t="shared" si="4"/>
        <v>0</v>
      </c>
    </row>
    <row r="8" spans="1:48" x14ac:dyDescent="0.2">
      <c r="A8" s="130" t="s">
        <v>123</v>
      </c>
      <c r="B8" s="131">
        <f t="shared" ref="B8:R8" si="5">SUM(B5:B7)</f>
        <v>0</v>
      </c>
      <c r="C8" s="131">
        <f t="shared" si="5"/>
        <v>0</v>
      </c>
      <c r="D8" s="131">
        <f t="shared" si="5"/>
        <v>0</v>
      </c>
      <c r="E8" s="131">
        <f t="shared" si="5"/>
        <v>0</v>
      </c>
      <c r="F8" s="131">
        <f t="shared" si="5"/>
        <v>0</v>
      </c>
      <c r="G8" s="131">
        <f t="shared" si="5"/>
        <v>0</v>
      </c>
      <c r="H8" s="132">
        <f t="shared" si="5"/>
        <v>6</v>
      </c>
      <c r="I8" s="132">
        <f t="shared" si="5"/>
        <v>83.265395690196826</v>
      </c>
      <c r="J8" s="132">
        <f t="shared" si="5"/>
        <v>109.64420157187428</v>
      </c>
      <c r="K8" s="132">
        <f t="shared" si="5"/>
        <v>161.25</v>
      </c>
      <c r="L8" s="132">
        <f t="shared" si="5"/>
        <v>262.25</v>
      </c>
      <c r="M8" s="132">
        <f t="shared" si="5"/>
        <v>262.25</v>
      </c>
      <c r="N8" s="132">
        <f t="shared" si="5"/>
        <v>316.75</v>
      </c>
      <c r="O8" s="132">
        <f t="shared" si="5"/>
        <v>349.92500000000001</v>
      </c>
      <c r="P8" s="132">
        <f t="shared" si="5"/>
        <v>383.09999999999997</v>
      </c>
      <c r="Q8" s="132">
        <f t="shared" si="5"/>
        <v>420.27500000000003</v>
      </c>
      <c r="R8" s="132">
        <f t="shared" si="5"/>
        <v>425.27500000000003</v>
      </c>
      <c r="S8" s="132">
        <f t="shared" ref="S8:AE8" si="6">SUM(S5:S7)</f>
        <v>430.27500000000003</v>
      </c>
      <c r="T8" s="132">
        <f t="shared" si="6"/>
        <v>430.27500000000003</v>
      </c>
      <c r="U8" s="132">
        <f t="shared" si="6"/>
        <v>430.27500000000003</v>
      </c>
      <c r="V8" s="132">
        <f t="shared" si="6"/>
        <v>430.27500000000003</v>
      </c>
      <c r="W8" s="132">
        <f t="shared" si="6"/>
        <v>430.27500000000003</v>
      </c>
      <c r="X8" s="132">
        <f t="shared" si="6"/>
        <v>430.27500000000003</v>
      </c>
      <c r="Y8" s="132">
        <f t="shared" si="6"/>
        <v>430.27500000000003</v>
      </c>
      <c r="Z8" s="132">
        <f t="shared" si="6"/>
        <v>430.27500000000003</v>
      </c>
      <c r="AA8" s="132">
        <f t="shared" si="6"/>
        <v>430.27500000000003</v>
      </c>
      <c r="AB8" s="132">
        <f t="shared" si="6"/>
        <v>430.27500000000003</v>
      </c>
      <c r="AC8" s="132">
        <f t="shared" si="6"/>
        <v>430.27500000000003</v>
      </c>
      <c r="AD8" s="132">
        <f t="shared" si="6"/>
        <v>430.27500000000003</v>
      </c>
      <c r="AE8" s="132">
        <f t="shared" si="6"/>
        <v>430.27500000000003</v>
      </c>
      <c r="AF8" s="132">
        <f>SUM(AF5:AF7)</f>
        <v>430.27500000000003</v>
      </c>
      <c r="AG8" s="132">
        <f>SUM(AG5:AG7)</f>
        <v>430.27500000000003</v>
      </c>
      <c r="AH8" s="132">
        <f>SUM(AH5:AH7)</f>
        <v>430.27500000000003</v>
      </c>
    </row>
    <row r="9" spans="1:48" x14ac:dyDescent="0.2">
      <c r="A9" s="130" t="s">
        <v>124</v>
      </c>
      <c r="B9" s="131">
        <f t="shared" ref="B9:AE9" si="7">B11-B10</f>
        <v>0</v>
      </c>
      <c r="C9" s="131">
        <f t="shared" si="7"/>
        <v>0</v>
      </c>
      <c r="D9" s="131">
        <f t="shared" si="7"/>
        <v>0</v>
      </c>
      <c r="E9" s="131">
        <f t="shared" si="7"/>
        <v>0</v>
      </c>
      <c r="F9" s="131">
        <f t="shared" si="7"/>
        <v>0</v>
      </c>
      <c r="G9" s="131">
        <f t="shared" si="7"/>
        <v>0</v>
      </c>
      <c r="H9" s="132">
        <f t="shared" si="7"/>
        <v>5.9846043098031689</v>
      </c>
      <c r="I9" s="132">
        <f t="shared" si="7"/>
        <v>82.871194118322549</v>
      </c>
      <c r="J9" s="132">
        <f t="shared" si="7"/>
        <v>107.64420157187428</v>
      </c>
      <c r="K9" s="132">
        <f t="shared" si="7"/>
        <v>158.25</v>
      </c>
      <c r="L9" s="132">
        <f t="shared" si="7"/>
        <v>259.25</v>
      </c>
      <c r="M9" s="132">
        <f t="shared" si="7"/>
        <v>257.25</v>
      </c>
      <c r="N9" s="132">
        <f t="shared" si="7"/>
        <v>309.75</v>
      </c>
      <c r="O9" s="132">
        <f t="shared" si="7"/>
        <v>340.92500000000001</v>
      </c>
      <c r="P9" s="132">
        <f t="shared" si="7"/>
        <v>368.09999999999997</v>
      </c>
      <c r="Q9" s="132">
        <f t="shared" si="7"/>
        <v>400.27500000000003</v>
      </c>
      <c r="R9" s="132">
        <f t="shared" si="7"/>
        <v>400.27500000000003</v>
      </c>
      <c r="S9" s="132">
        <f t="shared" si="7"/>
        <v>405.27500000000003</v>
      </c>
      <c r="T9" s="132">
        <f t="shared" si="7"/>
        <v>405.27500000000003</v>
      </c>
      <c r="U9" s="132">
        <f t="shared" si="7"/>
        <v>405.27500000000003</v>
      </c>
      <c r="V9" s="132">
        <f t="shared" si="7"/>
        <v>405.27500000000003</v>
      </c>
      <c r="W9" s="132">
        <f t="shared" si="7"/>
        <v>405.27500000000003</v>
      </c>
      <c r="X9" s="132">
        <f t="shared" si="7"/>
        <v>405.27500000000003</v>
      </c>
      <c r="Y9" s="132">
        <f t="shared" si="7"/>
        <v>405.27500000000003</v>
      </c>
      <c r="Z9" s="132">
        <f t="shared" si="7"/>
        <v>405.27500000000003</v>
      </c>
      <c r="AA9" s="132">
        <f t="shared" si="7"/>
        <v>405.27500000000003</v>
      </c>
      <c r="AB9" s="132">
        <f t="shared" si="7"/>
        <v>405.27500000000003</v>
      </c>
      <c r="AC9" s="132">
        <f t="shared" si="7"/>
        <v>405.27500000000003</v>
      </c>
      <c r="AD9" s="132">
        <f t="shared" si="7"/>
        <v>405.27500000000003</v>
      </c>
      <c r="AE9" s="132">
        <f t="shared" si="7"/>
        <v>405.27500000000003</v>
      </c>
      <c r="AF9" s="132">
        <f>AF11-AF10</f>
        <v>405.27500000000003</v>
      </c>
      <c r="AG9" s="132">
        <f>AG11-AG10</f>
        <v>405.27500000000003</v>
      </c>
      <c r="AH9" s="132">
        <f>AH11-AH10</f>
        <v>405.27500000000003</v>
      </c>
      <c r="AL9" s="130" t="s">
        <v>125</v>
      </c>
    </row>
    <row r="10" spans="1:48" x14ac:dyDescent="0.2">
      <c r="A10" s="130" t="s">
        <v>48</v>
      </c>
      <c r="B10" s="131">
        <f t="shared" ref="B10:G10" si="8">B66/1000</f>
        <v>0</v>
      </c>
      <c r="C10" s="131">
        <f t="shared" si="8"/>
        <v>0</v>
      </c>
      <c r="D10" s="131">
        <f t="shared" si="8"/>
        <v>0</v>
      </c>
      <c r="E10" s="131">
        <f t="shared" si="8"/>
        <v>0</v>
      </c>
      <c r="F10" s="131">
        <f t="shared" si="8"/>
        <v>0</v>
      </c>
      <c r="G10" s="131">
        <f t="shared" si="8"/>
        <v>0</v>
      </c>
      <c r="H10" s="132">
        <v>0</v>
      </c>
      <c r="I10" s="132">
        <v>0</v>
      </c>
      <c r="J10" s="132">
        <v>0</v>
      </c>
      <c r="K10" s="132">
        <v>0</v>
      </c>
      <c r="L10" s="132">
        <v>0</v>
      </c>
      <c r="M10" s="132">
        <v>0</v>
      </c>
      <c r="N10" s="132">
        <v>0</v>
      </c>
      <c r="O10" s="132">
        <v>0</v>
      </c>
      <c r="P10" s="132">
        <v>0</v>
      </c>
      <c r="Q10" s="132">
        <v>0</v>
      </c>
      <c r="R10" s="132">
        <v>0</v>
      </c>
      <c r="S10" s="132">
        <v>0</v>
      </c>
      <c r="T10" s="132">
        <v>0</v>
      </c>
      <c r="U10" s="132">
        <v>0</v>
      </c>
      <c r="V10" s="132">
        <v>0</v>
      </c>
      <c r="W10" s="132">
        <v>0</v>
      </c>
      <c r="X10" s="132">
        <v>0</v>
      </c>
      <c r="Y10" s="132">
        <v>0</v>
      </c>
      <c r="Z10" s="132">
        <v>0</v>
      </c>
      <c r="AA10" s="132">
        <v>0</v>
      </c>
      <c r="AB10" s="132">
        <v>0</v>
      </c>
      <c r="AC10" s="132">
        <v>0</v>
      </c>
      <c r="AD10" s="132">
        <v>0</v>
      </c>
      <c r="AE10" s="132">
        <v>0</v>
      </c>
      <c r="AF10" s="132">
        <v>0</v>
      </c>
      <c r="AG10" s="132">
        <v>0</v>
      </c>
      <c r="AH10" s="132">
        <v>0</v>
      </c>
    </row>
    <row r="11" spans="1:48" x14ac:dyDescent="0.2">
      <c r="A11" s="130" t="s">
        <v>126</v>
      </c>
      <c r="B11" s="131">
        <f t="shared" ref="B11:AE11" si="9">B8-B12</f>
        <v>0</v>
      </c>
      <c r="C11" s="131">
        <f t="shared" si="9"/>
        <v>0</v>
      </c>
      <c r="D11" s="131">
        <f t="shared" si="9"/>
        <v>0</v>
      </c>
      <c r="E11" s="131">
        <f t="shared" si="9"/>
        <v>0</v>
      </c>
      <c r="F11" s="131">
        <f t="shared" si="9"/>
        <v>0</v>
      </c>
      <c r="G11" s="131">
        <f t="shared" si="9"/>
        <v>0</v>
      </c>
      <c r="H11" s="132">
        <f t="shared" si="9"/>
        <v>5.9846043098031689</v>
      </c>
      <c r="I11" s="132">
        <f t="shared" si="9"/>
        <v>82.871194118322549</v>
      </c>
      <c r="J11" s="132">
        <f t="shared" si="9"/>
        <v>107.64420157187428</v>
      </c>
      <c r="K11" s="132">
        <f t="shared" si="9"/>
        <v>158.25</v>
      </c>
      <c r="L11" s="132">
        <f t="shared" si="9"/>
        <v>259.25</v>
      </c>
      <c r="M11" s="132">
        <f t="shared" si="9"/>
        <v>257.25</v>
      </c>
      <c r="N11" s="132">
        <f t="shared" si="9"/>
        <v>309.75</v>
      </c>
      <c r="O11" s="132">
        <f t="shared" si="9"/>
        <v>340.92500000000001</v>
      </c>
      <c r="P11" s="132">
        <f t="shared" si="9"/>
        <v>368.09999999999997</v>
      </c>
      <c r="Q11" s="132">
        <f t="shared" si="9"/>
        <v>400.27500000000003</v>
      </c>
      <c r="R11" s="132">
        <f t="shared" si="9"/>
        <v>400.27500000000003</v>
      </c>
      <c r="S11" s="132">
        <f t="shared" si="9"/>
        <v>405.27500000000003</v>
      </c>
      <c r="T11" s="132">
        <f t="shared" si="9"/>
        <v>405.27500000000003</v>
      </c>
      <c r="U11" s="132">
        <f t="shared" si="9"/>
        <v>405.27500000000003</v>
      </c>
      <c r="V11" s="132">
        <f t="shared" si="9"/>
        <v>405.27500000000003</v>
      </c>
      <c r="W11" s="132">
        <f t="shared" si="9"/>
        <v>405.27500000000003</v>
      </c>
      <c r="X11" s="132">
        <f t="shared" si="9"/>
        <v>405.27500000000003</v>
      </c>
      <c r="Y11" s="132">
        <f t="shared" si="9"/>
        <v>405.27500000000003</v>
      </c>
      <c r="Z11" s="132">
        <f t="shared" si="9"/>
        <v>405.27500000000003</v>
      </c>
      <c r="AA11" s="132">
        <f t="shared" si="9"/>
        <v>405.27500000000003</v>
      </c>
      <c r="AB11" s="132">
        <f t="shared" si="9"/>
        <v>405.27500000000003</v>
      </c>
      <c r="AC11" s="132">
        <f t="shared" si="9"/>
        <v>405.27500000000003</v>
      </c>
      <c r="AD11" s="132">
        <f t="shared" si="9"/>
        <v>405.27500000000003</v>
      </c>
      <c r="AE11" s="132">
        <f t="shared" si="9"/>
        <v>405.27500000000003</v>
      </c>
      <c r="AF11" s="132">
        <f>AF8-AF12</f>
        <v>405.27500000000003</v>
      </c>
      <c r="AG11" s="132">
        <f>AG8-AG12</f>
        <v>405.27500000000003</v>
      </c>
      <c r="AH11" s="132">
        <f>AH8-AH12</f>
        <v>405.27500000000003</v>
      </c>
    </row>
    <row r="12" spans="1:48" x14ac:dyDescent="0.2">
      <c r="A12" s="130" t="s">
        <v>127</v>
      </c>
      <c r="B12" s="131">
        <v>0</v>
      </c>
      <c r="C12" s="131">
        <v>0</v>
      </c>
      <c r="D12" s="131">
        <v>0</v>
      </c>
      <c r="E12" s="131">
        <v>0</v>
      </c>
      <c r="F12" s="131">
        <v>0</v>
      </c>
      <c r="G12" s="131">
        <v>0</v>
      </c>
      <c r="H12" s="133">
        <v>1.5395690196830847E-2</v>
      </c>
      <c r="I12" s="133">
        <v>0.39420157187428323</v>
      </c>
      <c r="J12" s="133">
        <v>2</v>
      </c>
      <c r="K12" s="133">
        <v>3</v>
      </c>
      <c r="L12" s="133">
        <v>3</v>
      </c>
      <c r="M12" s="133">
        <v>5</v>
      </c>
      <c r="N12" s="133">
        <v>7</v>
      </c>
      <c r="O12" s="133">
        <v>9</v>
      </c>
      <c r="P12" s="133">
        <v>15</v>
      </c>
      <c r="Q12" s="133">
        <v>20</v>
      </c>
      <c r="R12" s="133">
        <v>25</v>
      </c>
      <c r="S12" s="133">
        <v>25</v>
      </c>
      <c r="T12" s="133">
        <v>25</v>
      </c>
      <c r="U12" s="133">
        <v>25</v>
      </c>
      <c r="V12" s="133">
        <v>25</v>
      </c>
      <c r="W12" s="133">
        <v>25</v>
      </c>
      <c r="X12" s="133">
        <v>25</v>
      </c>
      <c r="Y12" s="133">
        <v>25</v>
      </c>
      <c r="Z12" s="133">
        <v>25</v>
      </c>
      <c r="AA12" s="133">
        <v>25</v>
      </c>
      <c r="AB12" s="133">
        <v>25</v>
      </c>
      <c r="AC12" s="133">
        <v>25</v>
      </c>
      <c r="AD12" s="133">
        <v>25</v>
      </c>
      <c r="AE12" s="133">
        <v>25</v>
      </c>
      <c r="AF12" s="133">
        <v>25</v>
      </c>
      <c r="AG12" s="133">
        <v>25</v>
      </c>
      <c r="AH12" s="133">
        <v>25</v>
      </c>
    </row>
    <row r="13" spans="1:48" x14ac:dyDescent="0.2">
      <c r="B13" s="134"/>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row>
    <row r="14" spans="1:48" x14ac:dyDescent="0.2">
      <c r="A14" s="130" t="s">
        <v>128</v>
      </c>
      <c r="B14" s="135" t="e">
        <f t="shared" ref="B14:R14" si="10">B12/(C11/365)</f>
        <v>#DIV/0!</v>
      </c>
      <c r="C14" s="135" t="e">
        <f t="shared" si="10"/>
        <v>#DIV/0!</v>
      </c>
      <c r="D14" s="135" t="e">
        <f t="shared" si="10"/>
        <v>#DIV/0!</v>
      </c>
      <c r="E14" s="135" t="e">
        <f t="shared" si="10"/>
        <v>#DIV/0!</v>
      </c>
      <c r="F14" s="135" t="e">
        <f t="shared" si="10"/>
        <v>#DIV/0!</v>
      </c>
      <c r="G14" s="135">
        <f t="shared" si="10"/>
        <v>0</v>
      </c>
      <c r="H14" s="135">
        <f t="shared" si="10"/>
        <v>6.7809170383377193E-2</v>
      </c>
      <c r="I14" s="135">
        <f t="shared" si="10"/>
        <v>1.3366588411921285</v>
      </c>
      <c r="J14" s="135">
        <f t="shared" si="10"/>
        <v>4.6129541864139014</v>
      </c>
      <c r="K14" s="135">
        <f t="shared" si="10"/>
        <v>4.2237222757955646</v>
      </c>
      <c r="L14" s="135">
        <f t="shared" si="10"/>
        <v>4.2565597667638482</v>
      </c>
      <c r="M14" s="135">
        <f t="shared" si="10"/>
        <v>5.89184826472962</v>
      </c>
      <c r="N14" s="135">
        <f t="shared" si="10"/>
        <v>7.4943169318765124</v>
      </c>
      <c r="O14" s="135">
        <f t="shared" si="10"/>
        <v>8.924205378973106</v>
      </c>
      <c r="P14" s="135">
        <f t="shared" si="10"/>
        <v>13.678096308787707</v>
      </c>
      <c r="Q14" s="135">
        <f t="shared" si="10"/>
        <v>18.237461745050275</v>
      </c>
      <c r="R14" s="135">
        <f t="shared" si="10"/>
        <v>22.515575843563013</v>
      </c>
      <c r="S14" s="135">
        <f>S12/(AH11/365)</f>
        <v>22.515575843563013</v>
      </c>
      <c r="T14" s="135" t="e">
        <f>T12/(#REF!/365)</f>
        <v>#REF!</v>
      </c>
      <c r="U14" s="135" t="e">
        <f t="shared" ref="U14:AH14" si="11">U12/(AI11/365)</f>
        <v>#DIV/0!</v>
      </c>
      <c r="V14" s="135" t="e">
        <f t="shared" si="11"/>
        <v>#DIV/0!</v>
      </c>
      <c r="W14" s="135" t="e">
        <f t="shared" si="11"/>
        <v>#DIV/0!</v>
      </c>
      <c r="X14" s="135" t="e">
        <f t="shared" si="11"/>
        <v>#DIV/0!</v>
      </c>
      <c r="Y14" s="135" t="e">
        <f t="shared" si="11"/>
        <v>#DIV/0!</v>
      </c>
      <c r="Z14" s="135" t="e">
        <f t="shared" si="11"/>
        <v>#DIV/0!</v>
      </c>
      <c r="AA14" s="135" t="e">
        <f t="shared" si="11"/>
        <v>#DIV/0!</v>
      </c>
      <c r="AB14" s="135" t="e">
        <f t="shared" si="11"/>
        <v>#DIV/0!</v>
      </c>
      <c r="AC14" s="135" t="e">
        <f t="shared" si="11"/>
        <v>#DIV/0!</v>
      </c>
      <c r="AD14" s="135" t="e">
        <f t="shared" si="11"/>
        <v>#DIV/0!</v>
      </c>
      <c r="AE14" s="135" t="e">
        <f t="shared" si="11"/>
        <v>#DIV/0!</v>
      </c>
      <c r="AF14" s="135" t="e">
        <f t="shared" si="11"/>
        <v>#DIV/0!</v>
      </c>
      <c r="AG14" s="135" t="e">
        <f t="shared" si="11"/>
        <v>#DIV/0!</v>
      </c>
      <c r="AH14" s="135" t="e">
        <f t="shared" si="11"/>
        <v>#DIV/0!</v>
      </c>
    </row>
    <row r="15" spans="1:48" ht="12" thickBot="1" x14ac:dyDescent="0.25">
      <c r="A15" s="130" t="s">
        <v>129</v>
      </c>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row>
    <row r="16" spans="1:48" ht="12" thickTop="1" x14ac:dyDescent="0.2">
      <c r="A16" s="136" t="s">
        <v>130</v>
      </c>
      <c r="B16" s="136">
        <v>0</v>
      </c>
      <c r="C16" s="136">
        <v>0</v>
      </c>
      <c r="D16" s="136">
        <v>0</v>
      </c>
      <c r="E16" s="136">
        <v>0</v>
      </c>
      <c r="F16" s="136">
        <v>0</v>
      </c>
      <c r="G16" s="136">
        <v>0</v>
      </c>
      <c r="H16" s="136">
        <v>12</v>
      </c>
      <c r="I16" s="137">
        <f>34+22.5+(275*0.4)</f>
        <v>166.5</v>
      </c>
      <c r="J16" s="137">
        <f>150+46+22.5</f>
        <v>218.5</v>
      </c>
      <c r="K16" s="137">
        <f>150+46+22.5+100</f>
        <v>318.5</v>
      </c>
      <c r="L16" s="137">
        <f>150+46+22.5+300</f>
        <v>518.5</v>
      </c>
      <c r="M16" s="137">
        <f>150+46+22.5+300</f>
        <v>518.5</v>
      </c>
      <c r="N16" s="137">
        <f t="shared" ref="N16:AH16" si="12">150+46+22.5+300+100+5</f>
        <v>623.5</v>
      </c>
      <c r="O16" s="137">
        <f t="shared" si="12"/>
        <v>623.5</v>
      </c>
      <c r="P16" s="137">
        <f t="shared" si="12"/>
        <v>623.5</v>
      </c>
      <c r="Q16" s="137">
        <f t="shared" si="12"/>
        <v>623.5</v>
      </c>
      <c r="R16" s="137">
        <f t="shared" si="12"/>
        <v>623.5</v>
      </c>
      <c r="S16" s="137">
        <f t="shared" si="12"/>
        <v>623.5</v>
      </c>
      <c r="T16" s="137">
        <f t="shared" si="12"/>
        <v>623.5</v>
      </c>
      <c r="U16" s="137">
        <f t="shared" si="12"/>
        <v>623.5</v>
      </c>
      <c r="V16" s="137">
        <f t="shared" si="12"/>
        <v>623.5</v>
      </c>
      <c r="W16" s="137">
        <f t="shared" si="12"/>
        <v>623.5</v>
      </c>
      <c r="X16" s="137">
        <f t="shared" si="12"/>
        <v>623.5</v>
      </c>
      <c r="Y16" s="137">
        <f t="shared" si="12"/>
        <v>623.5</v>
      </c>
      <c r="Z16" s="137">
        <f t="shared" si="12"/>
        <v>623.5</v>
      </c>
      <c r="AA16" s="137">
        <f t="shared" si="12"/>
        <v>623.5</v>
      </c>
      <c r="AB16" s="137">
        <f t="shared" si="12"/>
        <v>623.5</v>
      </c>
      <c r="AC16" s="137">
        <f t="shared" si="12"/>
        <v>623.5</v>
      </c>
      <c r="AD16" s="137">
        <f t="shared" si="12"/>
        <v>623.5</v>
      </c>
      <c r="AE16" s="137">
        <f t="shared" si="12"/>
        <v>623.5</v>
      </c>
      <c r="AF16" s="137">
        <f t="shared" si="12"/>
        <v>623.5</v>
      </c>
      <c r="AG16" s="137">
        <f t="shared" si="12"/>
        <v>623.5</v>
      </c>
      <c r="AH16" s="137">
        <f t="shared" si="12"/>
        <v>623.5</v>
      </c>
    </row>
    <row r="17" spans="1:34" x14ac:dyDescent="0.2">
      <c r="A17" s="130" t="s">
        <v>131</v>
      </c>
      <c r="B17" s="138">
        <f>B9/'Jet Fuel'!B9</f>
        <v>0</v>
      </c>
      <c r="C17" s="138">
        <f>C9/'Jet Fuel'!C9</f>
        <v>0</v>
      </c>
      <c r="D17" s="138">
        <f>D9/'Jet Fuel'!D9</f>
        <v>0</v>
      </c>
      <c r="E17" s="138">
        <f>E9/'Jet Fuel'!E9</f>
        <v>0</v>
      </c>
      <c r="F17" s="138">
        <f>F9/'Jet Fuel'!F9</f>
        <v>0</v>
      </c>
      <c r="G17" s="138">
        <f>G9/'Jet Fuel'!G9</f>
        <v>0</v>
      </c>
      <c r="H17" s="138">
        <f>H9/'Jet Fuel'!H9</f>
        <v>2.5866024387317999E-3</v>
      </c>
      <c r="I17" s="138">
        <f>I9/'Jet Fuel'!I9</f>
        <v>3.4878448702997708E-2</v>
      </c>
      <c r="J17" s="138">
        <f>J9/'Jet Fuel'!J9</f>
        <v>4.342943660609791E-2</v>
      </c>
      <c r="K17" s="138">
        <f>K9/'Jet Fuel'!K9</f>
        <v>6.382206448750781E-2</v>
      </c>
      <c r="L17" s="138">
        <f>L9/'Jet Fuel'!L9</f>
        <v>0.10474747474747474</v>
      </c>
      <c r="M17" s="138">
        <f>M9/'Jet Fuel'!M9</f>
        <v>0.1031062124248497</v>
      </c>
      <c r="N17" s="138">
        <f>N9/'Jet Fuel'!N9</f>
        <v>0.1231610337972167</v>
      </c>
      <c r="O17" s="138">
        <f>O9/'Jet Fuel'!O9</f>
        <v>0.13475296442687748</v>
      </c>
      <c r="P17" s="138">
        <f>P9/'Jet Fuel'!P9</f>
        <v>0.14435294117647057</v>
      </c>
      <c r="Q17" s="138">
        <f>Q9/'Jet Fuel'!Q9</f>
        <v>0.15574902723735409</v>
      </c>
      <c r="R17" s="138">
        <f>R9/'Jet Fuel'!R9</f>
        <v>0.15484526112185687</v>
      </c>
      <c r="S17" s="138">
        <f>S9/'Jet Fuel'!S9</f>
        <v>0.15557581573896354</v>
      </c>
      <c r="T17" s="138">
        <f>T9/'Jet Fuel'!T9</f>
        <v>0.15439047619047622</v>
      </c>
      <c r="U17" s="138">
        <f>U9/'Jet Fuel'!U9</f>
        <v>0.15322306238185257</v>
      </c>
      <c r="V17" s="138">
        <f>V9/'Jet Fuel'!V9</f>
        <v>0.15207317073170734</v>
      </c>
      <c r="W17" s="138">
        <f>W9/'Jet Fuel'!W9</f>
        <v>0.15094040968342645</v>
      </c>
      <c r="X17" s="138">
        <f>X9/'Jet Fuel'!X9</f>
        <v>0.14982439926062849</v>
      </c>
      <c r="Y17" s="138">
        <f>Y9/'Jet Fuel'!Y9</f>
        <v>0.14872477064220185</v>
      </c>
      <c r="Z17" s="138">
        <f>Z9/'Jet Fuel'!Z9</f>
        <v>0.14764116575591987</v>
      </c>
      <c r="AA17" s="138">
        <f>AA9/'Jet Fuel'!AA9</f>
        <v>0.14657323688969259</v>
      </c>
      <c r="AB17" s="138">
        <f>AB9/'Jet Fuel'!AB9</f>
        <v>0.14552064631956912</v>
      </c>
      <c r="AC17" s="138">
        <f>AC9/'Jet Fuel'!AC9</f>
        <v>0.14448306595365421</v>
      </c>
      <c r="AD17" s="138">
        <f>AD9/'Jet Fuel'!AD9</f>
        <v>0.14346017699115046</v>
      </c>
      <c r="AE17" s="138">
        <f>AE9/'Jet Fuel'!AE9</f>
        <v>0.14220175438596491</v>
      </c>
      <c r="AF17" s="138">
        <f>AF9/'Jet Fuel'!AF9</f>
        <v>0.14121080139372824</v>
      </c>
      <c r="AG17" s="138">
        <f>AG9/'Jet Fuel'!AG9</f>
        <v>0.14023356401384085</v>
      </c>
      <c r="AH17" s="138">
        <f>AH9/'Jet Fuel'!AH9</f>
        <v>0.13903087478559178</v>
      </c>
    </row>
    <row r="18" spans="1:34" x14ac:dyDescent="0.2">
      <c r="A18" s="130" t="s">
        <v>132</v>
      </c>
      <c r="B18" s="138">
        <v>0</v>
      </c>
      <c r="C18" s="138">
        <v>0</v>
      </c>
      <c r="D18" s="138">
        <v>0</v>
      </c>
      <c r="E18" s="138">
        <v>0</v>
      </c>
      <c r="F18" s="138">
        <v>0</v>
      </c>
      <c r="G18" s="138">
        <v>0</v>
      </c>
      <c r="H18" s="138">
        <v>0</v>
      </c>
      <c r="I18" s="138">
        <v>0</v>
      </c>
      <c r="J18" s="138">
        <v>0.02</v>
      </c>
      <c r="K18" s="138">
        <v>0.04</v>
      </c>
      <c r="L18" s="138">
        <v>0.06</v>
      </c>
      <c r="M18" s="138">
        <v>0.08</v>
      </c>
      <c r="N18" s="138">
        <v>0.1</v>
      </c>
      <c r="O18" s="138">
        <v>0.1</v>
      </c>
      <c r="P18" s="138">
        <v>0.1</v>
      </c>
      <c r="Q18" s="138">
        <v>0.1</v>
      </c>
      <c r="R18" s="138">
        <v>0.1</v>
      </c>
      <c r="S18" s="138">
        <v>0.1</v>
      </c>
      <c r="T18" s="138">
        <v>1.1000000000000001</v>
      </c>
      <c r="U18" s="138">
        <v>2.1</v>
      </c>
      <c r="V18" s="138">
        <v>3.1</v>
      </c>
      <c r="W18" s="138">
        <v>4.0999999999999996</v>
      </c>
      <c r="X18" s="138">
        <v>5.0999999999999996</v>
      </c>
      <c r="Y18" s="138">
        <v>6.1</v>
      </c>
      <c r="Z18" s="138">
        <v>7.1</v>
      </c>
      <c r="AA18" s="138">
        <v>8.1</v>
      </c>
      <c r="AB18" s="138">
        <v>9.1</v>
      </c>
      <c r="AC18" s="138">
        <v>10.1</v>
      </c>
      <c r="AD18" s="138">
        <v>11.1</v>
      </c>
      <c r="AE18" s="138">
        <v>12.1</v>
      </c>
      <c r="AF18" s="138">
        <v>13.1</v>
      </c>
      <c r="AG18" s="138">
        <v>14.1</v>
      </c>
      <c r="AH18" s="138">
        <v>15.1</v>
      </c>
    </row>
    <row r="19" spans="1:34" x14ac:dyDescent="0.2">
      <c r="A19" s="130" t="s">
        <v>115</v>
      </c>
      <c r="B19" s="138"/>
      <c r="C19" s="138"/>
      <c r="D19" s="138"/>
      <c r="E19" s="138"/>
      <c r="F19" s="138"/>
      <c r="G19" s="138"/>
      <c r="H19" s="139">
        <f>H6/H16</f>
        <v>0.5</v>
      </c>
      <c r="I19" s="139">
        <f t="shared" ref="I19:AE19" si="13">I6/I16</f>
        <v>0.5</v>
      </c>
      <c r="J19" s="139">
        <f t="shared" si="13"/>
        <v>0.5</v>
      </c>
      <c r="K19" s="139">
        <f t="shared" si="13"/>
        <v>0.5</v>
      </c>
      <c r="L19" s="139">
        <f t="shared" si="13"/>
        <v>0.5</v>
      </c>
      <c r="M19" s="139">
        <f t="shared" si="13"/>
        <v>0.5</v>
      </c>
      <c r="N19" s="139">
        <f t="shared" si="13"/>
        <v>0.5</v>
      </c>
      <c r="O19" s="139">
        <f t="shared" si="13"/>
        <v>0.55000000000000004</v>
      </c>
      <c r="P19" s="139">
        <f t="shared" si="13"/>
        <v>0.6</v>
      </c>
      <c r="Q19" s="139">
        <f t="shared" si="13"/>
        <v>0.65</v>
      </c>
      <c r="R19" s="139">
        <f t="shared" si="13"/>
        <v>0.65</v>
      </c>
      <c r="S19" s="139">
        <f t="shared" si="13"/>
        <v>0.65</v>
      </c>
      <c r="T19" s="139">
        <f t="shared" si="13"/>
        <v>0.65</v>
      </c>
      <c r="U19" s="139">
        <f t="shared" si="13"/>
        <v>0.65</v>
      </c>
      <c r="V19" s="139">
        <f t="shared" si="13"/>
        <v>0.65</v>
      </c>
      <c r="W19" s="139">
        <f t="shared" si="13"/>
        <v>0.65</v>
      </c>
      <c r="X19" s="139">
        <f t="shared" si="13"/>
        <v>0.65</v>
      </c>
      <c r="Y19" s="139">
        <f t="shared" si="13"/>
        <v>0.65</v>
      </c>
      <c r="Z19" s="139">
        <f t="shared" si="13"/>
        <v>0.65</v>
      </c>
      <c r="AA19" s="139">
        <f t="shared" si="13"/>
        <v>0.65</v>
      </c>
      <c r="AB19" s="139">
        <f t="shared" si="13"/>
        <v>0.65</v>
      </c>
      <c r="AC19" s="139">
        <f t="shared" si="13"/>
        <v>0.65</v>
      </c>
      <c r="AD19" s="139">
        <f t="shared" si="13"/>
        <v>0.65</v>
      </c>
      <c r="AE19" s="139">
        <f t="shared" si="13"/>
        <v>0.65</v>
      </c>
      <c r="AF19" s="139">
        <f>AF6/AF16</f>
        <v>0.65</v>
      </c>
      <c r="AG19" s="139">
        <f>AG6/AG16</f>
        <v>0.65</v>
      </c>
      <c r="AH19" s="139">
        <f>AH6/AH16</f>
        <v>0.65</v>
      </c>
    </row>
    <row r="20" spans="1:34" ht="12" thickBot="1" x14ac:dyDescent="0.25">
      <c r="A20" s="130" t="s">
        <v>133</v>
      </c>
    </row>
    <row r="21" spans="1:34" ht="12" thickBot="1" x14ac:dyDescent="0.25">
      <c r="A21" s="128" t="s">
        <v>74</v>
      </c>
      <c r="B21" s="140">
        <f t="shared" ref="B21:Q21" si="14">B4</f>
        <v>2018</v>
      </c>
      <c r="C21" s="140">
        <f t="shared" si="14"/>
        <v>2019</v>
      </c>
      <c r="D21" s="140">
        <f t="shared" si="14"/>
        <v>2020</v>
      </c>
      <c r="E21" s="140">
        <f t="shared" si="14"/>
        <v>2021</v>
      </c>
      <c r="F21" s="140">
        <f t="shared" si="14"/>
        <v>2022</v>
      </c>
      <c r="G21" s="140">
        <f t="shared" si="14"/>
        <v>2023</v>
      </c>
      <c r="H21" s="140">
        <f t="shared" si="14"/>
        <v>2024</v>
      </c>
      <c r="I21" s="140">
        <f t="shared" si="14"/>
        <v>2025</v>
      </c>
      <c r="J21" s="140">
        <f t="shared" si="14"/>
        <v>2026</v>
      </c>
      <c r="K21" s="140">
        <f t="shared" si="14"/>
        <v>2027</v>
      </c>
      <c r="L21" s="140">
        <f t="shared" si="14"/>
        <v>2028</v>
      </c>
      <c r="M21" s="140">
        <f t="shared" si="14"/>
        <v>2029</v>
      </c>
      <c r="N21" s="140">
        <f t="shared" si="14"/>
        <v>2030</v>
      </c>
      <c r="O21" s="140">
        <f t="shared" si="14"/>
        <v>2031</v>
      </c>
      <c r="P21" s="140">
        <f t="shared" si="14"/>
        <v>2032</v>
      </c>
      <c r="Q21" s="140">
        <f t="shared" si="14"/>
        <v>2033</v>
      </c>
      <c r="R21" s="140">
        <f>R4</f>
        <v>2034</v>
      </c>
      <c r="S21" s="140">
        <f>S4</f>
        <v>2035</v>
      </c>
      <c r="T21" s="140">
        <f t="shared" ref="T21:AE21" si="15">T4</f>
        <v>2036</v>
      </c>
      <c r="U21" s="140">
        <f t="shared" si="15"/>
        <v>2037</v>
      </c>
      <c r="V21" s="140">
        <f t="shared" si="15"/>
        <v>2038</v>
      </c>
      <c r="W21" s="140">
        <f t="shared" si="15"/>
        <v>2039</v>
      </c>
      <c r="X21" s="140">
        <f t="shared" si="15"/>
        <v>2040</v>
      </c>
      <c r="Y21" s="140">
        <f t="shared" si="15"/>
        <v>2041</v>
      </c>
      <c r="Z21" s="140">
        <f t="shared" si="15"/>
        <v>2042</v>
      </c>
      <c r="AA21" s="140">
        <f t="shared" si="15"/>
        <v>2043</v>
      </c>
      <c r="AB21" s="140">
        <f t="shared" si="15"/>
        <v>2044</v>
      </c>
      <c r="AC21" s="140">
        <f t="shared" si="15"/>
        <v>2045</v>
      </c>
      <c r="AD21" s="140">
        <f t="shared" si="15"/>
        <v>2046</v>
      </c>
      <c r="AE21" s="140">
        <f t="shared" si="15"/>
        <v>2047</v>
      </c>
      <c r="AF21" s="140">
        <f>AF4</f>
        <v>2048</v>
      </c>
      <c r="AG21" s="140">
        <f>AG4</f>
        <v>2049</v>
      </c>
      <c r="AH21" s="140">
        <f>AH4</f>
        <v>2050</v>
      </c>
    </row>
    <row r="22" spans="1:34" x14ac:dyDescent="0.2">
      <c r="A22" s="130" t="s">
        <v>89</v>
      </c>
      <c r="B22" s="141"/>
      <c r="C22" s="141"/>
      <c r="D22" s="141"/>
      <c r="E22" s="141"/>
      <c r="F22" s="141"/>
      <c r="G22" s="141"/>
      <c r="H22" s="141"/>
      <c r="I22" s="85">
        <f t="shared" ref="I22:AF33" si="16">I$6/12</f>
        <v>6.9375</v>
      </c>
      <c r="J22" s="85">
        <f t="shared" si="16"/>
        <v>9.1041666666666661</v>
      </c>
      <c r="K22" s="85">
        <f t="shared" si="16"/>
        <v>13.270833333333334</v>
      </c>
      <c r="L22" s="85">
        <f t="shared" si="16"/>
        <v>21.604166666666668</v>
      </c>
      <c r="M22" s="85">
        <f t="shared" si="16"/>
        <v>21.604166666666668</v>
      </c>
      <c r="N22" s="85">
        <f t="shared" si="16"/>
        <v>25.979166666666668</v>
      </c>
      <c r="O22" s="85">
        <f t="shared" si="16"/>
        <v>28.577083333333334</v>
      </c>
      <c r="P22" s="85">
        <f t="shared" si="16"/>
        <v>31.174999999999997</v>
      </c>
      <c r="Q22" s="85">
        <f t="shared" si="16"/>
        <v>33.772916666666667</v>
      </c>
      <c r="R22" s="85">
        <f t="shared" si="16"/>
        <v>33.772916666666667</v>
      </c>
      <c r="S22" s="85">
        <f t="shared" si="16"/>
        <v>33.772916666666667</v>
      </c>
      <c r="T22" s="85">
        <f t="shared" si="16"/>
        <v>33.772916666666667</v>
      </c>
      <c r="U22" s="85">
        <f t="shared" si="16"/>
        <v>33.772916666666667</v>
      </c>
      <c r="V22" s="85">
        <f t="shared" si="16"/>
        <v>33.772916666666667</v>
      </c>
      <c r="W22" s="85">
        <f t="shared" si="16"/>
        <v>33.772916666666667</v>
      </c>
      <c r="X22" s="85">
        <f t="shared" si="16"/>
        <v>33.772916666666667</v>
      </c>
      <c r="Y22" s="85">
        <f t="shared" si="16"/>
        <v>33.772916666666667</v>
      </c>
      <c r="Z22" s="85">
        <f t="shared" si="16"/>
        <v>33.772916666666667</v>
      </c>
      <c r="AA22" s="85">
        <f t="shared" si="16"/>
        <v>33.772916666666667</v>
      </c>
      <c r="AB22" s="85">
        <f t="shared" si="16"/>
        <v>33.772916666666667</v>
      </c>
      <c r="AC22" s="85">
        <f t="shared" si="16"/>
        <v>33.772916666666667</v>
      </c>
      <c r="AD22" s="85">
        <f t="shared" si="16"/>
        <v>33.772916666666667</v>
      </c>
      <c r="AE22" s="85">
        <f t="shared" si="16"/>
        <v>33.772916666666667</v>
      </c>
      <c r="AF22" s="85">
        <f t="shared" si="16"/>
        <v>33.772916666666667</v>
      </c>
      <c r="AG22" s="85">
        <f t="shared" ref="AF22:AI33" si="17">AG$6/12</f>
        <v>33.772916666666667</v>
      </c>
      <c r="AH22" s="85">
        <f t="shared" si="17"/>
        <v>33.772916666666667</v>
      </c>
    </row>
    <row r="23" spans="1:34" x14ac:dyDescent="0.2">
      <c r="A23" s="130" t="s">
        <v>90</v>
      </c>
      <c r="B23" s="141"/>
      <c r="C23" s="141"/>
      <c r="D23" s="141"/>
      <c r="E23" s="141"/>
      <c r="F23" s="141"/>
      <c r="G23" s="141"/>
      <c r="H23" s="141"/>
      <c r="I23" s="85">
        <f t="shared" si="16"/>
        <v>6.9375</v>
      </c>
      <c r="J23" s="85">
        <f>J$6/12</f>
        <v>9.1041666666666661</v>
      </c>
      <c r="K23" s="85">
        <f t="shared" si="16"/>
        <v>13.270833333333334</v>
      </c>
      <c r="L23" s="85">
        <f t="shared" si="16"/>
        <v>21.604166666666668</v>
      </c>
      <c r="M23" s="85">
        <f t="shared" si="16"/>
        <v>21.604166666666668</v>
      </c>
      <c r="N23" s="85">
        <f t="shared" si="16"/>
        <v>25.979166666666668</v>
      </c>
      <c r="O23" s="85">
        <f t="shared" si="16"/>
        <v>28.577083333333334</v>
      </c>
      <c r="P23" s="85">
        <f t="shared" si="16"/>
        <v>31.174999999999997</v>
      </c>
      <c r="Q23" s="85">
        <f t="shared" si="16"/>
        <v>33.772916666666667</v>
      </c>
      <c r="R23" s="85">
        <f t="shared" si="16"/>
        <v>33.772916666666667</v>
      </c>
      <c r="S23" s="85">
        <f t="shared" si="16"/>
        <v>33.772916666666667</v>
      </c>
      <c r="T23" s="85">
        <f t="shared" si="16"/>
        <v>33.772916666666667</v>
      </c>
      <c r="U23" s="85">
        <f t="shared" si="16"/>
        <v>33.772916666666667</v>
      </c>
      <c r="V23" s="85">
        <f t="shared" si="16"/>
        <v>33.772916666666667</v>
      </c>
      <c r="W23" s="85">
        <f t="shared" si="16"/>
        <v>33.772916666666667</v>
      </c>
      <c r="X23" s="85">
        <f t="shared" si="16"/>
        <v>33.772916666666667</v>
      </c>
      <c r="Y23" s="85">
        <f t="shared" si="16"/>
        <v>33.772916666666667</v>
      </c>
      <c r="Z23" s="85">
        <f t="shared" si="16"/>
        <v>33.772916666666667</v>
      </c>
      <c r="AA23" s="85">
        <f t="shared" si="16"/>
        <v>33.772916666666667</v>
      </c>
      <c r="AB23" s="85">
        <f t="shared" si="16"/>
        <v>33.772916666666667</v>
      </c>
      <c r="AC23" s="85">
        <f t="shared" si="16"/>
        <v>33.772916666666667</v>
      </c>
      <c r="AD23" s="85">
        <f t="shared" si="16"/>
        <v>33.772916666666667</v>
      </c>
      <c r="AE23" s="85">
        <f t="shared" si="16"/>
        <v>33.772916666666667</v>
      </c>
      <c r="AF23" s="85">
        <f t="shared" si="17"/>
        <v>33.772916666666667</v>
      </c>
      <c r="AG23" s="85">
        <f t="shared" si="17"/>
        <v>33.772916666666667</v>
      </c>
      <c r="AH23" s="85">
        <f t="shared" si="17"/>
        <v>33.772916666666667</v>
      </c>
    </row>
    <row r="24" spans="1:34" x14ac:dyDescent="0.2">
      <c r="A24" s="130" t="s">
        <v>91</v>
      </c>
      <c r="B24" s="141"/>
      <c r="C24" s="141"/>
      <c r="D24" s="141"/>
      <c r="E24" s="141"/>
      <c r="F24" s="141"/>
      <c r="G24" s="141"/>
      <c r="H24" s="141"/>
      <c r="I24" s="85">
        <f t="shared" si="16"/>
        <v>6.9375</v>
      </c>
      <c r="J24" s="85">
        <f t="shared" si="16"/>
        <v>9.1041666666666661</v>
      </c>
      <c r="K24" s="85">
        <f t="shared" si="16"/>
        <v>13.270833333333334</v>
      </c>
      <c r="L24" s="85">
        <f t="shared" si="16"/>
        <v>21.604166666666668</v>
      </c>
      <c r="M24" s="85">
        <f t="shared" si="16"/>
        <v>21.604166666666668</v>
      </c>
      <c r="N24" s="85">
        <f t="shared" si="16"/>
        <v>25.979166666666668</v>
      </c>
      <c r="O24" s="85">
        <f t="shared" si="16"/>
        <v>28.577083333333334</v>
      </c>
      <c r="P24" s="85">
        <f t="shared" si="16"/>
        <v>31.174999999999997</v>
      </c>
      <c r="Q24" s="85">
        <f t="shared" si="16"/>
        <v>33.772916666666667</v>
      </c>
      <c r="R24" s="85">
        <f t="shared" si="16"/>
        <v>33.772916666666667</v>
      </c>
      <c r="S24" s="85">
        <f t="shared" si="16"/>
        <v>33.772916666666667</v>
      </c>
      <c r="T24" s="85">
        <f t="shared" si="16"/>
        <v>33.772916666666667</v>
      </c>
      <c r="U24" s="85">
        <f t="shared" si="16"/>
        <v>33.772916666666667</v>
      </c>
      <c r="V24" s="85">
        <f t="shared" si="16"/>
        <v>33.772916666666667</v>
      </c>
      <c r="W24" s="85">
        <f t="shared" si="16"/>
        <v>33.772916666666667</v>
      </c>
      <c r="X24" s="85">
        <f t="shared" si="16"/>
        <v>33.772916666666667</v>
      </c>
      <c r="Y24" s="85">
        <f t="shared" si="16"/>
        <v>33.772916666666667</v>
      </c>
      <c r="Z24" s="85">
        <f t="shared" si="16"/>
        <v>33.772916666666667</v>
      </c>
      <c r="AA24" s="85">
        <f t="shared" si="16"/>
        <v>33.772916666666667</v>
      </c>
      <c r="AB24" s="85">
        <f t="shared" si="16"/>
        <v>33.772916666666667</v>
      </c>
      <c r="AC24" s="85">
        <f t="shared" si="16"/>
        <v>33.772916666666667</v>
      </c>
      <c r="AD24" s="85">
        <f t="shared" si="16"/>
        <v>33.772916666666667</v>
      </c>
      <c r="AE24" s="85">
        <f t="shared" si="16"/>
        <v>33.772916666666667</v>
      </c>
      <c r="AF24" s="85">
        <f t="shared" si="17"/>
        <v>33.772916666666667</v>
      </c>
      <c r="AG24" s="85">
        <f t="shared" si="17"/>
        <v>33.772916666666667</v>
      </c>
      <c r="AH24" s="85">
        <f t="shared" si="17"/>
        <v>33.772916666666667</v>
      </c>
    </row>
    <row r="25" spans="1:34" x14ac:dyDescent="0.2">
      <c r="A25" s="130" t="s">
        <v>92</v>
      </c>
      <c r="B25" s="141"/>
      <c r="C25" s="141"/>
      <c r="D25" s="141"/>
      <c r="E25" s="141"/>
      <c r="F25" s="141"/>
      <c r="G25" s="141"/>
      <c r="H25" s="141"/>
      <c r="I25" s="85">
        <f t="shared" si="16"/>
        <v>6.9375</v>
      </c>
      <c r="J25" s="85">
        <f t="shared" si="16"/>
        <v>9.1041666666666661</v>
      </c>
      <c r="K25" s="85">
        <f t="shared" si="16"/>
        <v>13.270833333333334</v>
      </c>
      <c r="L25" s="85">
        <f t="shared" si="16"/>
        <v>21.604166666666668</v>
      </c>
      <c r="M25" s="85">
        <f t="shared" si="16"/>
        <v>21.604166666666668</v>
      </c>
      <c r="N25" s="85">
        <f t="shared" si="16"/>
        <v>25.979166666666668</v>
      </c>
      <c r="O25" s="85">
        <f t="shared" si="16"/>
        <v>28.577083333333334</v>
      </c>
      <c r="P25" s="85">
        <f t="shared" si="16"/>
        <v>31.174999999999997</v>
      </c>
      <c r="Q25" s="85">
        <f t="shared" si="16"/>
        <v>33.772916666666667</v>
      </c>
      <c r="R25" s="85">
        <f t="shared" si="16"/>
        <v>33.772916666666667</v>
      </c>
      <c r="S25" s="85">
        <f t="shared" si="16"/>
        <v>33.772916666666667</v>
      </c>
      <c r="T25" s="85">
        <f t="shared" si="16"/>
        <v>33.772916666666667</v>
      </c>
      <c r="U25" s="85">
        <f t="shared" si="16"/>
        <v>33.772916666666667</v>
      </c>
      <c r="V25" s="85">
        <f t="shared" si="16"/>
        <v>33.772916666666667</v>
      </c>
      <c r="W25" s="85">
        <f t="shared" si="16"/>
        <v>33.772916666666667</v>
      </c>
      <c r="X25" s="85">
        <f t="shared" si="16"/>
        <v>33.772916666666667</v>
      </c>
      <c r="Y25" s="85">
        <f t="shared" si="16"/>
        <v>33.772916666666667</v>
      </c>
      <c r="Z25" s="85">
        <f t="shared" si="16"/>
        <v>33.772916666666667</v>
      </c>
      <c r="AA25" s="85">
        <f t="shared" si="16"/>
        <v>33.772916666666667</v>
      </c>
      <c r="AB25" s="85">
        <f t="shared" si="16"/>
        <v>33.772916666666667</v>
      </c>
      <c r="AC25" s="85">
        <f t="shared" si="16"/>
        <v>33.772916666666667</v>
      </c>
      <c r="AD25" s="85">
        <f t="shared" si="16"/>
        <v>33.772916666666667</v>
      </c>
      <c r="AE25" s="85">
        <f t="shared" si="16"/>
        <v>33.772916666666667</v>
      </c>
      <c r="AF25" s="85">
        <f t="shared" si="17"/>
        <v>33.772916666666667</v>
      </c>
      <c r="AG25" s="85">
        <f t="shared" si="17"/>
        <v>33.772916666666667</v>
      </c>
      <c r="AH25" s="85">
        <f t="shared" si="17"/>
        <v>33.772916666666667</v>
      </c>
    </row>
    <row r="26" spans="1:34" x14ac:dyDescent="0.2">
      <c r="A26" s="130" t="s">
        <v>93</v>
      </c>
      <c r="B26" s="141"/>
      <c r="C26" s="141"/>
      <c r="D26" s="141"/>
      <c r="E26" s="141"/>
      <c r="F26" s="141"/>
      <c r="G26" s="141"/>
      <c r="H26" s="141"/>
      <c r="I26" s="85">
        <f t="shared" si="16"/>
        <v>6.9375</v>
      </c>
      <c r="J26" s="85">
        <f t="shared" si="16"/>
        <v>9.1041666666666661</v>
      </c>
      <c r="K26" s="85">
        <f t="shared" si="16"/>
        <v>13.270833333333334</v>
      </c>
      <c r="L26" s="85">
        <f t="shared" si="16"/>
        <v>21.604166666666668</v>
      </c>
      <c r="M26" s="85">
        <f t="shared" si="16"/>
        <v>21.604166666666668</v>
      </c>
      <c r="N26" s="85">
        <f t="shared" si="16"/>
        <v>25.979166666666668</v>
      </c>
      <c r="O26" s="85">
        <f t="shared" si="16"/>
        <v>28.577083333333334</v>
      </c>
      <c r="P26" s="85">
        <f t="shared" si="16"/>
        <v>31.174999999999997</v>
      </c>
      <c r="Q26" s="85">
        <f t="shared" si="16"/>
        <v>33.772916666666667</v>
      </c>
      <c r="R26" s="85">
        <f t="shared" si="16"/>
        <v>33.772916666666667</v>
      </c>
      <c r="S26" s="85">
        <f t="shared" si="16"/>
        <v>33.772916666666667</v>
      </c>
      <c r="T26" s="85">
        <f t="shared" si="16"/>
        <v>33.772916666666667</v>
      </c>
      <c r="U26" s="85">
        <f t="shared" si="16"/>
        <v>33.772916666666667</v>
      </c>
      <c r="V26" s="85">
        <f t="shared" si="16"/>
        <v>33.772916666666667</v>
      </c>
      <c r="W26" s="85">
        <f t="shared" si="16"/>
        <v>33.772916666666667</v>
      </c>
      <c r="X26" s="85">
        <f t="shared" si="16"/>
        <v>33.772916666666667</v>
      </c>
      <c r="Y26" s="85">
        <f t="shared" si="16"/>
        <v>33.772916666666667</v>
      </c>
      <c r="Z26" s="85">
        <f t="shared" si="16"/>
        <v>33.772916666666667</v>
      </c>
      <c r="AA26" s="85">
        <f t="shared" si="16"/>
        <v>33.772916666666667</v>
      </c>
      <c r="AB26" s="85">
        <f t="shared" si="16"/>
        <v>33.772916666666667</v>
      </c>
      <c r="AC26" s="85">
        <f t="shared" si="16"/>
        <v>33.772916666666667</v>
      </c>
      <c r="AD26" s="85">
        <f t="shared" si="16"/>
        <v>33.772916666666667</v>
      </c>
      <c r="AE26" s="85">
        <f t="shared" si="16"/>
        <v>33.772916666666667</v>
      </c>
      <c r="AF26" s="85">
        <f t="shared" si="17"/>
        <v>33.772916666666667</v>
      </c>
      <c r="AG26" s="85">
        <f t="shared" si="17"/>
        <v>33.772916666666667</v>
      </c>
      <c r="AH26" s="85">
        <f t="shared" si="17"/>
        <v>33.772916666666667</v>
      </c>
    </row>
    <row r="27" spans="1:34" x14ac:dyDescent="0.2">
      <c r="A27" s="130" t="s">
        <v>94</v>
      </c>
      <c r="B27" s="141"/>
      <c r="C27" s="141"/>
      <c r="D27" s="141"/>
      <c r="E27" s="141"/>
      <c r="F27" s="141"/>
      <c r="G27" s="141"/>
      <c r="H27" s="141"/>
      <c r="I27" s="85">
        <f t="shared" si="16"/>
        <v>6.9375</v>
      </c>
      <c r="J27" s="85">
        <f t="shared" si="16"/>
        <v>9.1041666666666661</v>
      </c>
      <c r="K27" s="85">
        <f t="shared" si="16"/>
        <v>13.270833333333334</v>
      </c>
      <c r="L27" s="85">
        <f t="shared" si="16"/>
        <v>21.604166666666668</v>
      </c>
      <c r="M27" s="85">
        <f t="shared" si="16"/>
        <v>21.604166666666668</v>
      </c>
      <c r="N27" s="85">
        <f t="shared" si="16"/>
        <v>25.979166666666668</v>
      </c>
      <c r="O27" s="85">
        <f t="shared" si="16"/>
        <v>28.577083333333334</v>
      </c>
      <c r="P27" s="85">
        <f t="shared" si="16"/>
        <v>31.174999999999997</v>
      </c>
      <c r="Q27" s="85">
        <f t="shared" si="16"/>
        <v>33.772916666666667</v>
      </c>
      <c r="R27" s="85">
        <f t="shared" si="16"/>
        <v>33.772916666666667</v>
      </c>
      <c r="S27" s="85">
        <f t="shared" si="16"/>
        <v>33.772916666666667</v>
      </c>
      <c r="T27" s="85">
        <f t="shared" si="16"/>
        <v>33.772916666666667</v>
      </c>
      <c r="U27" s="85">
        <f t="shared" si="16"/>
        <v>33.772916666666667</v>
      </c>
      <c r="V27" s="85">
        <f t="shared" si="16"/>
        <v>33.772916666666667</v>
      </c>
      <c r="W27" s="85">
        <f t="shared" si="16"/>
        <v>33.772916666666667</v>
      </c>
      <c r="X27" s="85">
        <f t="shared" si="16"/>
        <v>33.772916666666667</v>
      </c>
      <c r="Y27" s="85">
        <f t="shared" si="16"/>
        <v>33.772916666666667</v>
      </c>
      <c r="Z27" s="85">
        <f t="shared" si="16"/>
        <v>33.772916666666667</v>
      </c>
      <c r="AA27" s="85">
        <f t="shared" si="16"/>
        <v>33.772916666666667</v>
      </c>
      <c r="AB27" s="85">
        <f t="shared" si="16"/>
        <v>33.772916666666667</v>
      </c>
      <c r="AC27" s="85">
        <f t="shared" si="16"/>
        <v>33.772916666666667</v>
      </c>
      <c r="AD27" s="85">
        <f t="shared" si="16"/>
        <v>33.772916666666667</v>
      </c>
      <c r="AE27" s="85">
        <f t="shared" si="16"/>
        <v>33.772916666666667</v>
      </c>
      <c r="AF27" s="85">
        <f t="shared" si="17"/>
        <v>33.772916666666667</v>
      </c>
      <c r="AG27" s="85">
        <f t="shared" si="17"/>
        <v>33.772916666666667</v>
      </c>
      <c r="AH27" s="85">
        <f t="shared" si="17"/>
        <v>33.772916666666667</v>
      </c>
    </row>
    <row r="28" spans="1:34" x14ac:dyDescent="0.2">
      <c r="A28" s="130" t="s">
        <v>95</v>
      </c>
      <c r="B28" s="141"/>
      <c r="C28" s="141"/>
      <c r="D28" s="141"/>
      <c r="E28" s="141"/>
      <c r="F28" s="141"/>
      <c r="G28" s="141"/>
      <c r="H28" s="141"/>
      <c r="I28" s="85">
        <f t="shared" si="16"/>
        <v>6.9375</v>
      </c>
      <c r="J28" s="85">
        <f t="shared" si="16"/>
        <v>9.1041666666666661</v>
      </c>
      <c r="K28" s="85">
        <f t="shared" si="16"/>
        <v>13.270833333333334</v>
      </c>
      <c r="L28" s="85">
        <f t="shared" si="16"/>
        <v>21.604166666666668</v>
      </c>
      <c r="M28" s="85">
        <f t="shared" si="16"/>
        <v>21.604166666666668</v>
      </c>
      <c r="N28" s="85">
        <f t="shared" si="16"/>
        <v>25.979166666666668</v>
      </c>
      <c r="O28" s="85">
        <f t="shared" si="16"/>
        <v>28.577083333333334</v>
      </c>
      <c r="P28" s="85">
        <f t="shared" si="16"/>
        <v>31.174999999999997</v>
      </c>
      <c r="Q28" s="85">
        <f t="shared" si="16"/>
        <v>33.772916666666667</v>
      </c>
      <c r="R28" s="85">
        <f t="shared" si="16"/>
        <v>33.772916666666667</v>
      </c>
      <c r="S28" s="85">
        <f t="shared" si="16"/>
        <v>33.772916666666667</v>
      </c>
      <c r="T28" s="85">
        <f t="shared" si="16"/>
        <v>33.772916666666667</v>
      </c>
      <c r="U28" s="85">
        <f t="shared" si="16"/>
        <v>33.772916666666667</v>
      </c>
      <c r="V28" s="85">
        <f t="shared" si="16"/>
        <v>33.772916666666667</v>
      </c>
      <c r="W28" s="85">
        <f t="shared" si="16"/>
        <v>33.772916666666667</v>
      </c>
      <c r="X28" s="85">
        <f t="shared" si="16"/>
        <v>33.772916666666667</v>
      </c>
      <c r="Y28" s="85">
        <f t="shared" si="16"/>
        <v>33.772916666666667</v>
      </c>
      <c r="Z28" s="85">
        <f t="shared" si="16"/>
        <v>33.772916666666667</v>
      </c>
      <c r="AA28" s="85">
        <f t="shared" si="16"/>
        <v>33.772916666666667</v>
      </c>
      <c r="AB28" s="85">
        <f t="shared" si="16"/>
        <v>33.772916666666667</v>
      </c>
      <c r="AC28" s="85">
        <f t="shared" si="16"/>
        <v>33.772916666666667</v>
      </c>
      <c r="AD28" s="85">
        <f t="shared" si="16"/>
        <v>33.772916666666667</v>
      </c>
      <c r="AE28" s="85">
        <f t="shared" si="16"/>
        <v>33.772916666666667</v>
      </c>
      <c r="AF28" s="85">
        <f t="shared" si="17"/>
        <v>33.772916666666667</v>
      </c>
      <c r="AG28" s="85">
        <f t="shared" si="17"/>
        <v>33.772916666666667</v>
      </c>
      <c r="AH28" s="85">
        <f t="shared" si="17"/>
        <v>33.772916666666667</v>
      </c>
    </row>
    <row r="29" spans="1:34" x14ac:dyDescent="0.2">
      <c r="A29" s="130" t="s">
        <v>96</v>
      </c>
      <c r="B29" s="141"/>
      <c r="C29" s="141"/>
      <c r="D29" s="141"/>
      <c r="E29" s="141"/>
      <c r="F29" s="141"/>
      <c r="G29" s="141"/>
      <c r="H29" s="85"/>
      <c r="I29" s="85">
        <f t="shared" si="16"/>
        <v>6.9375</v>
      </c>
      <c r="J29" s="85">
        <f t="shared" si="16"/>
        <v>9.1041666666666661</v>
      </c>
      <c r="K29" s="85">
        <f t="shared" si="16"/>
        <v>13.270833333333334</v>
      </c>
      <c r="L29" s="85">
        <f t="shared" si="16"/>
        <v>21.604166666666668</v>
      </c>
      <c r="M29" s="85">
        <f t="shared" si="16"/>
        <v>21.604166666666668</v>
      </c>
      <c r="N29" s="85">
        <f t="shared" si="16"/>
        <v>25.979166666666668</v>
      </c>
      <c r="O29" s="85">
        <f t="shared" si="16"/>
        <v>28.577083333333334</v>
      </c>
      <c r="P29" s="85">
        <f t="shared" si="16"/>
        <v>31.174999999999997</v>
      </c>
      <c r="Q29" s="85">
        <f t="shared" si="16"/>
        <v>33.772916666666667</v>
      </c>
      <c r="R29" s="85">
        <f t="shared" si="16"/>
        <v>33.772916666666667</v>
      </c>
      <c r="S29" s="85">
        <f t="shared" si="16"/>
        <v>33.772916666666667</v>
      </c>
      <c r="T29" s="85">
        <f t="shared" si="16"/>
        <v>33.772916666666667</v>
      </c>
      <c r="U29" s="85">
        <f t="shared" si="16"/>
        <v>33.772916666666667</v>
      </c>
      <c r="V29" s="85">
        <f t="shared" si="16"/>
        <v>33.772916666666667</v>
      </c>
      <c r="W29" s="85">
        <f t="shared" si="16"/>
        <v>33.772916666666667</v>
      </c>
      <c r="X29" s="85">
        <f t="shared" si="16"/>
        <v>33.772916666666667</v>
      </c>
      <c r="Y29" s="85">
        <f t="shared" si="16"/>
        <v>33.772916666666667</v>
      </c>
      <c r="Z29" s="85">
        <f t="shared" si="16"/>
        <v>33.772916666666667</v>
      </c>
      <c r="AA29" s="85">
        <f t="shared" si="16"/>
        <v>33.772916666666667</v>
      </c>
      <c r="AB29" s="85">
        <f t="shared" si="16"/>
        <v>33.772916666666667</v>
      </c>
      <c r="AC29" s="85">
        <f t="shared" si="16"/>
        <v>33.772916666666667</v>
      </c>
      <c r="AD29" s="85">
        <f t="shared" si="16"/>
        <v>33.772916666666667</v>
      </c>
      <c r="AE29" s="85">
        <f t="shared" si="16"/>
        <v>33.772916666666667</v>
      </c>
      <c r="AF29" s="85">
        <f t="shared" si="17"/>
        <v>33.772916666666667</v>
      </c>
      <c r="AG29" s="85">
        <f t="shared" si="17"/>
        <v>33.772916666666667</v>
      </c>
      <c r="AH29" s="85">
        <f t="shared" si="17"/>
        <v>33.772916666666667</v>
      </c>
    </row>
    <row r="30" spans="1:34" x14ac:dyDescent="0.2">
      <c r="A30" s="130" t="s">
        <v>97</v>
      </c>
      <c r="B30" s="141"/>
      <c r="C30" s="141"/>
      <c r="D30" s="141"/>
      <c r="E30" s="141"/>
      <c r="F30" s="141"/>
      <c r="G30" s="141"/>
      <c r="H30" s="85"/>
      <c r="I30" s="85">
        <f t="shared" si="16"/>
        <v>6.9375</v>
      </c>
      <c r="J30" s="85">
        <f t="shared" si="16"/>
        <v>9.1041666666666661</v>
      </c>
      <c r="K30" s="85">
        <f t="shared" si="16"/>
        <v>13.270833333333334</v>
      </c>
      <c r="L30" s="85">
        <f t="shared" si="16"/>
        <v>21.604166666666668</v>
      </c>
      <c r="M30" s="85">
        <f t="shared" si="16"/>
        <v>21.604166666666668</v>
      </c>
      <c r="N30" s="85">
        <f t="shared" si="16"/>
        <v>25.979166666666668</v>
      </c>
      <c r="O30" s="85">
        <f t="shared" si="16"/>
        <v>28.577083333333334</v>
      </c>
      <c r="P30" s="85">
        <f t="shared" si="16"/>
        <v>31.174999999999997</v>
      </c>
      <c r="Q30" s="85">
        <f t="shared" si="16"/>
        <v>33.772916666666667</v>
      </c>
      <c r="R30" s="85">
        <f t="shared" si="16"/>
        <v>33.772916666666667</v>
      </c>
      <c r="S30" s="85">
        <f t="shared" si="16"/>
        <v>33.772916666666667</v>
      </c>
      <c r="T30" s="85">
        <f t="shared" si="16"/>
        <v>33.772916666666667</v>
      </c>
      <c r="U30" s="85">
        <f t="shared" si="16"/>
        <v>33.772916666666667</v>
      </c>
      <c r="V30" s="85">
        <f t="shared" si="16"/>
        <v>33.772916666666667</v>
      </c>
      <c r="W30" s="85">
        <f t="shared" si="16"/>
        <v>33.772916666666667</v>
      </c>
      <c r="X30" s="85">
        <f t="shared" si="16"/>
        <v>33.772916666666667</v>
      </c>
      <c r="Y30" s="85">
        <f t="shared" si="16"/>
        <v>33.772916666666667</v>
      </c>
      <c r="Z30" s="85">
        <f t="shared" si="16"/>
        <v>33.772916666666667</v>
      </c>
      <c r="AA30" s="85">
        <f t="shared" si="16"/>
        <v>33.772916666666667</v>
      </c>
      <c r="AB30" s="85">
        <f t="shared" si="16"/>
        <v>33.772916666666667</v>
      </c>
      <c r="AC30" s="85">
        <f t="shared" si="16"/>
        <v>33.772916666666667</v>
      </c>
      <c r="AD30" s="85">
        <f t="shared" si="16"/>
        <v>33.772916666666667</v>
      </c>
      <c r="AE30" s="85">
        <f t="shared" si="16"/>
        <v>33.772916666666667</v>
      </c>
      <c r="AF30" s="85">
        <f t="shared" si="17"/>
        <v>33.772916666666667</v>
      </c>
      <c r="AG30" s="85">
        <f t="shared" si="17"/>
        <v>33.772916666666667</v>
      </c>
      <c r="AH30" s="85">
        <f t="shared" si="17"/>
        <v>33.772916666666667</v>
      </c>
    </row>
    <row r="31" spans="1:34" x14ac:dyDescent="0.2">
      <c r="A31" s="130" t="s">
        <v>98</v>
      </c>
      <c r="B31" s="141"/>
      <c r="C31" s="141"/>
      <c r="D31" s="141"/>
      <c r="E31" s="141"/>
      <c r="F31" s="141"/>
      <c r="G31" s="141"/>
      <c r="H31" s="141">
        <v>1</v>
      </c>
      <c r="I31" s="85">
        <f t="shared" si="16"/>
        <v>6.9375</v>
      </c>
      <c r="J31" s="85">
        <f t="shared" si="16"/>
        <v>9.1041666666666661</v>
      </c>
      <c r="K31" s="85">
        <f t="shared" si="16"/>
        <v>13.270833333333334</v>
      </c>
      <c r="L31" s="85">
        <f t="shared" si="16"/>
        <v>21.604166666666668</v>
      </c>
      <c r="M31" s="85">
        <f t="shared" si="16"/>
        <v>21.604166666666668</v>
      </c>
      <c r="N31" s="85">
        <f t="shared" si="16"/>
        <v>25.979166666666668</v>
      </c>
      <c r="O31" s="85">
        <f t="shared" si="16"/>
        <v>28.577083333333334</v>
      </c>
      <c r="P31" s="85">
        <f t="shared" si="16"/>
        <v>31.174999999999997</v>
      </c>
      <c r="Q31" s="85">
        <f t="shared" si="16"/>
        <v>33.772916666666667</v>
      </c>
      <c r="R31" s="85">
        <f t="shared" si="16"/>
        <v>33.772916666666667</v>
      </c>
      <c r="S31" s="85">
        <f t="shared" si="16"/>
        <v>33.772916666666667</v>
      </c>
      <c r="T31" s="85">
        <f t="shared" si="16"/>
        <v>33.772916666666667</v>
      </c>
      <c r="U31" s="85">
        <f t="shared" si="16"/>
        <v>33.772916666666667</v>
      </c>
      <c r="V31" s="85">
        <f t="shared" si="16"/>
        <v>33.772916666666667</v>
      </c>
      <c r="W31" s="85">
        <f t="shared" si="16"/>
        <v>33.772916666666667</v>
      </c>
      <c r="X31" s="85">
        <f t="shared" si="16"/>
        <v>33.772916666666667</v>
      </c>
      <c r="Y31" s="85">
        <f t="shared" si="16"/>
        <v>33.772916666666667</v>
      </c>
      <c r="Z31" s="85">
        <f t="shared" si="16"/>
        <v>33.772916666666667</v>
      </c>
      <c r="AA31" s="85">
        <f t="shared" si="16"/>
        <v>33.772916666666667</v>
      </c>
      <c r="AB31" s="85">
        <f t="shared" si="16"/>
        <v>33.772916666666667</v>
      </c>
      <c r="AC31" s="85">
        <f t="shared" si="16"/>
        <v>33.772916666666667</v>
      </c>
      <c r="AD31" s="85">
        <f t="shared" si="16"/>
        <v>33.772916666666667</v>
      </c>
      <c r="AE31" s="85">
        <f t="shared" si="16"/>
        <v>33.772916666666667</v>
      </c>
      <c r="AF31" s="85">
        <f t="shared" si="17"/>
        <v>33.772916666666667</v>
      </c>
      <c r="AG31" s="85">
        <f t="shared" si="17"/>
        <v>33.772916666666667</v>
      </c>
      <c r="AH31" s="85">
        <f t="shared" si="17"/>
        <v>33.772916666666667</v>
      </c>
    </row>
    <row r="32" spans="1:34" x14ac:dyDescent="0.2">
      <c r="A32" s="130" t="s">
        <v>99</v>
      </c>
      <c r="B32" s="141"/>
      <c r="C32" s="141"/>
      <c r="D32" s="141"/>
      <c r="E32" s="141"/>
      <c r="F32" s="141"/>
      <c r="G32" s="141"/>
      <c r="H32" s="141">
        <v>1</v>
      </c>
      <c r="I32" s="85">
        <f t="shared" si="16"/>
        <v>6.9375</v>
      </c>
      <c r="J32" s="85">
        <f t="shared" si="16"/>
        <v>9.1041666666666661</v>
      </c>
      <c r="K32" s="85">
        <f t="shared" si="16"/>
        <v>13.270833333333334</v>
      </c>
      <c r="L32" s="85">
        <f t="shared" si="16"/>
        <v>21.604166666666668</v>
      </c>
      <c r="M32" s="85">
        <f t="shared" si="16"/>
        <v>21.604166666666668</v>
      </c>
      <c r="N32" s="85">
        <f t="shared" si="16"/>
        <v>25.979166666666668</v>
      </c>
      <c r="O32" s="85">
        <f t="shared" si="16"/>
        <v>28.577083333333334</v>
      </c>
      <c r="P32" s="85">
        <f t="shared" si="16"/>
        <v>31.174999999999997</v>
      </c>
      <c r="Q32" s="85">
        <f t="shared" si="16"/>
        <v>33.772916666666667</v>
      </c>
      <c r="R32" s="85">
        <f t="shared" si="16"/>
        <v>33.772916666666667</v>
      </c>
      <c r="S32" s="85">
        <f t="shared" si="16"/>
        <v>33.772916666666667</v>
      </c>
      <c r="T32" s="85">
        <f t="shared" si="16"/>
        <v>33.772916666666667</v>
      </c>
      <c r="U32" s="85">
        <f t="shared" si="16"/>
        <v>33.772916666666667</v>
      </c>
      <c r="V32" s="85">
        <f t="shared" si="16"/>
        <v>33.772916666666667</v>
      </c>
      <c r="W32" s="85">
        <f t="shared" si="16"/>
        <v>33.772916666666667</v>
      </c>
      <c r="X32" s="85">
        <f t="shared" si="16"/>
        <v>33.772916666666667</v>
      </c>
      <c r="Y32" s="85">
        <f t="shared" si="16"/>
        <v>33.772916666666667</v>
      </c>
      <c r="Z32" s="85">
        <f t="shared" si="16"/>
        <v>33.772916666666667</v>
      </c>
      <c r="AA32" s="85">
        <f t="shared" si="16"/>
        <v>33.772916666666667</v>
      </c>
      <c r="AB32" s="85">
        <f t="shared" si="16"/>
        <v>33.772916666666667</v>
      </c>
      <c r="AC32" s="85">
        <f t="shared" si="16"/>
        <v>33.772916666666667</v>
      </c>
      <c r="AD32" s="85">
        <f t="shared" si="16"/>
        <v>33.772916666666667</v>
      </c>
      <c r="AE32" s="85">
        <f t="shared" si="16"/>
        <v>33.772916666666667</v>
      </c>
      <c r="AF32" s="85">
        <f t="shared" si="17"/>
        <v>33.772916666666667</v>
      </c>
      <c r="AG32" s="85">
        <f t="shared" si="17"/>
        <v>33.772916666666667</v>
      </c>
      <c r="AH32" s="85">
        <f t="shared" si="17"/>
        <v>33.772916666666667</v>
      </c>
    </row>
    <row r="33" spans="1:34" x14ac:dyDescent="0.2">
      <c r="A33" s="130" t="s">
        <v>100</v>
      </c>
      <c r="B33" s="141"/>
      <c r="C33" s="141"/>
      <c r="D33" s="141"/>
      <c r="E33" s="141"/>
      <c r="F33" s="141"/>
      <c r="G33" s="141"/>
      <c r="H33" s="85">
        <v>1</v>
      </c>
      <c r="I33" s="85">
        <f t="shared" si="16"/>
        <v>6.9375</v>
      </c>
      <c r="J33" s="85">
        <f t="shared" si="16"/>
        <v>9.1041666666666661</v>
      </c>
      <c r="K33" s="85">
        <f t="shared" ref="K33:Z43" si="18">K$6/12</f>
        <v>13.270833333333334</v>
      </c>
      <c r="L33" s="85">
        <f t="shared" si="18"/>
        <v>21.604166666666668</v>
      </c>
      <c r="M33" s="85">
        <f t="shared" si="18"/>
        <v>21.604166666666668</v>
      </c>
      <c r="N33" s="85">
        <f t="shared" si="18"/>
        <v>25.979166666666668</v>
      </c>
      <c r="O33" s="85">
        <f t="shared" si="18"/>
        <v>28.577083333333334</v>
      </c>
      <c r="P33" s="85">
        <f t="shared" si="18"/>
        <v>31.174999999999997</v>
      </c>
      <c r="Q33" s="85">
        <f t="shared" si="18"/>
        <v>33.772916666666667</v>
      </c>
      <c r="R33" s="85">
        <f t="shared" si="18"/>
        <v>33.772916666666667</v>
      </c>
      <c r="S33" s="85">
        <f t="shared" si="18"/>
        <v>33.772916666666667</v>
      </c>
      <c r="T33" s="85">
        <f t="shared" si="18"/>
        <v>33.772916666666667</v>
      </c>
      <c r="U33" s="85">
        <f t="shared" si="18"/>
        <v>33.772916666666667</v>
      </c>
      <c r="V33" s="85">
        <f t="shared" si="18"/>
        <v>33.772916666666667</v>
      </c>
      <c r="W33" s="85">
        <f t="shared" si="18"/>
        <v>33.772916666666667</v>
      </c>
      <c r="X33" s="85">
        <f t="shared" si="18"/>
        <v>33.772916666666667</v>
      </c>
      <c r="Y33" s="85">
        <f t="shared" si="18"/>
        <v>33.772916666666667</v>
      </c>
      <c r="Z33" s="85">
        <f t="shared" si="18"/>
        <v>33.772916666666667</v>
      </c>
      <c r="AA33" s="85">
        <f t="shared" ref="AA33:AX44" si="19">AA$6/12</f>
        <v>33.772916666666667</v>
      </c>
      <c r="AB33" s="85">
        <f t="shared" si="19"/>
        <v>33.772916666666667</v>
      </c>
      <c r="AC33" s="85">
        <f t="shared" si="19"/>
        <v>33.772916666666667</v>
      </c>
      <c r="AD33" s="85">
        <f t="shared" si="19"/>
        <v>33.772916666666667</v>
      </c>
      <c r="AE33" s="85">
        <f t="shared" si="19"/>
        <v>33.772916666666667</v>
      </c>
      <c r="AF33" s="85">
        <f t="shared" si="17"/>
        <v>33.772916666666667</v>
      </c>
      <c r="AG33" s="85">
        <f t="shared" si="17"/>
        <v>33.772916666666667</v>
      </c>
      <c r="AH33" s="85">
        <f t="shared" si="17"/>
        <v>33.772916666666667</v>
      </c>
    </row>
    <row r="34" spans="1:34" ht="12" thickBot="1" x14ac:dyDescent="0.25">
      <c r="A34" s="130" t="s">
        <v>134</v>
      </c>
      <c r="B34" s="141">
        <f t="shared" ref="B34:R34" si="20">SUM(B22:B33)</f>
        <v>0</v>
      </c>
      <c r="C34" s="141">
        <f t="shared" si="20"/>
        <v>0</v>
      </c>
      <c r="D34" s="141">
        <f t="shared" si="20"/>
        <v>0</v>
      </c>
      <c r="E34" s="141">
        <f t="shared" si="20"/>
        <v>0</v>
      </c>
      <c r="F34" s="141">
        <f t="shared" si="20"/>
        <v>0</v>
      </c>
      <c r="G34" s="141">
        <f t="shared" si="20"/>
        <v>0</v>
      </c>
      <c r="H34" s="85">
        <f t="shared" si="20"/>
        <v>3</v>
      </c>
      <c r="I34" s="85">
        <f t="shared" si="20"/>
        <v>83.25</v>
      </c>
      <c r="J34" s="85">
        <f t="shared" si="20"/>
        <v>109.25000000000001</v>
      </c>
      <c r="K34" s="85">
        <f t="shared" si="20"/>
        <v>159.25</v>
      </c>
      <c r="L34" s="85">
        <f t="shared" si="20"/>
        <v>259.24999999999994</v>
      </c>
      <c r="M34" s="85">
        <f t="shared" si="20"/>
        <v>259.24999999999994</v>
      </c>
      <c r="N34" s="85">
        <f t="shared" si="20"/>
        <v>311.75</v>
      </c>
      <c r="O34" s="85">
        <f t="shared" si="20"/>
        <v>342.92500000000013</v>
      </c>
      <c r="P34" s="85">
        <f t="shared" si="20"/>
        <v>374.10000000000008</v>
      </c>
      <c r="Q34" s="85">
        <f t="shared" si="20"/>
        <v>405.27500000000003</v>
      </c>
      <c r="R34" s="85">
        <f t="shared" si="20"/>
        <v>405.27500000000003</v>
      </c>
      <c r="S34" s="85">
        <f t="shared" ref="S34:AE34" si="21">SUM(S22:S33)</f>
        <v>405.27500000000003</v>
      </c>
      <c r="T34" s="85">
        <f t="shared" si="21"/>
        <v>405.27500000000003</v>
      </c>
      <c r="U34" s="85">
        <f t="shared" si="21"/>
        <v>405.27500000000003</v>
      </c>
      <c r="V34" s="85">
        <f t="shared" si="21"/>
        <v>405.27500000000003</v>
      </c>
      <c r="W34" s="85">
        <f t="shared" si="21"/>
        <v>405.27500000000003</v>
      </c>
      <c r="X34" s="85">
        <f t="shared" si="21"/>
        <v>405.27500000000003</v>
      </c>
      <c r="Y34" s="85">
        <f t="shared" si="21"/>
        <v>405.27500000000003</v>
      </c>
      <c r="Z34" s="85">
        <f t="shared" si="21"/>
        <v>405.27500000000003</v>
      </c>
      <c r="AA34" s="85">
        <f t="shared" si="21"/>
        <v>405.27500000000003</v>
      </c>
      <c r="AB34" s="85">
        <f t="shared" si="21"/>
        <v>405.27500000000003</v>
      </c>
      <c r="AC34" s="85">
        <f t="shared" si="21"/>
        <v>405.27500000000003</v>
      </c>
      <c r="AD34" s="85">
        <f t="shared" si="21"/>
        <v>405.27500000000003</v>
      </c>
      <c r="AE34" s="85">
        <f t="shared" si="21"/>
        <v>405.27500000000003</v>
      </c>
      <c r="AF34" s="85">
        <f>SUM(AF22:AF33)</f>
        <v>405.27500000000003</v>
      </c>
      <c r="AG34" s="85">
        <f>SUM(AG22:AG33)</f>
        <v>405.27500000000003</v>
      </c>
      <c r="AH34" s="85">
        <f>SUM(AH22:AH33)</f>
        <v>405.27500000000003</v>
      </c>
    </row>
    <row r="35" spans="1:34" x14ac:dyDescent="0.2">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row>
    <row r="36" spans="1:34" ht="12" thickBot="1" x14ac:dyDescent="0.25">
      <c r="A36" s="130" t="s">
        <v>135</v>
      </c>
    </row>
    <row r="37" spans="1:34" ht="12" thickBot="1" x14ac:dyDescent="0.25">
      <c r="A37" s="128" t="s">
        <v>74</v>
      </c>
      <c r="B37" s="140">
        <f t="shared" ref="B37:Q37" si="22">B21</f>
        <v>2018</v>
      </c>
      <c r="C37" s="140">
        <f t="shared" si="22"/>
        <v>2019</v>
      </c>
      <c r="D37" s="140">
        <f t="shared" si="22"/>
        <v>2020</v>
      </c>
      <c r="E37" s="140">
        <f t="shared" si="22"/>
        <v>2021</v>
      </c>
      <c r="F37" s="140">
        <f t="shared" si="22"/>
        <v>2022</v>
      </c>
      <c r="G37" s="140">
        <f t="shared" si="22"/>
        <v>2023</v>
      </c>
      <c r="H37" s="140">
        <f t="shared" si="22"/>
        <v>2024</v>
      </c>
      <c r="I37" s="140">
        <f t="shared" si="22"/>
        <v>2025</v>
      </c>
      <c r="J37" s="140">
        <f t="shared" si="22"/>
        <v>2026</v>
      </c>
      <c r="K37" s="140">
        <f t="shared" si="22"/>
        <v>2027</v>
      </c>
      <c r="L37" s="140">
        <f t="shared" si="22"/>
        <v>2028</v>
      </c>
      <c r="M37" s="140">
        <f t="shared" si="22"/>
        <v>2029</v>
      </c>
      <c r="N37" s="140">
        <f t="shared" si="22"/>
        <v>2030</v>
      </c>
      <c r="O37" s="140">
        <f t="shared" si="22"/>
        <v>2031</v>
      </c>
      <c r="P37" s="140">
        <f t="shared" si="22"/>
        <v>2032</v>
      </c>
      <c r="Q37" s="140">
        <f t="shared" si="22"/>
        <v>2033</v>
      </c>
      <c r="R37" s="140">
        <f>R21</f>
        <v>2034</v>
      </c>
      <c r="S37" s="140">
        <f>S21</f>
        <v>2035</v>
      </c>
      <c r="T37" s="140">
        <f t="shared" ref="T37:AE37" si="23">T21</f>
        <v>2036</v>
      </c>
      <c r="U37" s="140">
        <f t="shared" si="23"/>
        <v>2037</v>
      </c>
      <c r="V37" s="140">
        <f t="shared" si="23"/>
        <v>2038</v>
      </c>
      <c r="W37" s="140">
        <f t="shared" si="23"/>
        <v>2039</v>
      </c>
      <c r="X37" s="140">
        <f t="shared" si="23"/>
        <v>2040</v>
      </c>
      <c r="Y37" s="140">
        <f t="shared" si="23"/>
        <v>2041</v>
      </c>
      <c r="Z37" s="140">
        <f t="shared" si="23"/>
        <v>2042</v>
      </c>
      <c r="AA37" s="140">
        <f t="shared" si="23"/>
        <v>2043</v>
      </c>
      <c r="AB37" s="140">
        <f t="shared" si="23"/>
        <v>2044</v>
      </c>
      <c r="AC37" s="140">
        <f t="shared" si="23"/>
        <v>2045</v>
      </c>
      <c r="AD37" s="140">
        <f t="shared" si="23"/>
        <v>2046</v>
      </c>
      <c r="AE37" s="140">
        <f t="shared" si="23"/>
        <v>2047</v>
      </c>
      <c r="AF37" s="140">
        <f>AF21</f>
        <v>2048</v>
      </c>
      <c r="AG37" s="140">
        <f>AG21</f>
        <v>2049</v>
      </c>
      <c r="AH37" s="140">
        <f>AH21</f>
        <v>2050</v>
      </c>
    </row>
    <row r="38" spans="1:34" x14ac:dyDescent="0.2">
      <c r="A38" s="130" t="s">
        <v>89</v>
      </c>
      <c r="B38" s="141"/>
      <c r="C38" s="141"/>
      <c r="D38" s="141"/>
      <c r="E38" s="141"/>
      <c r="F38" s="141"/>
      <c r="G38" s="141"/>
      <c r="H38" s="141"/>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row>
    <row r="39" spans="1:34" x14ac:dyDescent="0.2">
      <c r="A39" s="130" t="s">
        <v>90</v>
      </c>
      <c r="B39" s="141"/>
      <c r="C39" s="141"/>
      <c r="D39" s="141"/>
      <c r="E39" s="141"/>
      <c r="F39" s="141"/>
      <c r="G39" s="141"/>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row>
    <row r="40" spans="1:34" x14ac:dyDescent="0.2">
      <c r="A40" s="130" t="s">
        <v>91</v>
      </c>
      <c r="B40" s="141"/>
      <c r="C40" s="141"/>
      <c r="D40" s="141"/>
      <c r="E40" s="141"/>
      <c r="F40" s="141"/>
      <c r="G40" s="141"/>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row>
    <row r="41" spans="1:34" x14ac:dyDescent="0.2">
      <c r="A41" s="130" t="s">
        <v>92</v>
      </c>
      <c r="B41" s="141"/>
      <c r="C41" s="141"/>
      <c r="D41" s="141"/>
      <c r="E41" s="141"/>
      <c r="F41" s="141"/>
      <c r="G41" s="141"/>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row>
    <row r="42" spans="1:34" x14ac:dyDescent="0.2">
      <c r="A42" s="130" t="s">
        <v>93</v>
      </c>
      <c r="B42" s="141"/>
      <c r="C42" s="141"/>
      <c r="D42" s="141"/>
      <c r="E42" s="141"/>
      <c r="F42" s="141"/>
      <c r="G42" s="141"/>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row>
    <row r="43" spans="1:34" x14ac:dyDescent="0.2">
      <c r="A43" s="130" t="s">
        <v>94</v>
      </c>
      <c r="B43" s="141"/>
      <c r="C43" s="141"/>
      <c r="D43" s="141"/>
      <c r="E43" s="141"/>
      <c r="F43" s="141"/>
      <c r="G43" s="141"/>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row>
    <row r="44" spans="1:34" x14ac:dyDescent="0.2">
      <c r="A44" s="130" t="s">
        <v>95</v>
      </c>
      <c r="B44" s="141"/>
      <c r="C44" s="141"/>
      <c r="D44" s="141"/>
      <c r="E44" s="141"/>
      <c r="F44" s="141"/>
      <c r="G44" s="141"/>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row>
    <row r="45" spans="1:34" x14ac:dyDescent="0.2">
      <c r="A45" s="130" t="s">
        <v>96</v>
      </c>
      <c r="B45" s="141"/>
      <c r="C45" s="141"/>
      <c r="D45" s="141"/>
      <c r="E45" s="141"/>
      <c r="F45" s="141"/>
      <c r="G45" s="141"/>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row>
    <row r="46" spans="1:34" x14ac:dyDescent="0.2">
      <c r="A46" s="130" t="s">
        <v>97</v>
      </c>
      <c r="B46" s="141"/>
      <c r="C46" s="141"/>
      <c r="D46" s="141"/>
      <c r="E46" s="141"/>
      <c r="F46" s="141"/>
      <c r="G46" s="141"/>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row>
    <row r="47" spans="1:34" x14ac:dyDescent="0.2">
      <c r="A47" s="130" t="s">
        <v>98</v>
      </c>
      <c r="B47" s="141"/>
      <c r="C47" s="141"/>
      <c r="D47" s="141"/>
      <c r="E47" s="141"/>
      <c r="F47" s="141"/>
      <c r="G47" s="141"/>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row>
    <row r="48" spans="1:34" x14ac:dyDescent="0.2">
      <c r="A48" s="130" t="s">
        <v>99</v>
      </c>
      <c r="B48" s="141"/>
      <c r="C48" s="141"/>
      <c r="D48" s="141"/>
      <c r="E48" s="141"/>
      <c r="F48" s="141"/>
      <c r="G48" s="141"/>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row>
    <row r="49" spans="1:34" x14ac:dyDescent="0.2">
      <c r="A49" s="130" t="s">
        <v>100</v>
      </c>
      <c r="B49" s="141"/>
      <c r="C49" s="141"/>
      <c r="D49" s="141"/>
      <c r="E49" s="141"/>
      <c r="F49" s="141"/>
      <c r="G49" s="141"/>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row>
    <row r="50" spans="1:34" ht="12" thickBot="1" x14ac:dyDescent="0.25">
      <c r="A50" s="130" t="s">
        <v>134</v>
      </c>
      <c r="B50" s="141"/>
      <c r="C50" s="141"/>
      <c r="D50" s="141"/>
      <c r="E50" s="141"/>
      <c r="F50" s="141"/>
      <c r="G50" s="141"/>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row>
    <row r="51" spans="1:34" x14ac:dyDescent="0.2">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row>
    <row r="52" spans="1:34" ht="12" thickBot="1" x14ac:dyDescent="0.25">
      <c r="A52" s="130" t="s">
        <v>136</v>
      </c>
    </row>
    <row r="53" spans="1:34" ht="12" thickBot="1" x14ac:dyDescent="0.25">
      <c r="A53" s="128" t="s">
        <v>74</v>
      </c>
      <c r="B53" s="140">
        <f t="shared" ref="B53:AH53" si="24">B4</f>
        <v>2018</v>
      </c>
      <c r="C53" s="140">
        <f t="shared" si="24"/>
        <v>2019</v>
      </c>
      <c r="D53" s="140">
        <f t="shared" si="24"/>
        <v>2020</v>
      </c>
      <c r="E53" s="140">
        <f t="shared" si="24"/>
        <v>2021</v>
      </c>
      <c r="F53" s="140">
        <f t="shared" si="24"/>
        <v>2022</v>
      </c>
      <c r="G53" s="140">
        <f t="shared" si="24"/>
        <v>2023</v>
      </c>
      <c r="H53" s="140">
        <f t="shared" si="24"/>
        <v>2024</v>
      </c>
      <c r="I53" s="140">
        <f t="shared" si="24"/>
        <v>2025</v>
      </c>
      <c r="J53" s="140">
        <f t="shared" si="24"/>
        <v>2026</v>
      </c>
      <c r="K53" s="140">
        <f t="shared" si="24"/>
        <v>2027</v>
      </c>
      <c r="L53" s="140">
        <f t="shared" si="24"/>
        <v>2028</v>
      </c>
      <c r="M53" s="140">
        <f t="shared" si="24"/>
        <v>2029</v>
      </c>
      <c r="N53" s="140">
        <f t="shared" si="24"/>
        <v>2030</v>
      </c>
      <c r="O53" s="140">
        <f t="shared" si="24"/>
        <v>2031</v>
      </c>
      <c r="P53" s="140">
        <f t="shared" si="24"/>
        <v>2032</v>
      </c>
      <c r="Q53" s="140">
        <f t="shared" si="24"/>
        <v>2033</v>
      </c>
      <c r="R53" s="140">
        <f t="shared" si="24"/>
        <v>2034</v>
      </c>
      <c r="S53" s="140">
        <f t="shared" si="24"/>
        <v>2035</v>
      </c>
      <c r="T53" s="140">
        <f t="shared" si="24"/>
        <v>2036</v>
      </c>
      <c r="U53" s="140">
        <f t="shared" si="24"/>
        <v>2037</v>
      </c>
      <c r="V53" s="140">
        <f t="shared" si="24"/>
        <v>2038</v>
      </c>
      <c r="W53" s="140">
        <f t="shared" si="24"/>
        <v>2039</v>
      </c>
      <c r="X53" s="140">
        <f t="shared" si="24"/>
        <v>2040</v>
      </c>
      <c r="Y53" s="140">
        <f t="shared" si="24"/>
        <v>2041</v>
      </c>
      <c r="Z53" s="140">
        <f t="shared" si="24"/>
        <v>2042</v>
      </c>
      <c r="AA53" s="140">
        <f t="shared" si="24"/>
        <v>2043</v>
      </c>
      <c r="AB53" s="140">
        <f t="shared" si="24"/>
        <v>2044</v>
      </c>
      <c r="AC53" s="140">
        <f t="shared" si="24"/>
        <v>2045</v>
      </c>
      <c r="AD53" s="140">
        <f t="shared" si="24"/>
        <v>2046</v>
      </c>
      <c r="AE53" s="140">
        <f t="shared" si="24"/>
        <v>2047</v>
      </c>
      <c r="AF53" s="140">
        <f t="shared" si="24"/>
        <v>2048</v>
      </c>
      <c r="AG53" s="140">
        <f t="shared" si="24"/>
        <v>2049</v>
      </c>
      <c r="AH53" s="140">
        <f t="shared" si="24"/>
        <v>2050</v>
      </c>
    </row>
    <row r="54" spans="1:34" x14ac:dyDescent="0.2">
      <c r="A54" s="130" t="s">
        <v>89</v>
      </c>
      <c r="B54" s="141"/>
      <c r="C54" s="141"/>
      <c r="D54" s="141"/>
      <c r="E54" s="141"/>
      <c r="F54" s="141"/>
      <c r="G54" s="141"/>
      <c r="H54" s="141"/>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row>
    <row r="55" spans="1:34" x14ac:dyDescent="0.2">
      <c r="A55" s="130" t="s">
        <v>90</v>
      </c>
      <c r="B55" s="141"/>
      <c r="C55" s="141"/>
      <c r="D55" s="141"/>
      <c r="E55" s="141"/>
      <c r="F55" s="141"/>
      <c r="G55" s="141"/>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row>
    <row r="56" spans="1:34" x14ac:dyDescent="0.2">
      <c r="A56" s="130" t="s">
        <v>91</v>
      </c>
      <c r="B56" s="141"/>
      <c r="C56" s="141"/>
      <c r="D56" s="141"/>
      <c r="E56" s="141"/>
      <c r="F56" s="141"/>
      <c r="G56" s="141"/>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row>
    <row r="57" spans="1:34" x14ac:dyDescent="0.2">
      <c r="A57" s="130" t="s">
        <v>92</v>
      </c>
      <c r="B57" s="141"/>
      <c r="C57" s="141"/>
      <c r="D57" s="141"/>
      <c r="E57" s="141"/>
      <c r="F57" s="141"/>
      <c r="G57" s="141"/>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row>
    <row r="58" spans="1:34" x14ac:dyDescent="0.2">
      <c r="A58" s="130" t="s">
        <v>93</v>
      </c>
      <c r="B58" s="141"/>
      <c r="C58" s="141"/>
      <c r="D58" s="141"/>
      <c r="E58" s="141"/>
      <c r="F58" s="141"/>
      <c r="G58" s="141"/>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row>
    <row r="59" spans="1:34" x14ac:dyDescent="0.2">
      <c r="A59" s="130" t="s">
        <v>94</v>
      </c>
      <c r="B59" s="141"/>
      <c r="C59" s="141"/>
      <c r="D59" s="141"/>
      <c r="E59" s="141"/>
      <c r="F59" s="141"/>
      <c r="G59" s="141"/>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row>
    <row r="60" spans="1:34" x14ac:dyDescent="0.2">
      <c r="A60" s="130" t="s">
        <v>95</v>
      </c>
      <c r="B60" s="141"/>
      <c r="C60" s="141"/>
      <c r="D60" s="141"/>
      <c r="E60" s="141"/>
      <c r="F60" s="141"/>
      <c r="G60" s="141"/>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row>
    <row r="61" spans="1:34" x14ac:dyDescent="0.2">
      <c r="A61" s="130" t="s">
        <v>96</v>
      </c>
      <c r="B61" s="141"/>
      <c r="C61" s="141"/>
      <c r="D61" s="141"/>
      <c r="E61" s="141"/>
      <c r="F61" s="141"/>
      <c r="G61" s="141"/>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row>
    <row r="62" spans="1:34" x14ac:dyDescent="0.2">
      <c r="A62" s="130" t="s">
        <v>97</v>
      </c>
      <c r="B62" s="141"/>
      <c r="C62" s="141"/>
      <c r="D62" s="141"/>
      <c r="E62" s="141"/>
      <c r="F62" s="141"/>
      <c r="G62" s="141"/>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row>
    <row r="63" spans="1:34" x14ac:dyDescent="0.2">
      <c r="A63" s="130" t="s">
        <v>98</v>
      </c>
      <c r="B63" s="141"/>
      <c r="C63" s="141"/>
      <c r="D63" s="141"/>
      <c r="E63" s="141"/>
      <c r="F63" s="141"/>
      <c r="G63" s="141"/>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row>
    <row r="64" spans="1:34" x14ac:dyDescent="0.2">
      <c r="A64" s="130" t="s">
        <v>99</v>
      </c>
      <c r="B64" s="141"/>
      <c r="C64" s="141"/>
      <c r="D64" s="141"/>
      <c r="E64" s="141"/>
      <c r="F64" s="141"/>
      <c r="G64" s="141"/>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row>
    <row r="65" spans="1:34" x14ac:dyDescent="0.2">
      <c r="A65" s="130" t="s">
        <v>100</v>
      </c>
      <c r="B65" s="141"/>
      <c r="C65" s="141"/>
      <c r="D65" s="141"/>
      <c r="E65" s="141"/>
      <c r="F65" s="141"/>
      <c r="G65" s="141"/>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row>
    <row r="66" spans="1:34" ht="12" thickBot="1" x14ac:dyDescent="0.25">
      <c r="A66" s="130" t="s">
        <v>134</v>
      </c>
      <c r="B66" s="141"/>
      <c r="C66" s="141"/>
      <c r="D66" s="141"/>
      <c r="E66" s="141"/>
      <c r="F66" s="141"/>
      <c r="G66" s="141"/>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row>
    <row r="67" spans="1:34" x14ac:dyDescent="0.2">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row>
    <row r="68" spans="1:34" ht="12" thickBot="1" x14ac:dyDescent="0.25">
      <c r="A68" s="130" t="s">
        <v>124</v>
      </c>
    </row>
    <row r="69" spans="1:34" ht="12" thickBot="1" x14ac:dyDescent="0.25">
      <c r="A69" s="128" t="s">
        <v>74</v>
      </c>
      <c r="B69" s="140">
        <f t="shared" ref="B69:AH69" si="25">B4</f>
        <v>2018</v>
      </c>
      <c r="C69" s="140">
        <f t="shared" si="25"/>
        <v>2019</v>
      </c>
      <c r="D69" s="140">
        <f t="shared" si="25"/>
        <v>2020</v>
      </c>
      <c r="E69" s="140">
        <f t="shared" si="25"/>
        <v>2021</v>
      </c>
      <c r="F69" s="140">
        <f t="shared" si="25"/>
        <v>2022</v>
      </c>
      <c r="G69" s="140">
        <f t="shared" si="25"/>
        <v>2023</v>
      </c>
      <c r="H69" s="140">
        <f t="shared" si="25"/>
        <v>2024</v>
      </c>
      <c r="I69" s="140">
        <f t="shared" si="25"/>
        <v>2025</v>
      </c>
      <c r="J69" s="140">
        <f t="shared" si="25"/>
        <v>2026</v>
      </c>
      <c r="K69" s="140">
        <f t="shared" si="25"/>
        <v>2027</v>
      </c>
      <c r="L69" s="140">
        <f t="shared" si="25"/>
        <v>2028</v>
      </c>
      <c r="M69" s="140">
        <f t="shared" si="25"/>
        <v>2029</v>
      </c>
      <c r="N69" s="140">
        <f t="shared" si="25"/>
        <v>2030</v>
      </c>
      <c r="O69" s="140">
        <f t="shared" si="25"/>
        <v>2031</v>
      </c>
      <c r="P69" s="140">
        <f t="shared" si="25"/>
        <v>2032</v>
      </c>
      <c r="Q69" s="140">
        <f t="shared" si="25"/>
        <v>2033</v>
      </c>
      <c r="R69" s="140">
        <f t="shared" si="25"/>
        <v>2034</v>
      </c>
      <c r="S69" s="140">
        <f t="shared" si="25"/>
        <v>2035</v>
      </c>
      <c r="T69" s="140">
        <f t="shared" si="25"/>
        <v>2036</v>
      </c>
      <c r="U69" s="140">
        <f t="shared" si="25"/>
        <v>2037</v>
      </c>
      <c r="V69" s="140">
        <f t="shared" si="25"/>
        <v>2038</v>
      </c>
      <c r="W69" s="140">
        <f t="shared" si="25"/>
        <v>2039</v>
      </c>
      <c r="X69" s="140">
        <f t="shared" si="25"/>
        <v>2040</v>
      </c>
      <c r="Y69" s="140">
        <f t="shared" si="25"/>
        <v>2041</v>
      </c>
      <c r="Z69" s="140">
        <f t="shared" si="25"/>
        <v>2042</v>
      </c>
      <c r="AA69" s="140">
        <f t="shared" si="25"/>
        <v>2043</v>
      </c>
      <c r="AB69" s="140">
        <f t="shared" si="25"/>
        <v>2044</v>
      </c>
      <c r="AC69" s="140">
        <f t="shared" si="25"/>
        <v>2045</v>
      </c>
      <c r="AD69" s="140">
        <f t="shared" si="25"/>
        <v>2046</v>
      </c>
      <c r="AE69" s="140">
        <f t="shared" si="25"/>
        <v>2047</v>
      </c>
      <c r="AF69" s="140">
        <f t="shared" si="25"/>
        <v>2048</v>
      </c>
      <c r="AG69" s="140">
        <f t="shared" si="25"/>
        <v>2049</v>
      </c>
      <c r="AH69" s="140">
        <f t="shared" si="25"/>
        <v>2050</v>
      </c>
    </row>
    <row r="70" spans="1:34" x14ac:dyDescent="0.2">
      <c r="A70" s="130" t="s">
        <v>89</v>
      </c>
      <c r="B70" s="141"/>
      <c r="C70" s="141"/>
      <c r="D70" s="141"/>
      <c r="E70" s="141"/>
      <c r="F70" s="141"/>
      <c r="G70" s="141"/>
      <c r="H70" s="141"/>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row>
    <row r="71" spans="1:34" x14ac:dyDescent="0.2">
      <c r="A71" s="130" t="s">
        <v>90</v>
      </c>
      <c r="B71" s="141"/>
      <c r="C71" s="141"/>
      <c r="D71" s="141"/>
      <c r="E71" s="141"/>
      <c r="F71" s="141"/>
      <c r="G71" s="141"/>
      <c r="H71" s="141"/>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row>
    <row r="72" spans="1:34" x14ac:dyDescent="0.2">
      <c r="A72" s="130" t="s">
        <v>91</v>
      </c>
      <c r="B72" s="141"/>
      <c r="C72" s="141"/>
      <c r="D72" s="141"/>
      <c r="E72" s="141"/>
      <c r="F72" s="141"/>
      <c r="G72" s="141"/>
      <c r="H72" s="141"/>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row>
    <row r="73" spans="1:34" x14ac:dyDescent="0.2">
      <c r="A73" s="130" t="s">
        <v>92</v>
      </c>
      <c r="B73" s="141"/>
      <c r="C73" s="141"/>
      <c r="D73" s="141"/>
      <c r="E73" s="141"/>
      <c r="F73" s="141"/>
      <c r="G73" s="141"/>
      <c r="H73" s="141"/>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row>
    <row r="74" spans="1:34" x14ac:dyDescent="0.2">
      <c r="A74" s="130" t="s">
        <v>93</v>
      </c>
      <c r="B74" s="141"/>
      <c r="C74" s="141"/>
      <c r="D74" s="141"/>
      <c r="E74" s="141"/>
      <c r="F74" s="141"/>
      <c r="G74" s="141"/>
      <c r="H74" s="141"/>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row>
    <row r="75" spans="1:34" x14ac:dyDescent="0.2">
      <c r="A75" s="130" t="s">
        <v>94</v>
      </c>
      <c r="B75" s="141"/>
      <c r="C75" s="141"/>
      <c r="D75" s="141"/>
      <c r="E75" s="141"/>
      <c r="F75" s="141"/>
      <c r="G75" s="141"/>
      <c r="H75" s="141"/>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row>
    <row r="76" spans="1:34" x14ac:dyDescent="0.2">
      <c r="A76" s="130" t="s">
        <v>95</v>
      </c>
      <c r="B76" s="141"/>
      <c r="C76" s="141"/>
      <c r="D76" s="141"/>
      <c r="E76" s="141"/>
      <c r="F76" s="141"/>
      <c r="G76" s="141"/>
      <c r="H76" s="141"/>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row>
    <row r="77" spans="1:34" x14ac:dyDescent="0.2">
      <c r="A77" s="130" t="s">
        <v>96</v>
      </c>
      <c r="B77" s="141"/>
      <c r="C77" s="141"/>
      <c r="D77" s="141"/>
      <c r="E77" s="141"/>
      <c r="F77" s="141"/>
      <c r="G77" s="141"/>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row>
    <row r="78" spans="1:34" x14ac:dyDescent="0.2">
      <c r="A78" s="130" t="s">
        <v>97</v>
      </c>
      <c r="B78" s="141"/>
      <c r="C78" s="141"/>
      <c r="D78" s="141"/>
      <c r="E78" s="141"/>
      <c r="F78" s="141"/>
      <c r="G78" s="141"/>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row>
    <row r="79" spans="1:34" x14ac:dyDescent="0.2">
      <c r="A79" s="130" t="s">
        <v>98</v>
      </c>
      <c r="B79" s="141"/>
      <c r="C79" s="141"/>
      <c r="D79" s="141"/>
      <c r="E79" s="141"/>
      <c r="F79" s="141"/>
      <c r="G79" s="141"/>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row>
    <row r="80" spans="1:34" x14ac:dyDescent="0.2">
      <c r="A80" s="130" t="s">
        <v>99</v>
      </c>
      <c r="B80" s="141"/>
      <c r="C80" s="141"/>
      <c r="D80" s="141"/>
      <c r="E80" s="141"/>
      <c r="F80" s="141"/>
      <c r="G80" s="141"/>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row>
    <row r="81" spans="1:34" x14ac:dyDescent="0.2">
      <c r="A81" s="130" t="s">
        <v>100</v>
      </c>
      <c r="B81" s="141"/>
      <c r="C81" s="141"/>
      <c r="D81" s="141"/>
      <c r="E81" s="141"/>
      <c r="F81" s="141"/>
      <c r="G81" s="141"/>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row>
    <row r="82" spans="1:34" ht="12" thickBot="1" x14ac:dyDescent="0.25">
      <c r="A82" s="130" t="s">
        <v>134</v>
      </c>
      <c r="B82" s="141">
        <f t="shared" ref="B82:AE82" si="26">SUM(B70:B81)</f>
        <v>0</v>
      </c>
      <c r="C82" s="141">
        <f t="shared" si="26"/>
        <v>0</v>
      </c>
      <c r="D82" s="141">
        <f t="shared" si="26"/>
        <v>0</v>
      </c>
      <c r="E82" s="141">
        <f t="shared" si="26"/>
        <v>0</v>
      </c>
      <c r="F82" s="141">
        <f t="shared" si="26"/>
        <v>0</v>
      </c>
      <c r="G82" s="141">
        <f t="shared" si="26"/>
        <v>0</v>
      </c>
      <c r="H82" s="85">
        <f t="shared" si="26"/>
        <v>0</v>
      </c>
      <c r="I82" s="85">
        <f t="shared" si="26"/>
        <v>0</v>
      </c>
      <c r="J82" s="85">
        <f t="shared" si="26"/>
        <v>0</v>
      </c>
      <c r="K82" s="85">
        <f t="shared" si="26"/>
        <v>0</v>
      </c>
      <c r="L82" s="85">
        <f t="shared" si="26"/>
        <v>0</v>
      </c>
      <c r="M82" s="85">
        <f t="shared" si="26"/>
        <v>0</v>
      </c>
      <c r="N82" s="85">
        <f t="shared" si="26"/>
        <v>0</v>
      </c>
      <c r="O82" s="85">
        <f t="shared" si="26"/>
        <v>0</v>
      </c>
      <c r="P82" s="85">
        <f t="shared" si="26"/>
        <v>0</v>
      </c>
      <c r="Q82" s="85">
        <f t="shared" si="26"/>
        <v>0</v>
      </c>
      <c r="R82" s="85">
        <f t="shared" si="26"/>
        <v>0</v>
      </c>
      <c r="S82" s="85">
        <f t="shared" si="26"/>
        <v>0</v>
      </c>
      <c r="T82" s="85">
        <f t="shared" si="26"/>
        <v>0</v>
      </c>
      <c r="U82" s="85">
        <f t="shared" si="26"/>
        <v>0</v>
      </c>
      <c r="V82" s="85">
        <f t="shared" si="26"/>
        <v>0</v>
      </c>
      <c r="W82" s="85">
        <f t="shared" si="26"/>
        <v>0</v>
      </c>
      <c r="X82" s="85">
        <f t="shared" si="26"/>
        <v>0</v>
      </c>
      <c r="Y82" s="85">
        <f t="shared" si="26"/>
        <v>0</v>
      </c>
      <c r="Z82" s="85">
        <f t="shared" si="26"/>
        <v>0</v>
      </c>
      <c r="AA82" s="85">
        <f t="shared" si="26"/>
        <v>0</v>
      </c>
      <c r="AB82" s="85">
        <f t="shared" si="26"/>
        <v>0</v>
      </c>
      <c r="AC82" s="85">
        <f t="shared" si="26"/>
        <v>0</v>
      </c>
      <c r="AD82" s="85">
        <f t="shared" si="26"/>
        <v>0</v>
      </c>
      <c r="AE82" s="85">
        <f t="shared" si="26"/>
        <v>0</v>
      </c>
      <c r="AF82" s="85">
        <f>SUM(AF70:AF81)</f>
        <v>0</v>
      </c>
      <c r="AG82" s="85">
        <f>SUM(AG70:AG81)</f>
        <v>0</v>
      </c>
      <c r="AH82" s="85">
        <f>SUM(AH70:AH81)</f>
        <v>0</v>
      </c>
    </row>
    <row r="83" spans="1:34" x14ac:dyDescent="0.2">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row>
    <row r="84" spans="1:34" ht="12" thickBot="1" x14ac:dyDescent="0.25">
      <c r="A84" s="130" t="s">
        <v>137</v>
      </c>
    </row>
    <row r="85" spans="1:34" ht="12" thickBot="1" x14ac:dyDescent="0.25">
      <c r="A85" s="128" t="s">
        <v>74</v>
      </c>
      <c r="B85" s="140">
        <f>B4</f>
        <v>2018</v>
      </c>
      <c r="C85" s="140">
        <f t="shared" ref="C85:AH85" si="27">C4</f>
        <v>2019</v>
      </c>
      <c r="D85" s="140">
        <f t="shared" si="27"/>
        <v>2020</v>
      </c>
      <c r="E85" s="140">
        <f t="shared" si="27"/>
        <v>2021</v>
      </c>
      <c r="F85" s="140">
        <f t="shared" si="27"/>
        <v>2022</v>
      </c>
      <c r="G85" s="140">
        <f t="shared" si="27"/>
        <v>2023</v>
      </c>
      <c r="H85" s="140">
        <f t="shared" si="27"/>
        <v>2024</v>
      </c>
      <c r="I85" s="140">
        <f t="shared" si="27"/>
        <v>2025</v>
      </c>
      <c r="J85" s="140">
        <f t="shared" si="27"/>
        <v>2026</v>
      </c>
      <c r="K85" s="140">
        <f t="shared" si="27"/>
        <v>2027</v>
      </c>
      <c r="L85" s="140">
        <f t="shared" si="27"/>
        <v>2028</v>
      </c>
      <c r="M85" s="140">
        <f t="shared" si="27"/>
        <v>2029</v>
      </c>
      <c r="N85" s="140">
        <f t="shared" si="27"/>
        <v>2030</v>
      </c>
      <c r="O85" s="140">
        <f t="shared" si="27"/>
        <v>2031</v>
      </c>
      <c r="P85" s="140">
        <f t="shared" si="27"/>
        <v>2032</v>
      </c>
      <c r="Q85" s="140">
        <f t="shared" si="27"/>
        <v>2033</v>
      </c>
      <c r="R85" s="140">
        <f t="shared" si="27"/>
        <v>2034</v>
      </c>
      <c r="S85" s="140">
        <f t="shared" si="27"/>
        <v>2035</v>
      </c>
      <c r="T85" s="140">
        <f t="shared" si="27"/>
        <v>2036</v>
      </c>
      <c r="U85" s="140">
        <f t="shared" si="27"/>
        <v>2037</v>
      </c>
      <c r="V85" s="140">
        <f t="shared" si="27"/>
        <v>2038</v>
      </c>
      <c r="W85" s="140">
        <f t="shared" si="27"/>
        <v>2039</v>
      </c>
      <c r="X85" s="140">
        <f t="shared" si="27"/>
        <v>2040</v>
      </c>
      <c r="Y85" s="140">
        <f t="shared" si="27"/>
        <v>2041</v>
      </c>
      <c r="Z85" s="140">
        <f t="shared" si="27"/>
        <v>2042</v>
      </c>
      <c r="AA85" s="140">
        <f t="shared" si="27"/>
        <v>2043</v>
      </c>
      <c r="AB85" s="140">
        <f t="shared" si="27"/>
        <v>2044</v>
      </c>
      <c r="AC85" s="140">
        <f t="shared" si="27"/>
        <v>2045</v>
      </c>
      <c r="AD85" s="140">
        <f t="shared" si="27"/>
        <v>2046</v>
      </c>
      <c r="AE85" s="140">
        <f t="shared" si="27"/>
        <v>2047</v>
      </c>
      <c r="AF85" s="140">
        <f t="shared" si="27"/>
        <v>2048</v>
      </c>
      <c r="AG85" s="140">
        <f t="shared" si="27"/>
        <v>2049</v>
      </c>
      <c r="AH85" s="140">
        <f t="shared" si="27"/>
        <v>2050</v>
      </c>
    </row>
    <row r="86" spans="1:34" x14ac:dyDescent="0.2">
      <c r="A86" s="130" t="s">
        <v>89</v>
      </c>
    </row>
    <row r="87" spans="1:34" x14ac:dyDescent="0.2">
      <c r="A87" s="130" t="s">
        <v>90</v>
      </c>
    </row>
    <row r="88" spans="1:34" x14ac:dyDescent="0.2">
      <c r="A88" s="130" t="s">
        <v>91</v>
      </c>
    </row>
    <row r="89" spans="1:34" x14ac:dyDescent="0.2">
      <c r="A89" s="130" t="s">
        <v>92</v>
      </c>
    </row>
    <row r="90" spans="1:34" x14ac:dyDescent="0.2">
      <c r="A90" s="130" t="s">
        <v>93</v>
      </c>
    </row>
    <row r="91" spans="1:34" x14ac:dyDescent="0.2">
      <c r="A91" s="130" t="s">
        <v>94</v>
      </c>
    </row>
    <row r="92" spans="1:34" x14ac:dyDescent="0.2">
      <c r="A92" s="130" t="s">
        <v>95</v>
      </c>
    </row>
    <row r="93" spans="1:34" x14ac:dyDescent="0.2">
      <c r="A93" s="130" t="s">
        <v>96</v>
      </c>
    </row>
    <row r="94" spans="1:34" x14ac:dyDescent="0.2">
      <c r="A94" s="130" t="s">
        <v>97</v>
      </c>
    </row>
    <row r="95" spans="1:34" x14ac:dyDescent="0.2">
      <c r="A95" s="130" t="s">
        <v>98</v>
      </c>
    </row>
    <row r="96" spans="1:34" x14ac:dyDescent="0.2">
      <c r="A96" s="130" t="s">
        <v>99</v>
      </c>
    </row>
    <row r="97" spans="1:34" x14ac:dyDescent="0.2">
      <c r="A97" s="130" t="s">
        <v>100</v>
      </c>
    </row>
    <row r="98" spans="1:34" ht="12" thickBot="1" x14ac:dyDescent="0.25">
      <c r="A98" s="130" t="s">
        <v>134</v>
      </c>
    </row>
    <row r="99" spans="1:34" x14ac:dyDescent="0.2">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74FD-2D00-4944-8169-3A555B12DBA1}">
  <dimension ref="A3:AI97"/>
  <sheetViews>
    <sheetView topLeftCell="A3" workbookViewId="0">
      <pane xSplit="1" ySplit="2" topLeftCell="D5" activePane="bottomRight" state="frozen"/>
      <selection activeCell="B4" sqref="B4"/>
      <selection pane="topRight" activeCell="B4" sqref="B4"/>
      <selection pane="bottomLeft" activeCell="B4" sqref="B4"/>
      <selection pane="bottomRight" activeCell="B4" sqref="B4"/>
    </sheetView>
  </sheetViews>
  <sheetFormatPr defaultColWidth="8" defaultRowHeight="11.25" x14ac:dyDescent="0.2"/>
  <cols>
    <col min="1" max="1" width="18.7109375" style="130" customWidth="1"/>
    <col min="2" max="34" width="12.85546875" style="130" customWidth="1"/>
    <col min="35" max="16384" width="8" style="130"/>
  </cols>
  <sheetData>
    <row r="3" spans="1:35" s="53" customFormat="1" ht="16.5" customHeight="1" thickBot="1" x14ac:dyDescent="0.25">
      <c r="A3" s="143" t="s">
        <v>138</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80"/>
    </row>
    <row r="4" spans="1:35" ht="12" thickBot="1" x14ac:dyDescent="0.25">
      <c r="A4" s="128" t="s">
        <v>74</v>
      </c>
      <c r="B4" s="129">
        <v>2018</v>
      </c>
      <c r="C4" s="129">
        <v>2019</v>
      </c>
      <c r="D4" s="129">
        <v>2020</v>
      </c>
      <c r="E4" s="129">
        <v>2021</v>
      </c>
      <c r="F4" s="129">
        <v>2022</v>
      </c>
      <c r="G4" s="129">
        <v>2023</v>
      </c>
      <c r="H4" s="129">
        <v>2024</v>
      </c>
      <c r="I4" s="129">
        <v>2025</v>
      </c>
      <c r="J4" s="129">
        <v>2026</v>
      </c>
      <c r="K4" s="129">
        <v>2027</v>
      </c>
      <c r="L4" s="129">
        <v>2028</v>
      </c>
      <c r="M4" s="129">
        <v>2029</v>
      </c>
      <c r="N4" s="129">
        <v>2030</v>
      </c>
      <c r="O4" s="129">
        <v>2031</v>
      </c>
      <c r="P4" s="129">
        <v>2032</v>
      </c>
      <c r="Q4" s="129">
        <v>2033</v>
      </c>
      <c r="R4" s="129">
        <v>2034</v>
      </c>
      <c r="S4" s="129">
        <v>2035</v>
      </c>
      <c r="T4" s="129">
        <v>2036</v>
      </c>
      <c r="U4" s="129">
        <v>2037</v>
      </c>
      <c r="V4" s="129">
        <v>2038</v>
      </c>
      <c r="W4" s="129">
        <v>2039</v>
      </c>
      <c r="X4" s="129">
        <v>2040</v>
      </c>
      <c r="Y4" s="129">
        <v>2041</v>
      </c>
      <c r="Z4" s="129">
        <v>2042</v>
      </c>
      <c r="AA4" s="129">
        <v>2043</v>
      </c>
      <c r="AB4" s="129">
        <v>2044</v>
      </c>
      <c r="AC4" s="129">
        <v>2045</v>
      </c>
      <c r="AD4" s="129">
        <v>2046</v>
      </c>
      <c r="AE4" s="129">
        <v>2047</v>
      </c>
      <c r="AF4" s="129">
        <v>2048</v>
      </c>
      <c r="AG4" s="129">
        <v>2049</v>
      </c>
      <c r="AH4" s="129">
        <v>2050</v>
      </c>
    </row>
    <row r="5" spans="1:35" x14ac:dyDescent="0.2">
      <c r="A5" s="130" t="s">
        <v>75</v>
      </c>
      <c r="B5" s="131">
        <v>0</v>
      </c>
      <c r="C5" s="131">
        <f t="shared" ref="C5:AH5" si="0">B12</f>
        <v>150.04969600000001</v>
      </c>
      <c r="D5" s="131">
        <f t="shared" si="0"/>
        <v>116.10702823600002</v>
      </c>
      <c r="E5" s="131">
        <f t="shared" si="0"/>
        <v>102.33098678000002</v>
      </c>
      <c r="F5" s="131">
        <f t="shared" si="0"/>
        <v>102.70082758000001</v>
      </c>
      <c r="G5" s="131">
        <f t="shared" si="0"/>
        <v>93.123007548000004</v>
      </c>
      <c r="H5" s="131">
        <f t="shared" si="0"/>
        <v>105.655063056</v>
      </c>
      <c r="I5" s="131">
        <f t="shared" si="0"/>
        <v>101.67293432800001</v>
      </c>
      <c r="J5" s="131">
        <f t="shared" si="0"/>
        <v>101.0965638584</v>
      </c>
      <c r="K5" s="131">
        <f t="shared" si="0"/>
        <v>100.84967927407999</v>
      </c>
      <c r="L5" s="131">
        <f t="shared" si="0"/>
        <v>100.47944961289599</v>
      </c>
      <c r="M5" s="131">
        <f t="shared" si="0"/>
        <v>101.95073802587521</v>
      </c>
      <c r="N5" s="131">
        <f t="shared" si="0"/>
        <v>101.20987301985026</v>
      </c>
      <c r="O5" s="131">
        <f t="shared" si="0"/>
        <v>101.11726075822028</v>
      </c>
      <c r="P5" s="131">
        <f t="shared" si="0"/>
        <v>101.12140013818434</v>
      </c>
      <c r="Q5" s="131">
        <f t="shared" si="0"/>
        <v>101.17574431100522</v>
      </c>
      <c r="R5" s="131">
        <f t="shared" si="0"/>
        <v>101.31500325062707</v>
      </c>
      <c r="S5" s="131">
        <f t="shared" si="0"/>
        <v>101.18785629557743</v>
      </c>
      <c r="T5" s="131">
        <f t="shared" si="0"/>
        <v>101.18345295072285</v>
      </c>
      <c r="U5" s="131">
        <f t="shared" si="0"/>
        <v>101.19669138922339</v>
      </c>
      <c r="V5" s="131">
        <f t="shared" si="0"/>
        <v>101.21174963943119</v>
      </c>
      <c r="W5" s="131">
        <f t="shared" si="0"/>
        <v>101.21895070511638</v>
      </c>
      <c r="X5" s="131">
        <f t="shared" si="0"/>
        <v>101.19974019601425</v>
      </c>
      <c r="Y5" s="131">
        <f t="shared" si="0"/>
        <v>101.20211697610162</v>
      </c>
      <c r="Z5" s="131">
        <f t="shared" si="0"/>
        <v>101.20584978117738</v>
      </c>
      <c r="AA5" s="131">
        <f t="shared" si="0"/>
        <v>101.20768145956816</v>
      </c>
      <c r="AB5" s="131">
        <f t="shared" si="0"/>
        <v>101.20686782359556</v>
      </c>
      <c r="AC5" s="131">
        <f t="shared" si="0"/>
        <v>101.2044512472914</v>
      </c>
      <c r="AD5" s="131">
        <f t="shared" si="0"/>
        <v>101.20539345754682</v>
      </c>
      <c r="AE5" s="131">
        <f t="shared" si="0"/>
        <v>101.20604875383586</v>
      </c>
      <c r="AF5" s="131">
        <f t="shared" si="0"/>
        <v>101.20608854836755</v>
      </c>
      <c r="AG5" s="131">
        <f t="shared" si="0"/>
        <v>101.20576996612745</v>
      </c>
      <c r="AH5" s="131">
        <f t="shared" si="0"/>
        <v>101.20555039463383</v>
      </c>
    </row>
    <row r="6" spans="1:35" x14ac:dyDescent="0.2">
      <c r="A6" s="130" t="s">
        <v>47</v>
      </c>
      <c r="B6" s="131">
        <f t="shared" ref="B6:H6" si="1">B33</f>
        <v>1826.4852080000001</v>
      </c>
      <c r="C6" s="131">
        <f t="shared" si="1"/>
        <v>1787.3758642600003</v>
      </c>
      <c r="D6" s="131">
        <f t="shared" si="1"/>
        <v>825.54912356800014</v>
      </c>
      <c r="E6" s="131">
        <f t="shared" si="1"/>
        <v>988.23997811200002</v>
      </c>
      <c r="F6" s="131">
        <f t="shared" si="1"/>
        <v>1435.1394863399998</v>
      </c>
      <c r="G6" s="131">
        <f t="shared" si="1"/>
        <v>1631.3767506480003</v>
      </c>
      <c r="H6" s="131">
        <f t="shared" si="1"/>
        <v>1705.3549491840004</v>
      </c>
      <c r="I6" s="113">
        <f t="shared" ref="I6:AH6" si="2">MROUND(FORECAST(I9,C6:H6,C9:H9),5)</f>
        <v>1730</v>
      </c>
      <c r="J6" s="113">
        <f t="shared" si="2"/>
        <v>1800</v>
      </c>
      <c r="K6" s="113">
        <f t="shared" si="2"/>
        <v>1795</v>
      </c>
      <c r="L6" s="113">
        <f t="shared" si="2"/>
        <v>1800</v>
      </c>
      <c r="M6" s="113">
        <f t="shared" si="2"/>
        <v>1810</v>
      </c>
      <c r="N6" s="113">
        <f t="shared" si="2"/>
        <v>1820</v>
      </c>
      <c r="O6" s="113">
        <f t="shared" si="2"/>
        <v>1830</v>
      </c>
      <c r="P6" s="113">
        <f t="shared" si="2"/>
        <v>1840</v>
      </c>
      <c r="Q6" s="113">
        <f t="shared" si="2"/>
        <v>1850</v>
      </c>
      <c r="R6" s="113">
        <f t="shared" si="2"/>
        <v>1860</v>
      </c>
      <c r="S6" s="113">
        <f t="shared" si="2"/>
        <v>1870</v>
      </c>
      <c r="T6" s="113">
        <f t="shared" si="2"/>
        <v>1880</v>
      </c>
      <c r="U6" s="113">
        <f t="shared" si="2"/>
        <v>1890</v>
      </c>
      <c r="V6" s="113">
        <f t="shared" si="2"/>
        <v>1900</v>
      </c>
      <c r="W6" s="113">
        <f t="shared" si="2"/>
        <v>1910</v>
      </c>
      <c r="X6" s="113">
        <f t="shared" si="2"/>
        <v>1920</v>
      </c>
      <c r="Y6" s="113">
        <f t="shared" si="2"/>
        <v>1930</v>
      </c>
      <c r="Z6" s="113">
        <f t="shared" si="2"/>
        <v>1940</v>
      </c>
      <c r="AA6" s="113">
        <f t="shared" si="2"/>
        <v>1950</v>
      </c>
      <c r="AB6" s="113">
        <f t="shared" si="2"/>
        <v>1960</v>
      </c>
      <c r="AC6" s="113">
        <f t="shared" si="2"/>
        <v>1970</v>
      </c>
      <c r="AD6" s="113">
        <f t="shared" si="2"/>
        <v>1980</v>
      </c>
      <c r="AE6" s="113">
        <f t="shared" si="2"/>
        <v>1995</v>
      </c>
      <c r="AF6" s="113">
        <f t="shared" si="2"/>
        <v>2005</v>
      </c>
      <c r="AG6" s="113">
        <f t="shared" si="2"/>
        <v>2015</v>
      </c>
      <c r="AH6" s="113">
        <f t="shared" si="2"/>
        <v>2030</v>
      </c>
    </row>
    <row r="7" spans="1:35" x14ac:dyDescent="0.2">
      <c r="A7" s="130" t="s">
        <v>49</v>
      </c>
      <c r="B7" s="131">
        <f>annual_data!$L8*264.172/1000</f>
        <v>954.13642960000016</v>
      </c>
      <c r="C7" s="131">
        <f t="shared" ref="C7:H7" si="3">C49</f>
        <v>1036.3192821120001</v>
      </c>
      <c r="D7" s="131">
        <f t="shared" si="3"/>
        <v>360.66082300000005</v>
      </c>
      <c r="E7" s="131">
        <f t="shared" si="3"/>
        <v>298.00001711600004</v>
      </c>
      <c r="F7" s="131">
        <f t="shared" si="3"/>
        <v>615.94343520000018</v>
      </c>
      <c r="G7" s="131">
        <f t="shared" si="3"/>
        <v>708.04990889200008</v>
      </c>
      <c r="H7" s="131">
        <f t="shared" si="3"/>
        <v>715.550280316</v>
      </c>
      <c r="I7" s="131">
        <f t="shared" ref="I7:AH7" si="4">AVERAGE(C7:H7)</f>
        <v>622.42062443933344</v>
      </c>
      <c r="J7" s="131">
        <f t="shared" si="4"/>
        <v>553.43751482722234</v>
      </c>
      <c r="K7" s="131">
        <f t="shared" si="4"/>
        <v>585.56696346509273</v>
      </c>
      <c r="L7" s="131">
        <f t="shared" si="4"/>
        <v>633.49478785660813</v>
      </c>
      <c r="M7" s="131">
        <f t="shared" si="4"/>
        <v>636.42001329937614</v>
      </c>
      <c r="N7" s="131">
        <f t="shared" si="4"/>
        <v>624.48169736727209</v>
      </c>
      <c r="O7" s="131">
        <f t="shared" si="4"/>
        <v>609.30360020915077</v>
      </c>
      <c r="P7" s="131">
        <f t="shared" si="4"/>
        <v>607.11742950412031</v>
      </c>
      <c r="Q7" s="131">
        <f t="shared" si="4"/>
        <v>616.06408195027007</v>
      </c>
      <c r="R7" s="131">
        <f t="shared" si="4"/>
        <v>621.1469350311329</v>
      </c>
      <c r="S7" s="131">
        <f t="shared" si="4"/>
        <v>619.08895956022036</v>
      </c>
      <c r="T7" s="131">
        <f t="shared" si="4"/>
        <v>616.20045060369432</v>
      </c>
      <c r="U7" s="131">
        <f t="shared" si="4"/>
        <v>614.82024280976475</v>
      </c>
      <c r="V7" s="131">
        <f t="shared" si="4"/>
        <v>615.73968324320037</v>
      </c>
      <c r="W7" s="131">
        <f t="shared" si="4"/>
        <v>617.17672553304715</v>
      </c>
      <c r="X7" s="131">
        <f t="shared" si="4"/>
        <v>617.36216613017666</v>
      </c>
      <c r="Y7" s="131">
        <f t="shared" si="4"/>
        <v>616.73137131335068</v>
      </c>
      <c r="Z7" s="131">
        <f t="shared" si="4"/>
        <v>616.3384399388724</v>
      </c>
      <c r="AA7" s="131">
        <f t="shared" si="4"/>
        <v>616.36143816140202</v>
      </c>
      <c r="AB7" s="131">
        <f t="shared" si="4"/>
        <v>616.6183040533416</v>
      </c>
      <c r="AC7" s="131">
        <f t="shared" si="4"/>
        <v>616.76474085503173</v>
      </c>
      <c r="AD7" s="131">
        <f t="shared" si="4"/>
        <v>616.69607674202916</v>
      </c>
      <c r="AE7" s="131">
        <f t="shared" si="4"/>
        <v>616.5850618440046</v>
      </c>
      <c r="AF7" s="131">
        <f t="shared" si="4"/>
        <v>616.56067693244688</v>
      </c>
      <c r="AG7" s="131">
        <f t="shared" si="4"/>
        <v>616.59771643137594</v>
      </c>
      <c r="AH7" s="131">
        <f t="shared" si="4"/>
        <v>616.63709614303832</v>
      </c>
    </row>
    <row r="8" spans="1:35" x14ac:dyDescent="0.2">
      <c r="A8" s="130" t="s">
        <v>123</v>
      </c>
      <c r="B8" s="131">
        <f t="shared" ref="B8:Q8" si="5">SUM(B5:B7)</f>
        <v>2780.6216376000002</v>
      </c>
      <c r="C8" s="131">
        <f t="shared" si="5"/>
        <v>2973.7448423720007</v>
      </c>
      <c r="D8" s="131">
        <f t="shared" si="5"/>
        <v>1302.3169748040002</v>
      </c>
      <c r="E8" s="131">
        <f t="shared" si="5"/>
        <v>1388.5709820080001</v>
      </c>
      <c r="F8" s="131">
        <f t="shared" si="5"/>
        <v>2153.7837491200003</v>
      </c>
      <c r="G8" s="131">
        <f t="shared" si="5"/>
        <v>2432.5496670880002</v>
      </c>
      <c r="H8" s="131">
        <f t="shared" si="5"/>
        <v>2526.5602925560006</v>
      </c>
      <c r="I8" s="131">
        <f>SUM(I5:I7)</f>
        <v>2454.0935587673334</v>
      </c>
      <c r="J8" s="131">
        <f t="shared" si="5"/>
        <v>2454.5340786856223</v>
      </c>
      <c r="K8" s="131">
        <f t="shared" si="5"/>
        <v>2481.4166427391729</v>
      </c>
      <c r="L8" s="131">
        <f t="shared" si="5"/>
        <v>2533.9742374695043</v>
      </c>
      <c r="M8" s="131">
        <f t="shared" si="5"/>
        <v>2548.3707513252511</v>
      </c>
      <c r="N8" s="131">
        <f t="shared" si="5"/>
        <v>2545.6915703871223</v>
      </c>
      <c r="O8" s="131">
        <f t="shared" si="5"/>
        <v>2540.420860967371</v>
      </c>
      <c r="P8" s="131">
        <f t="shared" si="5"/>
        <v>2548.2388296423046</v>
      </c>
      <c r="Q8" s="131">
        <f t="shared" si="5"/>
        <v>2567.2398262612751</v>
      </c>
      <c r="R8" s="131">
        <f>SUM(R5:R7)</f>
        <v>2582.46193828176</v>
      </c>
      <c r="S8" s="131">
        <f>SUM(S5:S7)</f>
        <v>2590.2768158557978</v>
      </c>
      <c r="T8" s="131">
        <f t="shared" ref="T8:AF8" si="6">SUM(T5:T7)</f>
        <v>2597.383903554417</v>
      </c>
      <c r="U8" s="131">
        <f t="shared" si="6"/>
        <v>2606.0169341989881</v>
      </c>
      <c r="V8" s="131">
        <f t="shared" si="6"/>
        <v>2616.9514328826317</v>
      </c>
      <c r="W8" s="131">
        <f t="shared" si="6"/>
        <v>2628.3956762381636</v>
      </c>
      <c r="X8" s="131">
        <f t="shared" si="6"/>
        <v>2638.5619063261911</v>
      </c>
      <c r="Y8" s="131">
        <f t="shared" si="6"/>
        <v>2647.9334882894523</v>
      </c>
      <c r="Z8" s="131">
        <f t="shared" si="6"/>
        <v>2657.5442897200501</v>
      </c>
      <c r="AA8" s="131">
        <f t="shared" si="6"/>
        <v>2667.56911962097</v>
      </c>
      <c r="AB8" s="131">
        <f t="shared" si="6"/>
        <v>2677.825171876937</v>
      </c>
      <c r="AC8" s="131">
        <f t="shared" si="6"/>
        <v>2687.9691921023232</v>
      </c>
      <c r="AD8" s="131">
        <f t="shared" si="6"/>
        <v>2697.9014701995761</v>
      </c>
      <c r="AE8" s="131">
        <f t="shared" si="6"/>
        <v>2712.7911105978405</v>
      </c>
      <c r="AF8" s="131">
        <f t="shared" si="6"/>
        <v>2722.7667654808142</v>
      </c>
      <c r="AG8" s="131">
        <f>SUM(AG5:AG7)</f>
        <v>2732.8034863975031</v>
      </c>
      <c r="AH8" s="131">
        <f>SUM(AH5:AH7)</f>
        <v>2747.8426465376724</v>
      </c>
    </row>
    <row r="9" spans="1:35" x14ac:dyDescent="0.2">
      <c r="A9" s="130" t="s">
        <v>124</v>
      </c>
      <c r="B9" s="131">
        <f t="shared" ref="B9:H9" si="7">B81</f>
        <v>2401.8518239999999</v>
      </c>
      <c r="C9" s="131">
        <f t="shared" si="7"/>
        <v>2480.2226745520002</v>
      </c>
      <c r="D9" s="131">
        <f t="shared" si="7"/>
        <v>1061.0653300400002</v>
      </c>
      <c r="E9" s="131">
        <f t="shared" si="7"/>
        <v>1154.3692954080002</v>
      </c>
      <c r="F9" s="131">
        <f t="shared" si="7"/>
        <v>1948.0191216320004</v>
      </c>
      <c r="G9" s="131">
        <f t="shared" si="7"/>
        <v>2213.449901212</v>
      </c>
      <c r="H9" s="131">
        <f t="shared" si="7"/>
        <v>2313.693136676</v>
      </c>
      <c r="I9" s="113">
        <f>MROUND(FORECAST(I17,$B9:H9,$B17:H17),5)*0.99</f>
        <v>2376</v>
      </c>
      <c r="J9" s="113">
        <f>MROUND(FORECAST(J17,$B9:I9,$B17:I17),5)*1.02</f>
        <v>2478.6</v>
      </c>
      <c r="K9" s="113">
        <f>MROUND(FORECAST(K17,$B9:J9,$B17:J17),5)*1.01</f>
        <v>2479.5500000000002</v>
      </c>
      <c r="L9" s="113">
        <f>MROUND(FORECAST(L17,$B9:K9,$B17:K17),5)</f>
        <v>2475</v>
      </c>
      <c r="M9" s="113">
        <f>MROUND(FORECAST(M17,$B9:L9,$B17:L17),5)</f>
        <v>2495</v>
      </c>
      <c r="N9" s="113">
        <f>MROUND(FORECAST(N17,$B9:M9,$B17:M17),5)</f>
        <v>2515</v>
      </c>
      <c r="O9" s="113">
        <f>MROUND(FORECAST(O17,$B9:N9,$B17:N17),5)</f>
        <v>2530</v>
      </c>
      <c r="P9" s="113">
        <f>MROUND(FORECAST(P17,$B9:O9,$B17:O17),5)</f>
        <v>2550</v>
      </c>
      <c r="Q9" s="113">
        <f>MROUND(FORECAST(Q17,$B9:P9,$B17:P17),5)</f>
        <v>2570</v>
      </c>
      <c r="R9" s="113">
        <f>MROUND(FORECAST(R17,$B9:Q9,$B17:Q17),5)</f>
        <v>2585</v>
      </c>
      <c r="S9" s="113">
        <f>MROUND(FORECAST(S17,$B9:R9,$B17:R17),5)</f>
        <v>2605</v>
      </c>
      <c r="T9" s="113">
        <f>MROUND(FORECAST(T17,$B9:S9,$B17:S17),5)</f>
        <v>2625</v>
      </c>
      <c r="U9" s="113">
        <f>MROUND(FORECAST(U17,$B9:T9,$B17:T17),5)</f>
        <v>2645</v>
      </c>
      <c r="V9" s="113">
        <f>MROUND(FORECAST(V17,$B9:U9,$B17:U17),5)</f>
        <v>2665</v>
      </c>
      <c r="W9" s="113">
        <f>MROUND(FORECAST(W17,$B9:V9,$B17:V17),5)</f>
        <v>2685</v>
      </c>
      <c r="X9" s="113">
        <f>MROUND(FORECAST(X17,$B9:W9,$B17:W17),5)</f>
        <v>2705</v>
      </c>
      <c r="Y9" s="113">
        <f>MROUND(FORECAST(Y17,$B9:X9,$B17:X17),5)</f>
        <v>2725</v>
      </c>
      <c r="Z9" s="113">
        <f>MROUND(FORECAST(Z17,$B9:Y9,$B17:Y17),5)</f>
        <v>2745</v>
      </c>
      <c r="AA9" s="113">
        <f>MROUND(FORECAST(AA17,$B9:Z9,$B17:Z17),5)</f>
        <v>2765</v>
      </c>
      <c r="AB9" s="113">
        <f>MROUND(FORECAST(AB17,$B9:AA9,$B17:AA17),5)</f>
        <v>2785</v>
      </c>
      <c r="AC9" s="113">
        <f>MROUND(FORECAST(AC17,$B9:AB9,$B17:AB17),5)</f>
        <v>2805</v>
      </c>
      <c r="AD9" s="113">
        <f>MROUND(FORECAST(AD17,$B9:AC9,$B17:AC17),5)</f>
        <v>2825</v>
      </c>
      <c r="AE9" s="113">
        <f>MROUND(FORECAST(AE17,$B9:AD9,$B17:AD17),5)</f>
        <v>2850</v>
      </c>
      <c r="AF9" s="113">
        <f>MROUND(FORECAST(AF17,$B9:AE9,$B17:AE17),5)</f>
        <v>2870</v>
      </c>
      <c r="AG9" s="113">
        <f>MROUND(FORECAST(AG17,$B9:AF9,$B17:AF17),5)</f>
        <v>2890</v>
      </c>
      <c r="AH9" s="113">
        <f>MROUND(FORECAST(AH17,$B9:AG9,$B17:AG17),5)</f>
        <v>2915</v>
      </c>
    </row>
    <row r="10" spans="1:35" x14ac:dyDescent="0.2">
      <c r="A10" s="130" t="s">
        <v>48</v>
      </c>
      <c r="B10" s="131">
        <f>annual_data!$K8*0.264172</f>
        <v>372.50893719999999</v>
      </c>
      <c r="C10" s="131">
        <f t="shared" ref="C10:H10" si="8">C65</f>
        <v>330.38169253199999</v>
      </c>
      <c r="D10" s="131">
        <f t="shared" si="8"/>
        <v>138.920657984</v>
      </c>
      <c r="E10" s="131">
        <f t="shared" si="8"/>
        <v>131.50085902000001</v>
      </c>
      <c r="F10" s="131">
        <f t="shared" si="8"/>
        <v>112.64161994000003</v>
      </c>
      <c r="G10" s="131">
        <f t="shared" si="8"/>
        <v>112.500023748</v>
      </c>
      <c r="H10" s="131">
        <f t="shared" si="8"/>
        <v>114.81892556400003</v>
      </c>
      <c r="I10" s="131">
        <f t="shared" ref="I10:AH10" si="9">AVERAGE(D10:H10)</f>
        <v>122.0764172512</v>
      </c>
      <c r="J10" s="131">
        <f t="shared" si="9"/>
        <v>118.70756910464002</v>
      </c>
      <c r="K10" s="131">
        <f t="shared" si="9"/>
        <v>116.14891112156802</v>
      </c>
      <c r="L10" s="131">
        <f t="shared" si="9"/>
        <v>116.85036935788162</v>
      </c>
      <c r="M10" s="131">
        <f t="shared" si="9"/>
        <v>117.72043847985792</v>
      </c>
      <c r="N10" s="131">
        <f t="shared" si="9"/>
        <v>118.30074106302951</v>
      </c>
      <c r="O10" s="131">
        <f t="shared" si="9"/>
        <v>117.54560582539541</v>
      </c>
      <c r="P10" s="131">
        <f t="shared" si="9"/>
        <v>117.3132131695465</v>
      </c>
      <c r="Q10" s="131">
        <f t="shared" si="9"/>
        <v>117.54607357914219</v>
      </c>
      <c r="R10" s="131">
        <f t="shared" si="9"/>
        <v>117.68521442339429</v>
      </c>
      <c r="S10" s="131">
        <f t="shared" si="9"/>
        <v>117.67816961210158</v>
      </c>
      <c r="T10" s="131">
        <f t="shared" si="9"/>
        <v>117.553655321916</v>
      </c>
      <c r="U10" s="131">
        <f t="shared" si="9"/>
        <v>117.55526522122011</v>
      </c>
      <c r="V10" s="131">
        <f t="shared" si="9"/>
        <v>117.60367563155482</v>
      </c>
      <c r="W10" s="131">
        <f t="shared" si="9"/>
        <v>117.61519604203735</v>
      </c>
      <c r="X10" s="131">
        <f t="shared" si="9"/>
        <v>117.60119236576597</v>
      </c>
      <c r="Y10" s="131">
        <f t="shared" si="9"/>
        <v>117.58579691649886</v>
      </c>
      <c r="Z10" s="131">
        <f t="shared" si="9"/>
        <v>117.59222523541544</v>
      </c>
      <c r="AA10" s="131">
        <f t="shared" si="9"/>
        <v>117.5996172382545</v>
      </c>
      <c r="AB10" s="131">
        <f t="shared" si="9"/>
        <v>117.59880555959441</v>
      </c>
      <c r="AC10" s="131">
        <f t="shared" si="9"/>
        <v>117.59552746310585</v>
      </c>
      <c r="AD10" s="131">
        <f t="shared" si="9"/>
        <v>117.59439448257383</v>
      </c>
      <c r="AE10" s="131">
        <f t="shared" si="9"/>
        <v>117.5961139957888</v>
      </c>
      <c r="AF10" s="131">
        <f t="shared" si="9"/>
        <v>117.59689174786347</v>
      </c>
      <c r="AG10" s="131">
        <f t="shared" si="9"/>
        <v>117.59634664978527</v>
      </c>
      <c r="AH10" s="131">
        <f t="shared" si="9"/>
        <v>117.59585486782343</v>
      </c>
    </row>
    <row r="11" spans="1:35" x14ac:dyDescent="0.2">
      <c r="A11" s="130" t="s">
        <v>126</v>
      </c>
      <c r="B11" s="131">
        <f>B9+B10</f>
        <v>2774.3607611999996</v>
      </c>
      <c r="C11" s="131">
        <f t="shared" ref="C11:H11" si="10">C9+C10</f>
        <v>2810.6043670839999</v>
      </c>
      <c r="D11" s="131">
        <f t="shared" si="10"/>
        <v>1199.9859880240001</v>
      </c>
      <c r="E11" s="131">
        <f t="shared" si="10"/>
        <v>1285.8701544280002</v>
      </c>
      <c r="F11" s="131">
        <f t="shared" si="10"/>
        <v>2060.6607415720005</v>
      </c>
      <c r="G11" s="131">
        <f t="shared" si="10"/>
        <v>2325.9499249599999</v>
      </c>
      <c r="H11" s="131">
        <f t="shared" si="10"/>
        <v>2428.51206224</v>
      </c>
      <c r="I11" s="131">
        <f t="shared" ref="I11:AF11" si="11">SUM(I9:I10)</f>
        <v>2498.0764172511999</v>
      </c>
      <c r="J11" s="131">
        <f t="shared" si="11"/>
        <v>2597.3075691046397</v>
      </c>
      <c r="K11" s="131">
        <f t="shared" si="11"/>
        <v>2595.698911121568</v>
      </c>
      <c r="L11" s="131">
        <f t="shared" si="11"/>
        <v>2591.8503693578814</v>
      </c>
      <c r="M11" s="131">
        <f t="shared" si="11"/>
        <v>2612.7204384798579</v>
      </c>
      <c r="N11" s="131">
        <f t="shared" si="11"/>
        <v>2633.3007410630294</v>
      </c>
      <c r="O11" s="131">
        <f t="shared" si="11"/>
        <v>2647.5456058253953</v>
      </c>
      <c r="P11" s="131">
        <f t="shared" si="11"/>
        <v>2667.3132131695465</v>
      </c>
      <c r="Q11" s="131">
        <f t="shared" si="11"/>
        <v>2687.5460735791421</v>
      </c>
      <c r="R11" s="131">
        <f t="shared" si="11"/>
        <v>2702.6852144233944</v>
      </c>
      <c r="S11" s="131">
        <f t="shared" si="11"/>
        <v>2722.6781696121016</v>
      </c>
      <c r="T11" s="131">
        <f t="shared" si="11"/>
        <v>2742.5536553219158</v>
      </c>
      <c r="U11" s="131">
        <f t="shared" si="11"/>
        <v>2762.55526522122</v>
      </c>
      <c r="V11" s="131">
        <f t="shared" si="11"/>
        <v>2782.6036756315548</v>
      </c>
      <c r="W11" s="131">
        <f t="shared" si="11"/>
        <v>2802.6151960420375</v>
      </c>
      <c r="X11" s="131">
        <f t="shared" si="11"/>
        <v>2822.6011923657661</v>
      </c>
      <c r="Y11" s="131">
        <f t="shared" si="11"/>
        <v>2842.585796916499</v>
      </c>
      <c r="Z11" s="131">
        <f t="shared" si="11"/>
        <v>2862.5922252354153</v>
      </c>
      <c r="AA11" s="131">
        <f t="shared" si="11"/>
        <v>2882.5996172382547</v>
      </c>
      <c r="AB11" s="131">
        <f t="shared" si="11"/>
        <v>2902.5988055595944</v>
      </c>
      <c r="AC11" s="131">
        <f t="shared" si="11"/>
        <v>2922.595527463106</v>
      </c>
      <c r="AD11" s="131">
        <f t="shared" si="11"/>
        <v>2942.594394482574</v>
      </c>
      <c r="AE11" s="131">
        <f t="shared" si="11"/>
        <v>2967.596113995789</v>
      </c>
      <c r="AF11" s="131">
        <f t="shared" si="11"/>
        <v>2987.5968917478635</v>
      </c>
      <c r="AG11" s="131">
        <f>SUM(AG9:AG10)</f>
        <v>3007.5963466497851</v>
      </c>
      <c r="AH11" s="131">
        <f>SUM(AH9:AH10)</f>
        <v>3032.5958548678236</v>
      </c>
    </row>
    <row r="12" spans="1:35" x14ac:dyDescent="0.2">
      <c r="A12" s="130" t="s">
        <v>127</v>
      </c>
      <c r="B12" s="131">
        <f t="shared" ref="B12:AF12" si="12">B96</f>
        <v>150.04969600000001</v>
      </c>
      <c r="C12" s="131">
        <f t="shared" si="12"/>
        <v>116.10702823600002</v>
      </c>
      <c r="D12" s="131">
        <f t="shared" si="12"/>
        <v>102.33098678000002</v>
      </c>
      <c r="E12" s="131">
        <f t="shared" si="12"/>
        <v>102.70082758000001</v>
      </c>
      <c r="F12" s="131">
        <f t="shared" si="12"/>
        <v>93.123007548000004</v>
      </c>
      <c r="G12" s="131">
        <f t="shared" si="12"/>
        <v>105.655063056</v>
      </c>
      <c r="H12" s="131">
        <f t="shared" si="12"/>
        <v>101.67293432800001</v>
      </c>
      <c r="I12" s="131">
        <f t="shared" si="12"/>
        <v>101.0965638584</v>
      </c>
      <c r="J12" s="131">
        <f t="shared" si="12"/>
        <v>100.84967927407999</v>
      </c>
      <c r="K12" s="131">
        <f t="shared" si="12"/>
        <v>100.47944961289599</v>
      </c>
      <c r="L12" s="131">
        <f t="shared" si="12"/>
        <v>101.95073802587521</v>
      </c>
      <c r="M12" s="131">
        <f t="shared" si="12"/>
        <v>101.20987301985026</v>
      </c>
      <c r="N12" s="131">
        <f t="shared" si="12"/>
        <v>101.11726075822028</v>
      </c>
      <c r="O12" s="131">
        <f t="shared" si="12"/>
        <v>101.12140013818434</v>
      </c>
      <c r="P12" s="131">
        <f t="shared" si="12"/>
        <v>101.17574431100522</v>
      </c>
      <c r="Q12" s="131">
        <f t="shared" si="12"/>
        <v>101.31500325062707</v>
      </c>
      <c r="R12" s="131">
        <f t="shared" si="12"/>
        <v>101.18785629557743</v>
      </c>
      <c r="S12" s="131">
        <f t="shared" si="12"/>
        <v>101.18345295072285</v>
      </c>
      <c r="T12" s="131">
        <f t="shared" si="12"/>
        <v>101.19669138922339</v>
      </c>
      <c r="U12" s="131">
        <f t="shared" si="12"/>
        <v>101.21174963943119</v>
      </c>
      <c r="V12" s="131">
        <f t="shared" si="12"/>
        <v>101.21895070511638</v>
      </c>
      <c r="W12" s="131">
        <f t="shared" si="12"/>
        <v>101.19974019601425</v>
      </c>
      <c r="X12" s="131">
        <f t="shared" si="12"/>
        <v>101.20211697610162</v>
      </c>
      <c r="Y12" s="131">
        <f t="shared" si="12"/>
        <v>101.20584978117738</v>
      </c>
      <c r="Z12" s="131">
        <f t="shared" si="12"/>
        <v>101.20768145956816</v>
      </c>
      <c r="AA12" s="131">
        <f t="shared" si="12"/>
        <v>101.20686782359556</v>
      </c>
      <c r="AB12" s="131">
        <f t="shared" si="12"/>
        <v>101.2044512472914</v>
      </c>
      <c r="AC12" s="131">
        <f t="shared" si="12"/>
        <v>101.20539345754682</v>
      </c>
      <c r="AD12" s="131">
        <f t="shared" si="12"/>
        <v>101.20604875383586</v>
      </c>
      <c r="AE12" s="131">
        <f t="shared" si="12"/>
        <v>101.20608854836755</v>
      </c>
      <c r="AF12" s="131">
        <f t="shared" si="12"/>
        <v>101.20576996612745</v>
      </c>
      <c r="AG12" s="131">
        <f>AG96</f>
        <v>101.20555039463383</v>
      </c>
      <c r="AH12" s="131">
        <f>AH96</f>
        <v>101.2057702241023</v>
      </c>
    </row>
    <row r="13" spans="1:35" x14ac:dyDescent="0.2">
      <c r="B13" s="134"/>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row>
    <row r="14" spans="1:35" x14ac:dyDescent="0.2">
      <c r="A14" s="130" t="s">
        <v>139</v>
      </c>
      <c r="B14" s="135"/>
      <c r="C14" s="135"/>
      <c r="D14" s="135"/>
      <c r="E14" s="144">
        <f>(E9/D9-1)</f>
        <v>8.7934232442108629E-2</v>
      </c>
      <c r="F14" s="144">
        <f>(F9/E9-1)</f>
        <v>0.6875181359908682</v>
      </c>
      <c r="G14" s="144">
        <f t="shared" ref="G14:AH14" si="13">(G9/F9-1)</f>
        <v>0.13625676289954924</v>
      </c>
      <c r="H14" s="144">
        <f t="shared" si="13"/>
        <v>4.5288233272915202E-2</v>
      </c>
      <c r="I14" s="144">
        <f t="shared" si="13"/>
        <v>2.692961410324024E-2</v>
      </c>
      <c r="J14" s="144">
        <f t="shared" si="13"/>
        <v>4.318181818181821E-2</v>
      </c>
      <c r="K14" s="144">
        <f t="shared" si="13"/>
        <v>3.8328088437022956E-4</v>
      </c>
      <c r="L14" s="144">
        <f t="shared" si="13"/>
        <v>-1.8350103849489319E-3</v>
      </c>
      <c r="M14" s="144">
        <f t="shared" si="13"/>
        <v>8.0808080808081328E-3</v>
      </c>
      <c r="N14" s="144">
        <f t="shared" si="13"/>
        <v>8.0160320641282645E-3</v>
      </c>
      <c r="O14" s="144">
        <f t="shared" si="13"/>
        <v>5.9642147117295874E-3</v>
      </c>
      <c r="P14" s="144">
        <f t="shared" si="13"/>
        <v>7.905138339920903E-3</v>
      </c>
      <c r="Q14" s="144">
        <f t="shared" si="13"/>
        <v>7.8431372549019329E-3</v>
      </c>
      <c r="R14" s="144">
        <f t="shared" si="13"/>
        <v>5.8365758754863606E-3</v>
      </c>
      <c r="S14" s="144">
        <f t="shared" si="13"/>
        <v>7.7369439071566237E-3</v>
      </c>
      <c r="T14" s="144">
        <f t="shared" si="13"/>
        <v>7.6775431861804133E-3</v>
      </c>
      <c r="U14" s="144">
        <f t="shared" si="13"/>
        <v>7.6190476190476364E-3</v>
      </c>
      <c r="V14" s="144">
        <f t="shared" si="13"/>
        <v>7.5614366729679361E-3</v>
      </c>
      <c r="W14" s="144">
        <f t="shared" si="13"/>
        <v>7.5046904315196894E-3</v>
      </c>
      <c r="X14" s="144">
        <f t="shared" si="13"/>
        <v>7.4487895716945918E-3</v>
      </c>
      <c r="Y14" s="144">
        <f t="shared" si="13"/>
        <v>7.3937153419594281E-3</v>
      </c>
      <c r="Z14" s="144">
        <f t="shared" si="13"/>
        <v>7.3394495412844041E-3</v>
      </c>
      <c r="AA14" s="144">
        <f t="shared" si="13"/>
        <v>7.2859744990891873E-3</v>
      </c>
      <c r="AB14" s="144">
        <f t="shared" si="13"/>
        <v>7.2332730560578096E-3</v>
      </c>
      <c r="AC14" s="144">
        <f t="shared" si="13"/>
        <v>7.1813285457809073E-3</v>
      </c>
      <c r="AD14" s="144">
        <f t="shared" si="13"/>
        <v>7.1301247771835552E-3</v>
      </c>
      <c r="AE14" s="144">
        <f t="shared" si="13"/>
        <v>8.8495575221239076E-3</v>
      </c>
      <c r="AF14" s="144">
        <f t="shared" si="13"/>
        <v>7.0175438596491446E-3</v>
      </c>
      <c r="AG14" s="144">
        <f t="shared" si="13"/>
        <v>6.9686411149825211E-3</v>
      </c>
      <c r="AH14" s="144">
        <f t="shared" si="13"/>
        <v>8.65051903114189E-3</v>
      </c>
    </row>
    <row r="15" spans="1:35" ht="12" thickBot="1" x14ac:dyDescent="0.25">
      <c r="A15" s="130" t="s">
        <v>140</v>
      </c>
      <c r="B15" s="145">
        <f>SAF!B9/'Jet Fuel'!B9</f>
        <v>0</v>
      </c>
      <c r="C15" s="145">
        <f>SAF!C9/'Jet Fuel'!C9</f>
        <v>0</v>
      </c>
      <c r="D15" s="145">
        <f>SAF!D9/'Jet Fuel'!D9</f>
        <v>0</v>
      </c>
      <c r="E15" s="145">
        <f>SAF!E9/'Jet Fuel'!E9</f>
        <v>0</v>
      </c>
      <c r="F15" s="145">
        <f>SAF!F9/'Jet Fuel'!F9</f>
        <v>0</v>
      </c>
      <c r="G15" s="145">
        <f>SAF!G9/'Jet Fuel'!G9</f>
        <v>0</v>
      </c>
      <c r="H15" s="145">
        <f>SAF!H9/'Jet Fuel'!H9</f>
        <v>2.5866024387317999E-3</v>
      </c>
      <c r="I15" s="145">
        <f>SAF!I9/'Jet Fuel'!I9</f>
        <v>3.4878448702997708E-2</v>
      </c>
      <c r="J15" s="145">
        <f>SAF!J9/'Jet Fuel'!J9</f>
        <v>4.342943660609791E-2</v>
      </c>
      <c r="K15" s="145">
        <f>SAF!K9/'Jet Fuel'!K9</f>
        <v>6.382206448750781E-2</v>
      </c>
      <c r="L15" s="145">
        <f>SAF!L9/'Jet Fuel'!L9</f>
        <v>0.10474747474747474</v>
      </c>
      <c r="M15" s="145">
        <f>SAF!M9/'Jet Fuel'!M9</f>
        <v>0.1031062124248497</v>
      </c>
      <c r="N15" s="145">
        <f>SAF!N9/'Jet Fuel'!N9</f>
        <v>0.1231610337972167</v>
      </c>
      <c r="O15" s="145">
        <f>SAF!O9/'Jet Fuel'!O9</f>
        <v>0.13475296442687748</v>
      </c>
      <c r="P15" s="145">
        <f>SAF!P9/'Jet Fuel'!P9</f>
        <v>0.14435294117647057</v>
      </c>
      <c r="Q15" s="145">
        <f>SAF!Q9/'Jet Fuel'!Q9</f>
        <v>0.15574902723735409</v>
      </c>
      <c r="R15" s="145">
        <f>SAF!R9/'Jet Fuel'!R9</f>
        <v>0.15484526112185687</v>
      </c>
      <c r="S15" s="145">
        <f>SAF!S9/'Jet Fuel'!S9</f>
        <v>0.15557581573896354</v>
      </c>
      <c r="T15" s="145">
        <f>SAF!T9/'Jet Fuel'!T9</f>
        <v>0.15439047619047622</v>
      </c>
      <c r="U15" s="145">
        <f>SAF!U9/'Jet Fuel'!U9</f>
        <v>0.15322306238185257</v>
      </c>
      <c r="V15" s="145">
        <f>SAF!V9/'Jet Fuel'!V9</f>
        <v>0.15207317073170734</v>
      </c>
      <c r="W15" s="145">
        <f>SAF!W9/'Jet Fuel'!W9</f>
        <v>0.15094040968342645</v>
      </c>
      <c r="X15" s="145">
        <f>SAF!X9/'Jet Fuel'!X9</f>
        <v>0.14982439926062849</v>
      </c>
      <c r="Y15" s="145">
        <f>SAF!Y9/'Jet Fuel'!Y9</f>
        <v>0.14872477064220185</v>
      </c>
      <c r="Z15" s="145">
        <f>SAF!Z9/'Jet Fuel'!Z9</f>
        <v>0.14764116575591987</v>
      </c>
      <c r="AA15" s="145">
        <f>SAF!AA9/'Jet Fuel'!AA9</f>
        <v>0.14657323688969259</v>
      </c>
      <c r="AB15" s="145">
        <f>SAF!AB9/'Jet Fuel'!AB9</f>
        <v>0.14552064631956912</v>
      </c>
      <c r="AC15" s="145">
        <f>SAF!AC9/'Jet Fuel'!AC9</f>
        <v>0.14448306595365421</v>
      </c>
      <c r="AD15" s="145">
        <f>SAF!AD9/'Jet Fuel'!AD9</f>
        <v>0.14346017699115046</v>
      </c>
      <c r="AE15" s="145">
        <f>SAF!AE9/'Jet Fuel'!AE9</f>
        <v>0.14220175438596491</v>
      </c>
      <c r="AF15" s="145">
        <f>SAF!AF9/'Jet Fuel'!AF9</f>
        <v>0.14121080139372824</v>
      </c>
      <c r="AG15" s="145">
        <f>SAF!AG9/'Jet Fuel'!AG9</f>
        <v>0.14023356401384085</v>
      </c>
      <c r="AH15" s="145">
        <f>SAF!AH9/'Jet Fuel'!AH9</f>
        <v>0.13903087478559178</v>
      </c>
    </row>
    <row r="16" spans="1:35" ht="12" thickTop="1" x14ac:dyDescent="0.2">
      <c r="A16" s="130" t="s">
        <v>141</v>
      </c>
      <c r="B16" s="136">
        <v>93337</v>
      </c>
      <c r="C16" s="131">
        <v>94132</v>
      </c>
      <c r="D16" s="131">
        <v>27979</v>
      </c>
      <c r="E16" s="131">
        <v>25889</v>
      </c>
      <c r="F16" s="131">
        <v>67823</v>
      </c>
      <c r="G16" s="131">
        <v>89835</v>
      </c>
      <c r="H16" s="131">
        <f>H17/(AVERAGE($B18:$G18))</f>
        <v>97965.12160551241</v>
      </c>
      <c r="I16" s="131">
        <f t="shared" ref="I16:AF16" si="14">I17/(AVERAGE($B18:$G18))</f>
        <v>99924.424037622666</v>
      </c>
      <c r="J16" s="131">
        <f t="shared" si="14"/>
        <v>101922.91251837512</v>
      </c>
      <c r="K16" s="131">
        <f t="shared" si="14"/>
        <v>102942.14164355888</v>
      </c>
      <c r="L16" s="131">
        <f t="shared" si="14"/>
        <v>103971.56305999447</v>
      </c>
      <c r="M16" s="131">
        <f t="shared" si="14"/>
        <v>105011.27869059441</v>
      </c>
      <c r="N16" s="131">
        <f t="shared" si="14"/>
        <v>106061.39147750035</v>
      </c>
      <c r="O16" s="131">
        <f t="shared" si="14"/>
        <v>107122.00539227536</v>
      </c>
      <c r="P16" s="131">
        <f t="shared" si="14"/>
        <v>108193.22544619812</v>
      </c>
      <c r="Q16" s="131">
        <f t="shared" si="14"/>
        <v>109275.1577006601</v>
      </c>
      <c r="R16" s="131">
        <f t="shared" si="14"/>
        <v>110367.90927766669</v>
      </c>
      <c r="S16" s="131">
        <f t="shared" si="14"/>
        <v>111471.58837044337</v>
      </c>
      <c r="T16" s="131">
        <f t="shared" si="14"/>
        <v>112586.30425414781</v>
      </c>
      <c r="U16" s="131">
        <f t="shared" si="14"/>
        <v>113712.16729668928</v>
      </c>
      <c r="V16" s="131">
        <f t="shared" si="14"/>
        <v>114849.28896965616</v>
      </c>
      <c r="W16" s="131">
        <f t="shared" si="14"/>
        <v>115997.78185935273</v>
      </c>
      <c r="X16" s="131">
        <f t="shared" si="14"/>
        <v>117157.75967794628</v>
      </c>
      <c r="Y16" s="131">
        <f t="shared" si="14"/>
        <v>118329.33727472574</v>
      </c>
      <c r="Z16" s="131">
        <f t="shared" si="14"/>
        <v>119512.63064747298</v>
      </c>
      <c r="AA16" s="131">
        <f t="shared" si="14"/>
        <v>120707.75695394773</v>
      </c>
      <c r="AB16" s="131">
        <f t="shared" si="14"/>
        <v>121914.83452348721</v>
      </c>
      <c r="AC16" s="131">
        <f t="shared" si="14"/>
        <v>123133.98286872209</v>
      </c>
      <c r="AD16" s="131">
        <f t="shared" si="14"/>
        <v>124365.3226974093</v>
      </c>
      <c r="AE16" s="131">
        <f t="shared" si="14"/>
        <v>125608.97592438338</v>
      </c>
      <c r="AF16" s="131">
        <f t="shared" si="14"/>
        <v>126865.06568362722</v>
      </c>
      <c r="AG16" s="131">
        <f>AG17/(AVERAGE($B18:$G18))</f>
        <v>128133.71634046349</v>
      </c>
      <c r="AH16" s="131">
        <f>AH17/(AVERAGE($B18:$G18))</f>
        <v>129415.05350386814</v>
      </c>
    </row>
    <row r="17" spans="1:34" x14ac:dyDescent="0.2">
      <c r="A17" s="130" t="s">
        <v>142</v>
      </c>
      <c r="B17" s="141">
        <v>228169434</v>
      </c>
      <c r="C17" s="131">
        <v>233234936</v>
      </c>
      <c r="D17" s="141">
        <v>62631876</v>
      </c>
      <c r="E17" s="141">
        <v>52366390</v>
      </c>
      <c r="F17" s="141">
        <v>168544616</v>
      </c>
      <c r="G17" s="141">
        <v>228372855</v>
      </c>
      <c r="H17" s="146">
        <f>G17*1.016</f>
        <v>232026820.68000001</v>
      </c>
      <c r="I17" s="146">
        <f>H17*1.02</f>
        <v>236667357.0936</v>
      </c>
      <c r="J17" s="146">
        <f>I17*1.02</f>
        <v>241400704.23547202</v>
      </c>
      <c r="K17" s="146">
        <f>J17*1.01</f>
        <v>243814711.27782676</v>
      </c>
      <c r="L17" s="146">
        <f t="shared" ref="L17:AH17" si="15">K17*1.01</f>
        <v>246252858.39060503</v>
      </c>
      <c r="M17" s="146">
        <f t="shared" si="15"/>
        <v>248715386.97451109</v>
      </c>
      <c r="N17" s="146">
        <f t="shared" si="15"/>
        <v>251202540.84425619</v>
      </c>
      <c r="O17" s="146">
        <f t="shared" si="15"/>
        <v>253714566.25269875</v>
      </c>
      <c r="P17" s="146">
        <f t="shared" si="15"/>
        <v>256251711.91522574</v>
      </c>
      <c r="Q17" s="146">
        <f t="shared" si="15"/>
        <v>258814229.03437799</v>
      </c>
      <c r="R17" s="146">
        <f t="shared" si="15"/>
        <v>261402371.32472178</v>
      </c>
      <c r="S17" s="146">
        <f t="shared" si="15"/>
        <v>264016395.03796899</v>
      </c>
      <c r="T17" s="146">
        <f t="shared" si="15"/>
        <v>266656558.98834869</v>
      </c>
      <c r="U17" s="146">
        <f t="shared" si="15"/>
        <v>269323124.57823217</v>
      </c>
      <c r="V17" s="146">
        <f t="shared" si="15"/>
        <v>272016355.82401448</v>
      </c>
      <c r="W17" s="146">
        <f t="shared" si="15"/>
        <v>274736519.38225466</v>
      </c>
      <c r="X17" s="146">
        <f t="shared" si="15"/>
        <v>277483884.57607722</v>
      </c>
      <c r="Y17" s="146">
        <f t="shared" si="15"/>
        <v>280258723.42183799</v>
      </c>
      <c r="Z17" s="146">
        <f t="shared" si="15"/>
        <v>283061310.65605634</v>
      </c>
      <c r="AA17" s="146">
        <f t="shared" si="15"/>
        <v>285891923.76261693</v>
      </c>
      <c r="AB17" s="146">
        <f t="shared" si="15"/>
        <v>288750843.00024313</v>
      </c>
      <c r="AC17" s="146">
        <f t="shared" si="15"/>
        <v>291638351.43024558</v>
      </c>
      <c r="AD17" s="146">
        <f t="shared" si="15"/>
        <v>294554734.94454801</v>
      </c>
      <c r="AE17" s="146">
        <f t="shared" si="15"/>
        <v>297500282.29399347</v>
      </c>
      <c r="AF17" s="146">
        <f t="shared" si="15"/>
        <v>300475285.11693341</v>
      </c>
      <c r="AG17" s="146">
        <f t="shared" si="15"/>
        <v>303480037.96810275</v>
      </c>
      <c r="AH17" s="146">
        <f t="shared" si="15"/>
        <v>306514838.3477838</v>
      </c>
    </row>
    <row r="18" spans="1:34" x14ac:dyDescent="0.2">
      <c r="A18" s="130" t="s">
        <v>143</v>
      </c>
      <c r="B18" s="147">
        <f t="shared" ref="B18:G18" si="16">B17/B16</f>
        <v>2444.5764702100987</v>
      </c>
      <c r="C18" s="147">
        <f t="shared" si="16"/>
        <v>2477.7433391407812</v>
      </c>
      <c r="D18" s="147">
        <f t="shared" si="16"/>
        <v>2238.5316129954608</v>
      </c>
      <c r="E18" s="147">
        <f t="shared" si="16"/>
        <v>2022.7274131870679</v>
      </c>
      <c r="F18" s="147">
        <f t="shared" si="16"/>
        <v>2485.0657741474133</v>
      </c>
      <c r="G18" s="147">
        <f t="shared" si="16"/>
        <v>2542.1367507096343</v>
      </c>
    </row>
    <row r="19" spans="1:34" ht="12" thickBot="1" x14ac:dyDescent="0.25">
      <c r="A19" s="130" t="s">
        <v>144</v>
      </c>
    </row>
    <row r="20" spans="1:34" ht="12" thickBot="1" x14ac:dyDescent="0.25">
      <c r="A20" s="128" t="s">
        <v>74</v>
      </c>
      <c r="B20" s="140">
        <f t="shared" ref="B20:Q20" si="17">B4</f>
        <v>2018</v>
      </c>
      <c r="C20" s="140">
        <f t="shared" si="17"/>
        <v>2019</v>
      </c>
      <c r="D20" s="140">
        <f t="shared" si="17"/>
        <v>2020</v>
      </c>
      <c r="E20" s="140">
        <f t="shared" si="17"/>
        <v>2021</v>
      </c>
      <c r="F20" s="140">
        <f t="shared" si="17"/>
        <v>2022</v>
      </c>
      <c r="G20" s="140">
        <f t="shared" si="17"/>
        <v>2023</v>
      </c>
      <c r="H20" s="140">
        <f t="shared" si="17"/>
        <v>2024</v>
      </c>
      <c r="I20" s="140">
        <f t="shared" si="17"/>
        <v>2025</v>
      </c>
      <c r="J20" s="140">
        <f t="shared" si="17"/>
        <v>2026</v>
      </c>
      <c r="K20" s="140">
        <f t="shared" si="17"/>
        <v>2027</v>
      </c>
      <c r="L20" s="140">
        <f t="shared" si="17"/>
        <v>2028</v>
      </c>
      <c r="M20" s="140">
        <f t="shared" si="17"/>
        <v>2029</v>
      </c>
      <c r="N20" s="140">
        <f t="shared" si="17"/>
        <v>2030</v>
      </c>
      <c r="O20" s="140">
        <f t="shared" si="17"/>
        <v>2031</v>
      </c>
      <c r="P20" s="140">
        <f t="shared" si="17"/>
        <v>2032</v>
      </c>
      <c r="Q20" s="140">
        <f t="shared" si="17"/>
        <v>2033</v>
      </c>
      <c r="R20" s="140">
        <f>R4</f>
        <v>2034</v>
      </c>
      <c r="S20" s="140">
        <f>S4</f>
        <v>2035</v>
      </c>
      <c r="T20" s="140">
        <f t="shared" ref="T20:AF20" si="18">T4</f>
        <v>2036</v>
      </c>
      <c r="U20" s="140">
        <f t="shared" si="18"/>
        <v>2037</v>
      </c>
      <c r="V20" s="140">
        <f t="shared" si="18"/>
        <v>2038</v>
      </c>
      <c r="W20" s="140">
        <f t="shared" si="18"/>
        <v>2039</v>
      </c>
      <c r="X20" s="140">
        <f t="shared" si="18"/>
        <v>2040</v>
      </c>
      <c r="Y20" s="140">
        <f t="shared" si="18"/>
        <v>2041</v>
      </c>
      <c r="Z20" s="140">
        <f t="shared" si="18"/>
        <v>2042</v>
      </c>
      <c r="AA20" s="140">
        <f t="shared" si="18"/>
        <v>2043</v>
      </c>
      <c r="AB20" s="140">
        <f t="shared" si="18"/>
        <v>2044</v>
      </c>
      <c r="AC20" s="140">
        <f t="shared" si="18"/>
        <v>2045</v>
      </c>
      <c r="AD20" s="140">
        <f t="shared" si="18"/>
        <v>2046</v>
      </c>
      <c r="AE20" s="140">
        <f t="shared" si="18"/>
        <v>2047</v>
      </c>
      <c r="AF20" s="140">
        <f t="shared" si="18"/>
        <v>2048</v>
      </c>
      <c r="AG20" s="140">
        <f>AG4</f>
        <v>2049</v>
      </c>
      <c r="AH20" s="140">
        <f>AH4</f>
        <v>2050</v>
      </c>
    </row>
    <row r="21" spans="1:34" x14ac:dyDescent="0.2">
      <c r="A21" s="130" t="s">
        <v>89</v>
      </c>
      <c r="B21" s="148">
        <f>monthly_data!$I40*264.172/1000000</f>
        <v>143.97373999999999</v>
      </c>
      <c r="C21" s="148">
        <f>monthly_data!$I$52*264.172/1000000</f>
        <v>132.50788268400001</v>
      </c>
      <c r="D21" s="148">
        <f>monthly_data!$I$64*264.172/1000000</f>
        <v>119.12175910000001</v>
      </c>
      <c r="E21" s="148">
        <f>monthly_data!$I$76*264.172/1000000</f>
        <v>76.240831716000002</v>
      </c>
      <c r="F21" s="148">
        <f>monthly_data!$I$88*264.172/1000000</f>
        <v>99.16964045600001</v>
      </c>
      <c r="G21" s="148">
        <f>monthly_data!$I$100*264.172/1000000</f>
        <v>119.17010257600001</v>
      </c>
      <c r="H21" s="148">
        <f>monthly_data!$I$112*264.172/1000000</f>
        <v>109.28505050800001</v>
      </c>
      <c r="I21" s="141">
        <f t="shared" ref="I21:S21" si="19">I$33*(SUM(D21:H21)/SUM(D$33:H$33))</f>
        <v>137.38458034418022</v>
      </c>
      <c r="J21" s="141">
        <f t="shared" si="19"/>
        <v>130.0715501695035</v>
      </c>
      <c r="K21" s="141">
        <f t="shared" si="19"/>
        <v>128.66620484976428</v>
      </c>
      <c r="L21" s="141">
        <f t="shared" si="19"/>
        <v>129.79384702336276</v>
      </c>
      <c r="M21" s="141">
        <f t="shared" si="19"/>
        <v>130.20022843428856</v>
      </c>
      <c r="N21" s="141">
        <f t="shared" si="19"/>
        <v>133.64654367033026</v>
      </c>
      <c r="O21" s="141">
        <f t="shared" si="19"/>
        <v>132.28281714010708</v>
      </c>
      <c r="P21" s="141">
        <f t="shared" si="19"/>
        <v>133.01435004493092</v>
      </c>
      <c r="Q21" s="141">
        <f t="shared" si="19"/>
        <v>133.95987963506442</v>
      </c>
      <c r="R21" s="141">
        <f t="shared" si="19"/>
        <v>134.79487466666464</v>
      </c>
      <c r="S21" s="141">
        <f t="shared" si="19"/>
        <v>135.71697063519264</v>
      </c>
      <c r="T21" s="141">
        <f t="shared" ref="T21:AH31" si="20">T$33*(SUM(O21:S21)/SUM(O$33:S$33))</f>
        <v>136.12600185830104</v>
      </c>
      <c r="U21" s="141">
        <f t="shared" si="20"/>
        <v>136.89535755138607</v>
      </c>
      <c r="V21" s="141">
        <f t="shared" si="20"/>
        <v>137.6723914715034</v>
      </c>
      <c r="W21" s="141">
        <f t="shared" si="20"/>
        <v>138.4151796499597</v>
      </c>
      <c r="X21" s="141">
        <f t="shared" si="20"/>
        <v>139.13923071316171</v>
      </c>
      <c r="Y21" s="141">
        <f t="shared" si="20"/>
        <v>139.82304749489705</v>
      </c>
      <c r="Z21" s="141">
        <f t="shared" si="20"/>
        <v>140.56269124072898</v>
      </c>
      <c r="AA21" s="141">
        <f t="shared" si="20"/>
        <v>141.29629730333221</v>
      </c>
      <c r="AB21" s="141">
        <f t="shared" si="20"/>
        <v>142.02108134176956</v>
      </c>
      <c r="AC21" s="141">
        <f t="shared" si="20"/>
        <v>142.74220883968687</v>
      </c>
      <c r="AD21" s="141">
        <f t="shared" si="20"/>
        <v>143.46274317091499</v>
      </c>
      <c r="AE21" s="141">
        <f t="shared" si="20"/>
        <v>144.55302231463094</v>
      </c>
      <c r="AF21" s="141">
        <f t="shared" si="20"/>
        <v>145.27864867635927</v>
      </c>
      <c r="AG21" s="141">
        <f t="shared" si="20"/>
        <v>146.0026512867683</v>
      </c>
      <c r="AH21" s="141">
        <f t="shared" si="20"/>
        <v>147.08878342251595</v>
      </c>
    </row>
    <row r="22" spans="1:34" x14ac:dyDescent="0.2">
      <c r="A22" s="130" t="s">
        <v>90</v>
      </c>
      <c r="B22" s="148">
        <f>monthly_data!$I41*264.172/1000000</f>
        <v>105.66880000000002</v>
      </c>
      <c r="C22" s="148">
        <f>monthly_data!I53*264.172/1000000</f>
        <v>134.99585458000001</v>
      </c>
      <c r="D22" s="148">
        <f>monthly_data!$I65*264.172/1000000</f>
        <v>105.05829850800002</v>
      </c>
      <c r="E22" s="148">
        <f>monthly_data!$I77*264.172/1000000</f>
        <v>48.802078592000008</v>
      </c>
      <c r="F22" s="148">
        <f>monthly_data!$I89*264.172/1000000</f>
        <v>77.597619108000004</v>
      </c>
      <c r="G22" s="148">
        <f>monthly_data!$I101*264.172/1000000</f>
        <v>104.79782491600001</v>
      </c>
      <c r="H22" s="148">
        <f>monthly_data!$I113*264.172/1000000</f>
        <v>114.45727409600002</v>
      </c>
      <c r="I22" s="141">
        <f t="shared" ref="I22:S31" si="21">I$33*(SUM(D22:H22)/SUM(D$33:H$33))</f>
        <v>118.39870577122045</v>
      </c>
      <c r="J22" s="141">
        <f t="shared" si="21"/>
        <v>111.51988083339013</v>
      </c>
      <c r="K22" s="141">
        <f t="shared" si="21"/>
        <v>113.89655064217783</v>
      </c>
      <c r="L22" s="141">
        <f t="shared" si="21"/>
        <v>117.011985638562</v>
      </c>
      <c r="M22" s="141">
        <f t="shared" si="21"/>
        <v>117.91878860231614</v>
      </c>
      <c r="N22" s="141">
        <f t="shared" si="21"/>
        <v>117.8866881821548</v>
      </c>
      <c r="O22" s="141">
        <f t="shared" si="21"/>
        <v>117.24853471849745</v>
      </c>
      <c r="P22" s="141">
        <f t="shared" si="21"/>
        <v>118.66273748448627</v>
      </c>
      <c r="Q22" s="141">
        <f t="shared" si="21"/>
        <v>119.68661088550887</v>
      </c>
      <c r="R22" s="141">
        <f t="shared" si="21"/>
        <v>120.21969938401227</v>
      </c>
      <c r="S22" s="141">
        <f t="shared" si="21"/>
        <v>120.67684631784931</v>
      </c>
      <c r="T22" s="141">
        <f t="shared" si="20"/>
        <v>121.23346228387743</v>
      </c>
      <c r="U22" s="141">
        <f t="shared" ref="U22:AH31" si="22">U$33*(SUM(P22:T22)/SUM(P$33:T$33))</f>
        <v>122.03290145293951</v>
      </c>
      <c r="V22" s="141">
        <f t="shared" si="22"/>
        <v>122.70738915678676</v>
      </c>
      <c r="W22" s="141">
        <f t="shared" si="22"/>
        <v>123.31087982099348</v>
      </c>
      <c r="X22" s="141">
        <f t="shared" si="22"/>
        <v>123.92868145421134</v>
      </c>
      <c r="Y22" s="141">
        <f t="shared" si="22"/>
        <v>124.57912593113689</v>
      </c>
      <c r="Z22" s="141">
        <f t="shared" si="22"/>
        <v>125.24863004849966</v>
      </c>
      <c r="AA22" s="141">
        <f t="shared" si="22"/>
        <v>125.89173723986197</v>
      </c>
      <c r="AB22" s="141">
        <f t="shared" si="22"/>
        <v>126.52847117198118</v>
      </c>
      <c r="AC22" s="141">
        <f t="shared" si="22"/>
        <v>127.17195797072283</v>
      </c>
      <c r="AD22" s="141">
        <f t="shared" si="22"/>
        <v>127.8206611566319</v>
      </c>
      <c r="AE22" s="141">
        <f t="shared" si="22"/>
        <v>128.79179672320984</v>
      </c>
      <c r="AF22" s="141">
        <f t="shared" si="22"/>
        <v>129.43584694531989</v>
      </c>
      <c r="AG22" s="141">
        <f t="shared" si="22"/>
        <v>130.08009071092323</v>
      </c>
      <c r="AH22" s="141">
        <f t="shared" si="22"/>
        <v>131.04864200891313</v>
      </c>
    </row>
    <row r="23" spans="1:34" x14ac:dyDescent="0.2">
      <c r="A23" s="130" t="s">
        <v>91</v>
      </c>
      <c r="B23" s="148">
        <f>monthly_data!$I42*264.172/1000000</f>
        <v>149.78552400000001</v>
      </c>
      <c r="C23" s="148">
        <f>monthly_data!I54*264.172/1000000</f>
        <v>159.22623876400002</v>
      </c>
      <c r="D23" s="148">
        <f>monthly_data!$I66*264.172/1000000</f>
        <v>101.58972014800001</v>
      </c>
      <c r="E23" s="148">
        <f>monthly_data!$I78*264.172/1000000</f>
        <v>61.663292412000011</v>
      </c>
      <c r="F23" s="148">
        <f>monthly_data!$I90*264.172/1000000</f>
        <v>93.533795008000013</v>
      </c>
      <c r="G23" s="148">
        <f>monthly_data!$I102*264.172/1000000</f>
        <v>125.95403953600001</v>
      </c>
      <c r="H23" s="148">
        <f>monthly_data!$I114*264.172/1000000</f>
        <v>124.21341022800001</v>
      </c>
      <c r="I23" s="141">
        <f t="shared" si="21"/>
        <v>133.17280680300857</v>
      </c>
      <c r="J23" s="141">
        <f t="shared" si="21"/>
        <v>129.41960378358149</v>
      </c>
      <c r="K23" s="141">
        <f t="shared" si="21"/>
        <v>131.09058029970276</v>
      </c>
      <c r="L23" s="141">
        <f t="shared" si="21"/>
        <v>133.79897153741271</v>
      </c>
      <c r="M23" s="141">
        <f t="shared" si="21"/>
        <v>133.58111098451249</v>
      </c>
      <c r="N23" s="141">
        <f t="shared" si="21"/>
        <v>134.65414589848427</v>
      </c>
      <c r="O23" s="141">
        <f t="shared" si="21"/>
        <v>134.34418558246645</v>
      </c>
      <c r="P23" s="141">
        <f t="shared" si="21"/>
        <v>135.63146874839811</v>
      </c>
      <c r="Q23" s="141">
        <f t="shared" si="21"/>
        <v>136.61739374613813</v>
      </c>
      <c r="R23" s="141">
        <f t="shared" si="21"/>
        <v>137.17821281154087</v>
      </c>
      <c r="S23" s="141">
        <f t="shared" si="21"/>
        <v>137.89733811866762</v>
      </c>
      <c r="T23" s="141">
        <f t="shared" si="20"/>
        <v>138.54453687930348</v>
      </c>
      <c r="U23" s="141">
        <f t="shared" si="22"/>
        <v>139.3862705456614</v>
      </c>
      <c r="V23" s="141">
        <f t="shared" si="22"/>
        <v>140.13744695106865</v>
      </c>
      <c r="W23" s="141">
        <f t="shared" si="22"/>
        <v>140.840922142013</v>
      </c>
      <c r="X23" s="141">
        <f t="shared" si="22"/>
        <v>141.57338710079273</v>
      </c>
      <c r="Y23" s="141">
        <f t="shared" si="22"/>
        <v>142.30856292466945</v>
      </c>
      <c r="Z23" s="141">
        <f t="shared" si="22"/>
        <v>143.06161088466578</v>
      </c>
      <c r="AA23" s="141">
        <f t="shared" si="22"/>
        <v>143.79664203190197</v>
      </c>
      <c r="AB23" s="141">
        <f t="shared" si="22"/>
        <v>144.52839431758801</v>
      </c>
      <c r="AC23" s="141">
        <f t="shared" si="22"/>
        <v>145.26589037128326</v>
      </c>
      <c r="AD23" s="141">
        <f t="shared" si="22"/>
        <v>146.00440810765281</v>
      </c>
      <c r="AE23" s="141">
        <f t="shared" si="22"/>
        <v>147.1123068058794</v>
      </c>
      <c r="AF23" s="141">
        <f t="shared" si="22"/>
        <v>147.84868812549794</v>
      </c>
      <c r="AG23" s="141">
        <f t="shared" si="22"/>
        <v>148.58534518382658</v>
      </c>
      <c r="AH23" s="141">
        <f t="shared" si="22"/>
        <v>149.69169857963914</v>
      </c>
    </row>
    <row r="24" spans="1:34" x14ac:dyDescent="0.2">
      <c r="A24" s="130" t="s">
        <v>92</v>
      </c>
      <c r="B24" s="148">
        <f>monthly_data!$I43*264.172/1000000</f>
        <v>140.01115999999999</v>
      </c>
      <c r="C24" s="148">
        <f>monthly_data!I55*264.172/1000000</f>
        <v>162.30727680000001</v>
      </c>
      <c r="D24" s="148">
        <f>monthly_data!$I67*264.172/1000000</f>
        <v>17.615781476000002</v>
      </c>
      <c r="E24" s="148">
        <f>monthly_data!$I79*264.172/1000000</f>
        <v>55.758255695999999</v>
      </c>
      <c r="F24" s="148">
        <f>monthly_data!$I91*264.172/1000000</f>
        <v>133.01667795600002</v>
      </c>
      <c r="G24" s="148">
        <f>monthly_data!$I103*264.172/1000000</f>
        <v>156.12221776400003</v>
      </c>
      <c r="H24" s="148">
        <f>monthly_data!$I115*264.172/1000000</f>
        <v>108.276970156</v>
      </c>
      <c r="I24" s="141">
        <f t="shared" si="21"/>
        <v>123.67272174293841</v>
      </c>
      <c r="J24" s="141">
        <f t="shared" si="21"/>
        <v>138.62602239043611</v>
      </c>
      <c r="K24" s="141">
        <f t="shared" si="21"/>
        <v>142.64106228717063</v>
      </c>
      <c r="L24" s="141">
        <f t="shared" si="21"/>
        <v>139.09576416876885</v>
      </c>
      <c r="M24" s="141">
        <f t="shared" si="21"/>
        <v>133.70761487431756</v>
      </c>
      <c r="N24" s="141">
        <f t="shared" si="21"/>
        <v>138.05177364788017</v>
      </c>
      <c r="O24" s="141">
        <f t="shared" si="21"/>
        <v>140.34168358830902</v>
      </c>
      <c r="P24" s="141">
        <f t="shared" si="21"/>
        <v>140.98969998478864</v>
      </c>
      <c r="Q24" s="141">
        <f t="shared" si="21"/>
        <v>140.71924088884825</v>
      </c>
      <c r="R24" s="141">
        <f t="shared" si="21"/>
        <v>141.0367895246456</v>
      </c>
      <c r="S24" s="141">
        <f t="shared" si="21"/>
        <v>142.51416096483283</v>
      </c>
      <c r="T24" s="141">
        <f t="shared" si="20"/>
        <v>143.4087525306679</v>
      </c>
      <c r="U24" s="141">
        <f t="shared" si="22"/>
        <v>144.01975666228498</v>
      </c>
      <c r="V24" s="141">
        <f t="shared" si="22"/>
        <v>144.6232653567306</v>
      </c>
      <c r="W24" s="141">
        <f t="shared" si="22"/>
        <v>145.40438349199991</v>
      </c>
      <c r="X24" s="141">
        <f t="shared" si="22"/>
        <v>146.27968386164136</v>
      </c>
      <c r="Y24" s="141">
        <f t="shared" si="22"/>
        <v>147.03264998667547</v>
      </c>
      <c r="Z24" s="141">
        <f t="shared" si="22"/>
        <v>147.75684757666016</v>
      </c>
      <c r="AA24" s="141">
        <f t="shared" si="22"/>
        <v>148.50404364934681</v>
      </c>
      <c r="AB24" s="141">
        <f t="shared" si="22"/>
        <v>149.28042619585432</v>
      </c>
      <c r="AC24" s="141">
        <f t="shared" si="22"/>
        <v>150.0558446394073</v>
      </c>
      <c r="AD24" s="141">
        <f t="shared" si="22"/>
        <v>150.81097721589018</v>
      </c>
      <c r="AE24" s="141">
        <f t="shared" si="22"/>
        <v>151.94737120999304</v>
      </c>
      <c r="AF24" s="141">
        <f t="shared" si="22"/>
        <v>152.70931701020149</v>
      </c>
      <c r="AG24" s="141">
        <f t="shared" si="22"/>
        <v>153.47426151228686</v>
      </c>
      <c r="AH24" s="141">
        <f t="shared" si="22"/>
        <v>154.61770961597503</v>
      </c>
    </row>
    <row r="25" spans="1:34" x14ac:dyDescent="0.2">
      <c r="A25" s="130" t="s">
        <v>93</v>
      </c>
      <c r="B25" s="148">
        <f>monthly_data!$I44*264.172/1000000</f>
        <v>141.860364</v>
      </c>
      <c r="C25" s="148">
        <f>monthly_data!I56*264.172/1000000</f>
        <v>162.99570903200001</v>
      </c>
      <c r="D25" s="148">
        <f>monthly_data!$I68*264.172/1000000</f>
        <v>27.546535300000006</v>
      </c>
      <c r="E25" s="148">
        <f>monthly_data!$I80*264.172/1000000</f>
        <v>58.093007832000005</v>
      </c>
      <c r="F25" s="148">
        <f>monthly_data!$I92*264.172/1000000</f>
        <v>145.79969686400003</v>
      </c>
      <c r="G25" s="148">
        <f>monthly_data!$I104*264.172/1000000</f>
        <v>166.24502463200002</v>
      </c>
      <c r="H25" s="148">
        <f>monthly_data!$I116*264.172/1000000</f>
        <v>151.158425884</v>
      </c>
      <c r="I25" s="141">
        <f t="shared" si="21"/>
        <v>144.17656135971919</v>
      </c>
      <c r="J25" s="141">
        <f t="shared" si="21"/>
        <v>159.92431401298171</v>
      </c>
      <c r="K25" s="141">
        <f t="shared" si="21"/>
        <v>165.90364870214006</v>
      </c>
      <c r="L25" s="141">
        <f t="shared" si="21"/>
        <v>163.63175440899465</v>
      </c>
      <c r="M25" s="141">
        <f t="shared" si="21"/>
        <v>160.86311627111283</v>
      </c>
      <c r="N25" s="141">
        <f t="shared" si="21"/>
        <v>161.83423597694531</v>
      </c>
      <c r="O25" s="141">
        <f t="shared" si="21"/>
        <v>164.68115644887308</v>
      </c>
      <c r="P25" s="141">
        <f t="shared" si="21"/>
        <v>165.99907208468704</v>
      </c>
      <c r="Q25" s="141">
        <f t="shared" si="21"/>
        <v>166.09530440688286</v>
      </c>
      <c r="R25" s="141">
        <f t="shared" si="21"/>
        <v>166.58137338258055</v>
      </c>
      <c r="S25" s="141">
        <f t="shared" si="21"/>
        <v>167.72906914140671</v>
      </c>
      <c r="T25" s="141">
        <f t="shared" si="20"/>
        <v>168.91260906736528</v>
      </c>
      <c r="U25" s="141">
        <f t="shared" si="22"/>
        <v>169.75805796523912</v>
      </c>
      <c r="V25" s="141">
        <f t="shared" si="22"/>
        <v>170.50750658081299</v>
      </c>
      <c r="W25" s="141">
        <f t="shared" si="22"/>
        <v>171.38970817260034</v>
      </c>
      <c r="X25" s="141">
        <f t="shared" si="22"/>
        <v>172.3523963789053</v>
      </c>
      <c r="Y25" s="141">
        <f t="shared" si="22"/>
        <v>173.2774880903475</v>
      </c>
      <c r="Z25" s="141">
        <f t="shared" si="22"/>
        <v>174.15007381618182</v>
      </c>
      <c r="AA25" s="141">
        <f t="shared" si="22"/>
        <v>175.02817577351598</v>
      </c>
      <c r="AB25" s="141">
        <f t="shared" si="22"/>
        <v>175.93241147915438</v>
      </c>
      <c r="AC25" s="141">
        <f t="shared" si="22"/>
        <v>176.84112110413059</v>
      </c>
      <c r="AD25" s="141">
        <f t="shared" si="22"/>
        <v>177.73886719193783</v>
      </c>
      <c r="AE25" s="141">
        <f t="shared" si="22"/>
        <v>179.07988219214454</v>
      </c>
      <c r="AF25" s="141">
        <f t="shared" si="22"/>
        <v>179.97605456828728</v>
      </c>
      <c r="AG25" s="141">
        <f t="shared" si="22"/>
        <v>180.87590293837982</v>
      </c>
      <c r="AH25" s="141">
        <f t="shared" si="22"/>
        <v>182.22368397687973</v>
      </c>
    </row>
    <row r="26" spans="1:34" x14ac:dyDescent="0.2">
      <c r="A26" s="130" t="s">
        <v>94</v>
      </c>
      <c r="B26" s="148">
        <f>monthly_data!$I45*264.172/1000000</f>
        <v>174.08934800000003</v>
      </c>
      <c r="C26" s="148">
        <f>monthly_data!I57*264.172/1000000</f>
        <v>184.23276028400002</v>
      </c>
      <c r="D26" s="148">
        <f>monthly_data!$I69*264.172/1000000</f>
        <v>55.991255400000007</v>
      </c>
      <c r="E26" s="148">
        <f>monthly_data!$I81*264.172/1000000</f>
        <v>90.537820356000012</v>
      </c>
      <c r="F26" s="148">
        <f>monthly_data!$I93*264.172/1000000</f>
        <v>133.32073992800002</v>
      </c>
      <c r="G26" s="148">
        <f>monthly_data!$I105*264.172/1000000</f>
        <v>156.99715542800001</v>
      </c>
      <c r="H26" s="148">
        <f>monthly_data!$I117*264.172/1000000</f>
        <v>187.78640202800003</v>
      </c>
      <c r="I26" s="141">
        <f t="shared" si="21"/>
        <v>164.08616422646622</v>
      </c>
      <c r="J26" s="141">
        <f t="shared" si="21"/>
        <v>176.08696034162497</v>
      </c>
      <c r="K26" s="141">
        <f t="shared" si="21"/>
        <v>176.92492926781634</v>
      </c>
      <c r="L26" s="141">
        <f t="shared" si="21"/>
        <v>179.10816844575362</v>
      </c>
      <c r="M26" s="141">
        <f t="shared" si="21"/>
        <v>181.1961873795733</v>
      </c>
      <c r="N26" s="141">
        <f t="shared" si="21"/>
        <v>178.72102804515353</v>
      </c>
      <c r="O26" s="141">
        <f t="shared" si="21"/>
        <v>180.87847207404508</v>
      </c>
      <c r="P26" s="141">
        <f t="shared" si="21"/>
        <v>182.23798617235883</v>
      </c>
      <c r="Q26" s="141">
        <f t="shared" si="21"/>
        <v>183.4024624083776</v>
      </c>
      <c r="R26" s="141">
        <f t="shared" si="21"/>
        <v>184.2591489735394</v>
      </c>
      <c r="S26" s="141">
        <f t="shared" si="21"/>
        <v>184.86557746189101</v>
      </c>
      <c r="T26" s="141">
        <f t="shared" si="20"/>
        <v>186.09838448968628</v>
      </c>
      <c r="U26" s="141">
        <f t="shared" si="22"/>
        <v>187.14323951247982</v>
      </c>
      <c r="V26" s="141">
        <f t="shared" si="22"/>
        <v>188.12414378688243</v>
      </c>
      <c r="W26" s="141">
        <f t="shared" si="22"/>
        <v>189.06774935837817</v>
      </c>
      <c r="X26" s="141">
        <f t="shared" si="22"/>
        <v>190.02902239681373</v>
      </c>
      <c r="Y26" s="141">
        <f t="shared" si="22"/>
        <v>191.06238961267198</v>
      </c>
      <c r="Z26" s="141">
        <f t="shared" si="22"/>
        <v>192.05523525177156</v>
      </c>
      <c r="AA26" s="141">
        <f t="shared" si="22"/>
        <v>193.03751602007392</v>
      </c>
      <c r="AB26" s="141">
        <f t="shared" si="22"/>
        <v>194.02007759314304</v>
      </c>
      <c r="AC26" s="141">
        <f t="shared" si="22"/>
        <v>195.01055201265095</v>
      </c>
      <c r="AD26" s="141">
        <f t="shared" si="22"/>
        <v>196.00695646880169</v>
      </c>
      <c r="AE26" s="141">
        <f t="shared" si="22"/>
        <v>197.49081867409694</v>
      </c>
      <c r="AF26" s="141">
        <f t="shared" si="22"/>
        <v>198.47891132839948</v>
      </c>
      <c r="AG26" s="141">
        <f t="shared" si="22"/>
        <v>199.46818788045817</v>
      </c>
      <c r="AH26" s="141">
        <f t="shared" si="22"/>
        <v>200.95378981633183</v>
      </c>
    </row>
    <row r="27" spans="1:34" x14ac:dyDescent="0.2">
      <c r="A27" s="130" t="s">
        <v>95</v>
      </c>
      <c r="B27" s="148">
        <f>monthly_data!$I46*264.172/1000000</f>
        <v>220.84779200000003</v>
      </c>
      <c r="C27" s="148">
        <f>monthly_data!I58*264.172/1000000</f>
        <v>190.65134736800002</v>
      </c>
      <c r="D27" s="148">
        <f>monthly_data!$I70*264.172/1000000</f>
        <v>78.966294240000011</v>
      </c>
      <c r="E27" s="148">
        <f>monthly_data!$I82*264.172/1000000</f>
        <v>105.40594886000001</v>
      </c>
      <c r="F27" s="148">
        <f>monthly_data!$I94*264.172/1000000</f>
        <v>157.49881805600003</v>
      </c>
      <c r="G27" s="148">
        <f>monthly_data!$I106*264.172/1000000</f>
        <v>175.11037278000003</v>
      </c>
      <c r="H27" s="148">
        <f>monthly_data!$I118*264.172/1000000</f>
        <v>190.300791124</v>
      </c>
      <c r="I27" s="141">
        <f t="shared" si="21"/>
        <v>185.79735301726177</v>
      </c>
      <c r="J27" s="141">
        <f t="shared" si="21"/>
        <v>195.64514848520986</v>
      </c>
      <c r="K27" s="141">
        <f t="shared" si="21"/>
        <v>195.53576192786576</v>
      </c>
      <c r="L27" s="141">
        <f t="shared" si="21"/>
        <v>195.83854914770777</v>
      </c>
      <c r="M27" s="141">
        <f t="shared" si="21"/>
        <v>197.41481205823922</v>
      </c>
      <c r="N27" s="141">
        <f t="shared" si="21"/>
        <v>197.62972096676415</v>
      </c>
      <c r="O27" s="141">
        <f t="shared" si="21"/>
        <v>199.13319738858613</v>
      </c>
      <c r="P27" s="141">
        <f t="shared" si="21"/>
        <v>200.26678700608059</v>
      </c>
      <c r="Q27" s="141">
        <f t="shared" si="21"/>
        <v>201.3212827636977</v>
      </c>
      <c r="R27" s="141">
        <f t="shared" si="21"/>
        <v>202.41796593891411</v>
      </c>
      <c r="S27" s="141">
        <f t="shared" si="21"/>
        <v>203.41716783693042</v>
      </c>
      <c r="T27" s="141">
        <f t="shared" si="20"/>
        <v>204.5757874331149</v>
      </c>
      <c r="U27" s="141">
        <f t="shared" si="22"/>
        <v>205.66431106987247</v>
      </c>
      <c r="V27" s="141">
        <f t="shared" si="22"/>
        <v>206.74367685356216</v>
      </c>
      <c r="W27" s="141">
        <f t="shared" si="22"/>
        <v>207.82809749392263</v>
      </c>
      <c r="X27" s="141">
        <f t="shared" si="22"/>
        <v>208.91002731426593</v>
      </c>
      <c r="Y27" s="141">
        <f t="shared" si="22"/>
        <v>210.00876498083628</v>
      </c>
      <c r="Z27" s="141">
        <f t="shared" si="22"/>
        <v>211.09533641488704</v>
      </c>
      <c r="AA27" s="141">
        <f t="shared" si="22"/>
        <v>212.18151155854943</v>
      </c>
      <c r="AB27" s="141">
        <f t="shared" si="22"/>
        <v>213.26907005330821</v>
      </c>
      <c r="AC27" s="141">
        <f t="shared" si="22"/>
        <v>214.35726591072563</v>
      </c>
      <c r="AD27" s="141">
        <f t="shared" si="22"/>
        <v>215.44673424187147</v>
      </c>
      <c r="AE27" s="141">
        <f t="shared" si="22"/>
        <v>217.07837620079459</v>
      </c>
      <c r="AF27" s="141">
        <f t="shared" si="22"/>
        <v>218.16616750079399</v>
      </c>
      <c r="AG27" s="141">
        <f t="shared" si="22"/>
        <v>219.25428779249248</v>
      </c>
      <c r="AH27" s="141">
        <f t="shared" si="22"/>
        <v>220.88657784673927</v>
      </c>
    </row>
    <row r="28" spans="1:34" x14ac:dyDescent="0.2">
      <c r="A28" s="130" t="s">
        <v>96</v>
      </c>
      <c r="B28" s="148">
        <f>monthly_data!$I47*264.172/1000000</f>
        <v>223.22534000000002</v>
      </c>
      <c r="C28" s="148">
        <f>monthly_data!I59*264.172/1000000</f>
        <v>187.71507558800002</v>
      </c>
      <c r="D28" s="148">
        <f>monthly_data!$I71*264.172/1000000</f>
        <v>64.730329332000011</v>
      </c>
      <c r="E28" s="148">
        <f>monthly_data!$I83*264.172/1000000</f>
        <v>130.00802304800001</v>
      </c>
      <c r="F28" s="148">
        <f>monthly_data!$I95*264.172/1000000</f>
        <v>150.65861246</v>
      </c>
      <c r="G28" s="148">
        <f>monthly_data!$I107*264.172/1000000</f>
        <v>179.51966763200002</v>
      </c>
      <c r="H28" s="148">
        <f>monthly_data!$I119*264.172/1000000</f>
        <v>186.27375315600003</v>
      </c>
      <c r="I28" s="141">
        <f t="shared" si="21"/>
        <v>186.8239953715769</v>
      </c>
      <c r="J28" s="141">
        <f t="shared" si="21"/>
        <v>200.25220722408582</v>
      </c>
      <c r="K28" s="141">
        <f t="shared" si="21"/>
        <v>195.35754614463048</v>
      </c>
      <c r="L28" s="141">
        <f t="shared" si="21"/>
        <v>197.05169408376298</v>
      </c>
      <c r="M28" s="141">
        <f t="shared" si="21"/>
        <v>197.95627183541859</v>
      </c>
      <c r="N28" s="141">
        <f t="shared" si="21"/>
        <v>199.09836829101778</v>
      </c>
      <c r="O28" s="141">
        <f t="shared" si="21"/>
        <v>200.68481332625103</v>
      </c>
      <c r="P28" s="141">
        <f t="shared" si="21"/>
        <v>201.20083891476409</v>
      </c>
      <c r="Q28" s="141">
        <f t="shared" si="21"/>
        <v>202.48188735546668</v>
      </c>
      <c r="R28" s="141">
        <f t="shared" si="21"/>
        <v>203.56778735351122</v>
      </c>
      <c r="S28" s="141">
        <f t="shared" si="21"/>
        <v>204.69054457616198</v>
      </c>
      <c r="T28" s="141">
        <f t="shared" si="20"/>
        <v>205.8093663209915</v>
      </c>
      <c r="U28" s="141">
        <f t="shared" si="22"/>
        <v>206.83315078973035</v>
      </c>
      <c r="V28" s="141">
        <f t="shared" si="22"/>
        <v>207.96012825156546</v>
      </c>
      <c r="W28" s="141">
        <f t="shared" si="22"/>
        <v>209.05579432208987</v>
      </c>
      <c r="X28" s="141">
        <f t="shared" si="22"/>
        <v>210.15344442118894</v>
      </c>
      <c r="Y28" s="141">
        <f t="shared" si="22"/>
        <v>211.24599329723608</v>
      </c>
      <c r="Z28" s="141">
        <f t="shared" si="22"/>
        <v>212.3332053925354</v>
      </c>
      <c r="AA28" s="141">
        <f t="shared" si="22"/>
        <v>213.43330240468757</v>
      </c>
      <c r="AB28" s="141">
        <f t="shared" si="22"/>
        <v>214.52793886859754</v>
      </c>
      <c r="AC28" s="141">
        <f t="shared" si="22"/>
        <v>215.62236620999627</v>
      </c>
      <c r="AD28" s="141">
        <f t="shared" si="22"/>
        <v>216.71613909975841</v>
      </c>
      <c r="AE28" s="141">
        <f t="shared" si="22"/>
        <v>218.35742236645638</v>
      </c>
      <c r="AF28" s="141">
        <f t="shared" si="22"/>
        <v>219.45282838597058</v>
      </c>
      <c r="AG28" s="141">
        <f t="shared" si="22"/>
        <v>220.54727954445207</v>
      </c>
      <c r="AH28" s="141">
        <f t="shared" si="22"/>
        <v>222.18895657616324</v>
      </c>
    </row>
    <row r="29" spans="1:34" x14ac:dyDescent="0.2">
      <c r="A29" s="130" t="s">
        <v>97</v>
      </c>
      <c r="B29" s="148">
        <f>monthly_data!$I48*264.172/1000000</f>
        <v>155.06896400000002</v>
      </c>
      <c r="C29" s="148">
        <f>monthly_data!I60*264.172/1000000</f>
        <v>134.28523190000001</v>
      </c>
      <c r="D29" s="148">
        <f>monthly_data!$I72*264.172/1000000</f>
        <v>69.133019884000007</v>
      </c>
      <c r="E29" s="148">
        <f>monthly_data!$I84*264.172/1000000</f>
        <v>80.714056192000001</v>
      </c>
      <c r="F29" s="148">
        <f>monthly_data!$I96*264.172/1000000</f>
        <v>136.89630794800001</v>
      </c>
      <c r="G29" s="148">
        <f>monthly_data!$I108*264.172/1000000</f>
        <v>141.00180499999999</v>
      </c>
      <c r="H29" s="148">
        <f>monthly_data!$I120*264.172/1000000</f>
        <v>137.97122381600002</v>
      </c>
      <c r="I29" s="141">
        <f t="shared" si="21"/>
        <v>148.60915252772813</v>
      </c>
      <c r="J29" s="141">
        <f t="shared" si="21"/>
        <v>155.05064696616247</v>
      </c>
      <c r="K29" s="141">
        <f t="shared" si="21"/>
        <v>155.57393876867062</v>
      </c>
      <c r="L29" s="141">
        <f t="shared" si="21"/>
        <v>153.40722003282355</v>
      </c>
      <c r="M29" s="141">
        <f t="shared" si="21"/>
        <v>153.8565615357459</v>
      </c>
      <c r="N29" s="141">
        <f t="shared" si="21"/>
        <v>156.13044052519953</v>
      </c>
      <c r="O29" s="141">
        <f t="shared" si="21"/>
        <v>156.94785798629829</v>
      </c>
      <c r="P29" s="141">
        <f t="shared" si="21"/>
        <v>157.66819157169272</v>
      </c>
      <c r="Q29" s="141">
        <f t="shared" si="21"/>
        <v>158.16692335777537</v>
      </c>
      <c r="R29" s="141">
        <f t="shared" si="21"/>
        <v>159.12045392969225</v>
      </c>
      <c r="S29" s="141">
        <f t="shared" si="21"/>
        <v>160.17644912860115</v>
      </c>
      <c r="T29" s="141">
        <f t="shared" si="20"/>
        <v>160.98488290067377</v>
      </c>
      <c r="U29" s="141">
        <f t="shared" si="22"/>
        <v>161.79149921281106</v>
      </c>
      <c r="V29" s="141">
        <f t="shared" si="22"/>
        <v>162.61565734825152</v>
      </c>
      <c r="W29" s="141">
        <f t="shared" si="22"/>
        <v>163.50594470353795</v>
      </c>
      <c r="X29" s="141">
        <f t="shared" si="22"/>
        <v>164.3833769232001</v>
      </c>
      <c r="Y29" s="141">
        <f t="shared" si="22"/>
        <v>165.22452914744795</v>
      </c>
      <c r="Z29" s="141">
        <f t="shared" si="22"/>
        <v>166.07233028590389</v>
      </c>
      <c r="AA29" s="141">
        <f t="shared" si="22"/>
        <v>166.92849842669435</v>
      </c>
      <c r="AB29" s="141">
        <f t="shared" si="22"/>
        <v>167.79116806156446</v>
      </c>
      <c r="AC29" s="141">
        <f t="shared" si="22"/>
        <v>168.64822769116262</v>
      </c>
      <c r="AD29" s="141">
        <f t="shared" si="22"/>
        <v>169.50114996444009</v>
      </c>
      <c r="AE29" s="141">
        <f t="shared" si="22"/>
        <v>170.78449408034513</v>
      </c>
      <c r="AF29" s="141">
        <f t="shared" si="22"/>
        <v>171.64133375337741</v>
      </c>
      <c r="AG29" s="141">
        <f t="shared" si="22"/>
        <v>172.498309051972</v>
      </c>
      <c r="AH29" s="141">
        <f t="shared" si="22"/>
        <v>173.78216101543737</v>
      </c>
    </row>
    <row r="30" spans="1:34" x14ac:dyDescent="0.2">
      <c r="A30" s="130" t="s">
        <v>98</v>
      </c>
      <c r="B30" s="148">
        <f>monthly_data!$I49*264.172/1000000</f>
        <v>129.97262400000002</v>
      </c>
      <c r="C30" s="148">
        <f>monthly_data!I61*264.172/1000000</f>
        <v>124.42157776400002</v>
      </c>
      <c r="D30" s="148">
        <f>monthly_data!$I73*264.172/1000000</f>
        <v>52.322170492000005</v>
      </c>
      <c r="E30" s="148">
        <f>monthly_data!$I85*264.172/1000000</f>
        <v>75.713280232000002</v>
      </c>
      <c r="F30" s="148">
        <f>monthly_data!$I97*264.172/1000000</f>
        <v>112.68996341600001</v>
      </c>
      <c r="G30" s="148">
        <f>monthly_data!$I109*264.172/1000000</f>
        <v>81.572879364000002</v>
      </c>
      <c r="H30" s="148">
        <f>monthly_data!$I121*264.172/1000000</f>
        <v>140.85413285200002</v>
      </c>
      <c r="I30" s="141">
        <f t="shared" si="21"/>
        <v>121.66641803159565</v>
      </c>
      <c r="J30" s="141">
        <f t="shared" si="21"/>
        <v>127.96792891173294</v>
      </c>
      <c r="K30" s="141">
        <f t="shared" si="21"/>
        <v>126.43277647707031</v>
      </c>
      <c r="L30" s="141">
        <f t="shared" si="21"/>
        <v>124.37344880659521</v>
      </c>
      <c r="M30" s="141">
        <f t="shared" si="21"/>
        <v>131.44923651118259</v>
      </c>
      <c r="N30" s="141">
        <f t="shared" si="21"/>
        <v>128.71174615595766</v>
      </c>
      <c r="O30" s="141">
        <f t="shared" si="21"/>
        <v>129.55693079871975</v>
      </c>
      <c r="P30" s="141">
        <f t="shared" si="21"/>
        <v>130.15620268350378</v>
      </c>
      <c r="Q30" s="141">
        <f t="shared" si="21"/>
        <v>130.97340606247519</v>
      </c>
      <c r="R30" s="141">
        <f t="shared" si="21"/>
        <v>132.3034307447017</v>
      </c>
      <c r="S30" s="141">
        <f t="shared" si="21"/>
        <v>132.46545758182822</v>
      </c>
      <c r="T30" s="141">
        <f t="shared" si="20"/>
        <v>133.21688696193618</v>
      </c>
      <c r="U30" s="141">
        <f t="shared" si="22"/>
        <v>133.94925546506468</v>
      </c>
      <c r="V30" s="141">
        <f t="shared" si="22"/>
        <v>134.70866630485682</v>
      </c>
      <c r="W30" s="141">
        <f t="shared" si="22"/>
        <v>135.45632567888515</v>
      </c>
      <c r="X30" s="141">
        <f t="shared" si="22"/>
        <v>136.08565678579222</v>
      </c>
      <c r="Y30" s="141">
        <f t="shared" si="22"/>
        <v>136.80993757992763</v>
      </c>
      <c r="Z30" s="141">
        <f t="shared" si="22"/>
        <v>137.52870085028079</v>
      </c>
      <c r="AA30" s="141">
        <f t="shared" si="22"/>
        <v>138.2446989624477</v>
      </c>
      <c r="AB30" s="141">
        <f t="shared" si="22"/>
        <v>138.95187843734442</v>
      </c>
      <c r="AC30" s="141">
        <f t="shared" si="22"/>
        <v>139.6508370157847</v>
      </c>
      <c r="AD30" s="141">
        <f t="shared" si="22"/>
        <v>140.36393688560563</v>
      </c>
      <c r="AE30" s="141">
        <f t="shared" si="22"/>
        <v>141.42922490226218</v>
      </c>
      <c r="AF30" s="141">
        <f t="shared" si="22"/>
        <v>142.13844295158867</v>
      </c>
      <c r="AG30" s="141">
        <f t="shared" si="22"/>
        <v>142.8462820573219</v>
      </c>
      <c r="AH30" s="141">
        <f t="shared" si="22"/>
        <v>143.90871142393408</v>
      </c>
    </row>
    <row r="31" spans="1:34" x14ac:dyDescent="0.2">
      <c r="A31" s="130" t="s">
        <v>99</v>
      </c>
      <c r="B31" s="148">
        <f>monthly_data!$I50*264.172/1000000</f>
        <v>122.57580800000001</v>
      </c>
      <c r="C31" s="148">
        <f>monthly_data!I62*264.172/1000000</f>
        <v>105.56048948</v>
      </c>
      <c r="D31" s="148">
        <f>monthly_data!$I74*264.172/1000000</f>
        <v>66.908427472</v>
      </c>
      <c r="E31" s="148">
        <f>monthly_data!$I86*264.172/1000000</f>
        <v>93.760454584000001</v>
      </c>
      <c r="F31" s="148">
        <f>monthly_data!$I98*264.172/1000000</f>
        <v>98.468263796000002</v>
      </c>
      <c r="G31" s="148">
        <f>monthly_data!$I110*264.172/1000000</f>
        <v>98.124840196000008</v>
      </c>
      <c r="H31" s="148">
        <f>monthly_data!$I122*264.172/1000000</f>
        <v>127.36735973600001</v>
      </c>
      <c r="I31" s="141">
        <f t="shared" si="21"/>
        <v>127.30823206184206</v>
      </c>
      <c r="J31" s="141">
        <f t="shared" si="21"/>
        <v>130.97969431361531</v>
      </c>
      <c r="K31" s="141">
        <f t="shared" si="21"/>
        <v>125.89160163994536</v>
      </c>
      <c r="L31" s="141">
        <f t="shared" si="21"/>
        <v>126.69627140801531</v>
      </c>
      <c r="M31" s="141">
        <f t="shared" si="21"/>
        <v>130.82374657943947</v>
      </c>
      <c r="N31" s="141">
        <f t="shared" si="21"/>
        <v>130.70992431171803</v>
      </c>
      <c r="O31" s="141">
        <f t="shared" si="21"/>
        <v>130.80723169002795</v>
      </c>
      <c r="P31" s="141">
        <f t="shared" si="21"/>
        <v>131.05123657179777</v>
      </c>
      <c r="Q31" s="141">
        <f t="shared" si="21"/>
        <v>132.16083071844474</v>
      </c>
      <c r="R31" s="141">
        <f t="shared" si="21"/>
        <v>133.25994797386403</v>
      </c>
      <c r="S31" s="141">
        <f t="shared" si="21"/>
        <v>133.74345111599393</v>
      </c>
      <c r="T31" s="141">
        <f t="shared" si="20"/>
        <v>134.34839701317205</v>
      </c>
      <c r="U31" s="141">
        <f t="shared" si="22"/>
        <v>135.05652707669731</v>
      </c>
      <c r="V31" s="141">
        <f t="shared" si="22"/>
        <v>135.85897244989593</v>
      </c>
      <c r="W31" s="141">
        <f t="shared" si="22"/>
        <v>136.59899304814684</v>
      </c>
      <c r="X31" s="141">
        <f t="shared" si="22"/>
        <v>137.26605017476189</v>
      </c>
      <c r="Y31" s="141">
        <f t="shared" si="22"/>
        <v>137.9704056570485</v>
      </c>
      <c r="Z31" s="141">
        <f t="shared" si="22"/>
        <v>138.69495705850343</v>
      </c>
      <c r="AA31" s="141">
        <f t="shared" si="22"/>
        <v>139.42284248513494</v>
      </c>
      <c r="AB31" s="141">
        <f t="shared" si="22"/>
        <v>140.13558206323808</v>
      </c>
      <c r="AC31" s="141">
        <f t="shared" si="22"/>
        <v>140.84278141796008</v>
      </c>
      <c r="AD31" s="141">
        <f t="shared" si="22"/>
        <v>141.5581339477059</v>
      </c>
      <c r="AE31" s="141">
        <f t="shared" si="22"/>
        <v>142.63319616941041</v>
      </c>
      <c r="AF31" s="141">
        <f t="shared" si="22"/>
        <v>143.349369340164</v>
      </c>
      <c r="AG31" s="141">
        <f t="shared" si="22"/>
        <v>144.06315961867145</v>
      </c>
      <c r="AH31" s="141">
        <f t="shared" si="22"/>
        <v>145.13463925766592</v>
      </c>
    </row>
    <row r="32" spans="1:34" x14ac:dyDescent="0.2">
      <c r="A32" s="130" t="s">
        <v>100</v>
      </c>
      <c r="B32" s="148">
        <f>monthly_data!$I51*264.172/1000000</f>
        <v>119.40574400000001</v>
      </c>
      <c r="C32" s="148">
        <f>monthly_data!I63*264.172/1000000</f>
        <v>108.47642001600002</v>
      </c>
      <c r="D32" s="148">
        <f>monthly_data!$I75*264.172/1000000</f>
        <v>66.565532216000008</v>
      </c>
      <c r="E32" s="148">
        <f>monthly_data!$I87*264.172/1000000</f>
        <v>111.54292859200001</v>
      </c>
      <c r="F32" s="148">
        <f>monthly_data!$I99*264.172/1000000</f>
        <v>96.489351344000013</v>
      </c>
      <c r="G32" s="148">
        <f>monthly_data!$I111*264.172/1000000</f>
        <v>126.76082082400002</v>
      </c>
      <c r="H32" s="148">
        <f>monthly_data!$I123*264.172/1000000</f>
        <v>127.41015560000001</v>
      </c>
      <c r="I32" s="141">
        <f>I33-SUM(I21:I31)</f>
        <v>138.90330874246229</v>
      </c>
      <c r="J32" s="141">
        <f t="shared" ref="J32:S32" si="23">J33-SUM(J21:J31)</f>
        <v>144.45604256767569</v>
      </c>
      <c r="K32" s="141">
        <f t="shared" si="23"/>
        <v>137.0853989930456</v>
      </c>
      <c r="L32" s="141">
        <f t="shared" si="23"/>
        <v>140.19232529824103</v>
      </c>
      <c r="M32" s="141">
        <f t="shared" si="23"/>
        <v>141.03232493385326</v>
      </c>
      <c r="N32" s="141">
        <f t="shared" si="23"/>
        <v>142.92538432839456</v>
      </c>
      <c r="O32" s="141">
        <f t="shared" si="23"/>
        <v>143.0931192578189</v>
      </c>
      <c r="P32" s="141">
        <f t="shared" si="23"/>
        <v>143.12142873251128</v>
      </c>
      <c r="Q32" s="141">
        <f t="shared" si="23"/>
        <v>144.41477777132013</v>
      </c>
      <c r="R32" s="141">
        <f t="shared" si="23"/>
        <v>145.26031531633339</v>
      </c>
      <c r="S32" s="141">
        <f t="shared" si="23"/>
        <v>146.10696712064373</v>
      </c>
      <c r="T32" s="141">
        <f t="shared" ref="T32:AF32" si="24">T33-SUM(T21:T31)</f>
        <v>146.74093226091031</v>
      </c>
      <c r="U32" s="141">
        <f t="shared" si="24"/>
        <v>147.4696726958332</v>
      </c>
      <c r="V32" s="141">
        <f t="shared" si="24"/>
        <v>148.34075548808346</v>
      </c>
      <c r="W32" s="141">
        <f t="shared" si="24"/>
        <v>149.12602211747298</v>
      </c>
      <c r="X32" s="141">
        <f t="shared" si="24"/>
        <v>149.89904247526488</v>
      </c>
      <c r="Y32" s="141">
        <f t="shared" si="24"/>
        <v>150.65710529710509</v>
      </c>
      <c r="Z32" s="141">
        <f t="shared" si="24"/>
        <v>151.44038117938135</v>
      </c>
      <c r="AA32" s="141">
        <f t="shared" si="24"/>
        <v>152.23473414445311</v>
      </c>
      <c r="AB32" s="141">
        <f t="shared" si="24"/>
        <v>153.01350041645674</v>
      </c>
      <c r="AC32" s="141">
        <f t="shared" si="24"/>
        <v>153.79094681648894</v>
      </c>
      <c r="AD32" s="141">
        <f t="shared" si="24"/>
        <v>154.56929254878878</v>
      </c>
      <c r="AE32" s="141">
        <f t="shared" si="24"/>
        <v>155.74208836077673</v>
      </c>
      <c r="AF32" s="141">
        <f t="shared" si="24"/>
        <v>156.52439141403988</v>
      </c>
      <c r="AG32" s="141">
        <f>AG33-SUM(AG21:AG31)</f>
        <v>157.30424242244703</v>
      </c>
      <c r="AH32" s="141">
        <f>AH33-SUM(AH21:AH31)</f>
        <v>158.47464645980517</v>
      </c>
    </row>
    <row r="33" spans="1:34" ht="12" thickBot="1" x14ac:dyDescent="0.25">
      <c r="A33" s="130" t="s">
        <v>134</v>
      </c>
      <c r="B33" s="141">
        <f t="shared" ref="B33:H33" si="25">SUM(B21:B32)</f>
        <v>1826.4852080000001</v>
      </c>
      <c r="C33" s="141">
        <f t="shared" si="25"/>
        <v>1787.3758642600003</v>
      </c>
      <c r="D33" s="141">
        <f t="shared" si="25"/>
        <v>825.54912356800014</v>
      </c>
      <c r="E33" s="141">
        <f t="shared" si="25"/>
        <v>988.23997811200002</v>
      </c>
      <c r="F33" s="141">
        <f t="shared" si="25"/>
        <v>1435.1394863399998</v>
      </c>
      <c r="G33" s="141">
        <f t="shared" si="25"/>
        <v>1631.3767506480003</v>
      </c>
      <c r="H33" s="141">
        <f t="shared" si="25"/>
        <v>1705.3549491840004</v>
      </c>
      <c r="I33" s="141">
        <f t="shared" ref="I33:AF33" si="26">I6</f>
        <v>1730</v>
      </c>
      <c r="J33" s="141">
        <f t="shared" si="26"/>
        <v>1800</v>
      </c>
      <c r="K33" s="141">
        <f t="shared" si="26"/>
        <v>1795</v>
      </c>
      <c r="L33" s="141">
        <f t="shared" si="26"/>
        <v>1800</v>
      </c>
      <c r="M33" s="141">
        <f t="shared" si="26"/>
        <v>1810</v>
      </c>
      <c r="N33" s="141">
        <f t="shared" si="26"/>
        <v>1820</v>
      </c>
      <c r="O33" s="141">
        <f t="shared" si="26"/>
        <v>1830</v>
      </c>
      <c r="P33" s="141">
        <f t="shared" si="26"/>
        <v>1840</v>
      </c>
      <c r="Q33" s="141">
        <f t="shared" si="26"/>
        <v>1850</v>
      </c>
      <c r="R33" s="141">
        <f t="shared" si="26"/>
        <v>1860</v>
      </c>
      <c r="S33" s="141">
        <f t="shared" si="26"/>
        <v>1870</v>
      </c>
      <c r="T33" s="141">
        <f t="shared" si="26"/>
        <v>1880</v>
      </c>
      <c r="U33" s="141">
        <f t="shared" si="26"/>
        <v>1890</v>
      </c>
      <c r="V33" s="141">
        <f t="shared" si="26"/>
        <v>1900</v>
      </c>
      <c r="W33" s="141">
        <f t="shared" si="26"/>
        <v>1910</v>
      </c>
      <c r="X33" s="141">
        <f t="shared" si="26"/>
        <v>1920</v>
      </c>
      <c r="Y33" s="141">
        <f t="shared" si="26"/>
        <v>1930</v>
      </c>
      <c r="Z33" s="141">
        <f t="shared" si="26"/>
        <v>1940</v>
      </c>
      <c r="AA33" s="141">
        <f t="shared" si="26"/>
        <v>1950</v>
      </c>
      <c r="AB33" s="141">
        <f t="shared" si="26"/>
        <v>1960</v>
      </c>
      <c r="AC33" s="141">
        <f t="shared" si="26"/>
        <v>1970</v>
      </c>
      <c r="AD33" s="141">
        <f t="shared" si="26"/>
        <v>1980</v>
      </c>
      <c r="AE33" s="141">
        <f t="shared" si="26"/>
        <v>1995</v>
      </c>
      <c r="AF33" s="141">
        <f t="shared" si="26"/>
        <v>2005</v>
      </c>
      <c r="AG33" s="141">
        <f>AG6</f>
        <v>2015</v>
      </c>
      <c r="AH33" s="141">
        <f>AH6</f>
        <v>2030</v>
      </c>
    </row>
    <row r="34" spans="1:34" x14ac:dyDescent="0.2">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row>
    <row r="35" spans="1:34" ht="12" thickBot="1" x14ac:dyDescent="0.25">
      <c r="A35" s="130" t="s">
        <v>145</v>
      </c>
    </row>
    <row r="36" spans="1:34" ht="12" thickBot="1" x14ac:dyDescent="0.25">
      <c r="A36" s="128" t="s">
        <v>74</v>
      </c>
      <c r="B36" s="140">
        <f t="shared" ref="B36:Q36" si="27">B20</f>
        <v>2018</v>
      </c>
      <c r="C36" s="140">
        <f t="shared" si="27"/>
        <v>2019</v>
      </c>
      <c r="D36" s="140">
        <f t="shared" si="27"/>
        <v>2020</v>
      </c>
      <c r="E36" s="140">
        <f t="shared" si="27"/>
        <v>2021</v>
      </c>
      <c r="F36" s="140">
        <f t="shared" si="27"/>
        <v>2022</v>
      </c>
      <c r="G36" s="140">
        <f t="shared" si="27"/>
        <v>2023</v>
      </c>
      <c r="H36" s="140">
        <f t="shared" si="27"/>
        <v>2024</v>
      </c>
      <c r="I36" s="140">
        <f t="shared" si="27"/>
        <v>2025</v>
      </c>
      <c r="J36" s="140">
        <f t="shared" si="27"/>
        <v>2026</v>
      </c>
      <c r="K36" s="140">
        <f t="shared" si="27"/>
        <v>2027</v>
      </c>
      <c r="L36" s="140">
        <f t="shared" si="27"/>
        <v>2028</v>
      </c>
      <c r="M36" s="140">
        <f t="shared" si="27"/>
        <v>2029</v>
      </c>
      <c r="N36" s="140">
        <f t="shared" si="27"/>
        <v>2030</v>
      </c>
      <c r="O36" s="140">
        <f t="shared" si="27"/>
        <v>2031</v>
      </c>
      <c r="P36" s="140">
        <f t="shared" si="27"/>
        <v>2032</v>
      </c>
      <c r="Q36" s="140">
        <f t="shared" si="27"/>
        <v>2033</v>
      </c>
      <c r="R36" s="140">
        <f>R20</f>
        <v>2034</v>
      </c>
      <c r="S36" s="140">
        <f>S20</f>
        <v>2035</v>
      </c>
      <c r="T36" s="140">
        <f t="shared" ref="T36:AF36" si="28">T20</f>
        <v>2036</v>
      </c>
      <c r="U36" s="140">
        <f t="shared" si="28"/>
        <v>2037</v>
      </c>
      <c r="V36" s="140">
        <f t="shared" si="28"/>
        <v>2038</v>
      </c>
      <c r="W36" s="140">
        <f t="shared" si="28"/>
        <v>2039</v>
      </c>
      <c r="X36" s="140">
        <f t="shared" si="28"/>
        <v>2040</v>
      </c>
      <c r="Y36" s="140">
        <f t="shared" si="28"/>
        <v>2041</v>
      </c>
      <c r="Z36" s="140">
        <f t="shared" si="28"/>
        <v>2042</v>
      </c>
      <c r="AA36" s="140">
        <f t="shared" si="28"/>
        <v>2043</v>
      </c>
      <c r="AB36" s="140">
        <f t="shared" si="28"/>
        <v>2044</v>
      </c>
      <c r="AC36" s="140">
        <f t="shared" si="28"/>
        <v>2045</v>
      </c>
      <c r="AD36" s="140">
        <f t="shared" si="28"/>
        <v>2046</v>
      </c>
      <c r="AE36" s="140">
        <f t="shared" si="28"/>
        <v>2047</v>
      </c>
      <c r="AF36" s="140">
        <f t="shared" si="28"/>
        <v>2048</v>
      </c>
      <c r="AG36" s="140">
        <f>AG20</f>
        <v>2049</v>
      </c>
      <c r="AH36" s="140">
        <f>AH20</f>
        <v>2050</v>
      </c>
    </row>
    <row r="37" spans="1:34" x14ac:dyDescent="0.2">
      <c r="A37" s="130" t="s">
        <v>89</v>
      </c>
      <c r="B37" s="148">
        <v>0</v>
      </c>
      <c r="C37" s="148">
        <f>monthly_data!$J52*264.172/1000000</f>
        <v>81.980232588000021</v>
      </c>
      <c r="D37" s="148">
        <f>monthly_data!$J64*264.172/1000000</f>
        <v>84.731055624000007</v>
      </c>
      <c r="E37" s="148">
        <f>monthly_data!$J76*264.172/1000000</f>
        <v>18.415694292000005</v>
      </c>
      <c r="F37" s="148">
        <f>monthly_data!$J88*264.172/1000000</f>
        <v>14.889526436000001</v>
      </c>
      <c r="G37" s="148">
        <f>monthly_data!$J100*264.172/1000000</f>
        <v>68.241967728000006</v>
      </c>
      <c r="H37" s="148">
        <f>monthly_data!$J112*264.172/1000000</f>
        <v>89.230168956000014</v>
      </c>
      <c r="I37" s="141">
        <f t="shared" ref="I37:I47" si="29">I$49*(SUM(D37:H37)/SUM(D$49:H$49))</f>
        <v>63.554160084902499</v>
      </c>
      <c r="J37" s="141">
        <f t="shared" ref="J37:J47" si="30">J$49*(SUM(E37:I37)/SUM(E$49:I$49))</f>
        <v>47.553480494438354</v>
      </c>
      <c r="K37" s="141">
        <f t="shared" ref="K37:Z47" si="31">K$49*(SUM(F37:J37)/SUM(F$49:J$49))</f>
        <v>51.62348956762834</v>
      </c>
      <c r="L37" s="141">
        <f t="shared" si="31"/>
        <v>63.687751901193188</v>
      </c>
      <c r="M37" s="141">
        <f t="shared" si="31"/>
        <v>64.583603828486275</v>
      </c>
      <c r="N37" s="141">
        <f t="shared" si="31"/>
        <v>59.948977046515154</v>
      </c>
      <c r="O37" s="141">
        <f t="shared" si="31"/>
        <v>57.728013094260611</v>
      </c>
      <c r="P37" s="141">
        <f t="shared" si="31"/>
        <v>58.480229836614413</v>
      </c>
      <c r="Q37" s="141">
        <f t="shared" si="31"/>
        <v>60.288817749693543</v>
      </c>
      <c r="R37" s="141">
        <f t="shared" si="31"/>
        <v>60.446251938485872</v>
      </c>
      <c r="S37" s="141">
        <f t="shared" si="31"/>
        <v>59.712783215073443</v>
      </c>
      <c r="T37" s="141">
        <f t="shared" si="31"/>
        <v>59.49112189333546</v>
      </c>
      <c r="U37" s="141">
        <f t="shared" si="31"/>
        <v>59.576926876017907</v>
      </c>
      <c r="V37" s="141">
        <f t="shared" si="31"/>
        <v>59.735883031831385</v>
      </c>
      <c r="W37" s="141">
        <f t="shared" si="31"/>
        <v>59.771042394611804</v>
      </c>
      <c r="X37" s="141">
        <f t="shared" si="31"/>
        <v>59.73078798456956</v>
      </c>
      <c r="Y37" s="141">
        <f t="shared" si="31"/>
        <v>59.706800852383878</v>
      </c>
      <c r="Z37" s="141">
        <f t="shared" si="31"/>
        <v>59.701614960851792</v>
      </c>
      <c r="AA37" s="141">
        <f t="shared" ref="AA37:AH47" si="32">AA$49*(SUM(V37:Z37)/SUM(V$49:Z$49))</f>
        <v>59.699370507826394</v>
      </c>
      <c r="AB37" s="141">
        <f t="shared" si="32"/>
        <v>59.704908608301032</v>
      </c>
      <c r="AC37" s="141">
        <f t="shared" si="32"/>
        <v>59.71667445612082</v>
      </c>
      <c r="AD37" s="141">
        <f t="shared" si="32"/>
        <v>59.718774248381827</v>
      </c>
      <c r="AE37" s="141">
        <f t="shared" si="32"/>
        <v>59.711102325790954</v>
      </c>
      <c r="AF37" s="141">
        <f t="shared" si="32"/>
        <v>59.705861878293383</v>
      </c>
      <c r="AG37" s="141">
        <f t="shared" si="32"/>
        <v>59.706888405698422</v>
      </c>
      <c r="AH37" s="141">
        <f t="shared" si="32"/>
        <v>59.711496319850156</v>
      </c>
    </row>
    <row r="38" spans="1:34" x14ac:dyDescent="0.2">
      <c r="A38" s="130" t="s">
        <v>90</v>
      </c>
      <c r="B38" s="148">
        <v>0</v>
      </c>
      <c r="C38" s="148">
        <f>monthly_data!$J53*264.172/1000000</f>
        <v>69.634682512000012</v>
      </c>
      <c r="D38" s="148">
        <f>monthly_data!$J65*264.172/1000000</f>
        <v>62.933431388000002</v>
      </c>
      <c r="E38" s="148">
        <f>monthly_data!$J77*264.172/1000000</f>
        <v>17.337344187999999</v>
      </c>
      <c r="F38" s="148">
        <f>monthly_data!$J89*264.172/1000000</f>
        <v>49.677280428000003</v>
      </c>
      <c r="G38" s="148">
        <f>monthly_data!$J101*264.172/1000000</f>
        <v>38.578358020000003</v>
      </c>
      <c r="H38" s="148">
        <f>monthly_data!$J113*264.172/1000000</f>
        <v>72.954267864000002</v>
      </c>
      <c r="I38" s="141">
        <f t="shared" si="29"/>
        <v>55.704657963080052</v>
      </c>
      <c r="J38" s="141">
        <f t="shared" si="30"/>
        <v>43.799107831846698</v>
      </c>
      <c r="K38" s="141">
        <f t="shared" si="31"/>
        <v>47.479389678203468</v>
      </c>
      <c r="L38" s="141">
        <f t="shared" si="31"/>
        <v>51.418241633078893</v>
      </c>
      <c r="M38" s="141">
        <f t="shared" si="31"/>
        <v>55.520923339700879</v>
      </c>
      <c r="N38" s="141">
        <f t="shared" si="31"/>
        <v>52.310148877773685</v>
      </c>
      <c r="O38" s="141">
        <f t="shared" si="31"/>
        <v>50.32222860783223</v>
      </c>
      <c r="P38" s="141">
        <f t="shared" si="31"/>
        <v>50.51686954490534</v>
      </c>
      <c r="Q38" s="141">
        <f t="shared" si="31"/>
        <v>51.507723391781049</v>
      </c>
      <c r="R38" s="141">
        <f t="shared" si="31"/>
        <v>52.243288846553327</v>
      </c>
      <c r="S38" s="141">
        <f t="shared" si="31"/>
        <v>51.669342800705735</v>
      </c>
      <c r="T38" s="141">
        <f t="shared" si="31"/>
        <v>51.390018881242575</v>
      </c>
      <c r="U38" s="141">
        <f t="shared" si="31"/>
        <v>51.373256577023376</v>
      </c>
      <c r="V38" s="141">
        <f t="shared" si="31"/>
        <v>51.492515308849867</v>
      </c>
      <c r="W38" s="141">
        <f t="shared" si="31"/>
        <v>51.615074195512435</v>
      </c>
      <c r="X38" s="141">
        <f t="shared" si="31"/>
        <v>51.571273594794597</v>
      </c>
      <c r="Y38" s="141">
        <f t="shared" si="31"/>
        <v>51.527822947536606</v>
      </c>
      <c r="Z38" s="141">
        <f t="shared" si="31"/>
        <v>51.513681889863605</v>
      </c>
      <c r="AA38" s="141">
        <f t="shared" si="32"/>
        <v>51.518309555269568</v>
      </c>
      <c r="AB38" s="141">
        <f t="shared" si="32"/>
        <v>51.534546098435897</v>
      </c>
      <c r="AC38" s="141">
        <f t="shared" si="32"/>
        <v>51.540012326022094</v>
      </c>
      <c r="AD38" s="141">
        <f t="shared" si="32"/>
        <v>51.538007736258677</v>
      </c>
      <c r="AE38" s="141">
        <f t="shared" si="32"/>
        <v>51.531357096315411</v>
      </c>
      <c r="AF38" s="141">
        <f t="shared" si="32"/>
        <v>51.52873189466284</v>
      </c>
      <c r="AG38" s="141">
        <f t="shared" si="32"/>
        <v>51.530581759563418</v>
      </c>
      <c r="AH38" s="141">
        <f t="shared" si="32"/>
        <v>51.533424065104747</v>
      </c>
    </row>
    <row r="39" spans="1:34" x14ac:dyDescent="0.2">
      <c r="A39" s="130" t="s">
        <v>91</v>
      </c>
      <c r="B39" s="148">
        <v>0</v>
      </c>
      <c r="C39" s="148">
        <f>monthly_data!$J54*264.172/1000000</f>
        <v>69.159965428000007</v>
      </c>
      <c r="D39" s="148">
        <f>monthly_data!$J66*264.172/1000000</f>
        <v>67.551950464000001</v>
      </c>
      <c r="E39" s="148">
        <f>monthly_data!$J78*264.172/1000000</f>
        <v>15.251442076000002</v>
      </c>
      <c r="F39" s="148">
        <f>monthly_data!$J90*264.172/1000000</f>
        <v>46.963441472</v>
      </c>
      <c r="G39" s="148">
        <f>monthly_data!$J102*264.172/1000000</f>
        <v>68.542859636000003</v>
      </c>
      <c r="H39" s="148">
        <f>monthly_data!$J114*264.172/1000000</f>
        <v>55.466609808000008</v>
      </c>
      <c r="I39" s="141">
        <f t="shared" si="29"/>
        <v>58.541006562619714</v>
      </c>
      <c r="J39" s="141">
        <f t="shared" si="30"/>
        <v>45.764853942793607</v>
      </c>
      <c r="K39" s="141">
        <f t="shared" si="31"/>
        <v>50.131885883966774</v>
      </c>
      <c r="L39" s="141">
        <f t="shared" si="31"/>
        <v>55.382561755485348</v>
      </c>
      <c r="M39" s="141">
        <f t="shared" si="31"/>
        <v>54.279222939029452</v>
      </c>
      <c r="N39" s="141">
        <f t="shared" si="31"/>
        <v>54.406740475938669</v>
      </c>
      <c r="O39" s="141">
        <f t="shared" si="31"/>
        <v>52.217881217409122</v>
      </c>
      <c r="P39" s="141">
        <f t="shared" si="31"/>
        <v>52.357787630666756</v>
      </c>
      <c r="Q39" s="141">
        <f t="shared" si="31"/>
        <v>53.202104352650977</v>
      </c>
      <c r="R39" s="141">
        <f t="shared" si="31"/>
        <v>53.505475649212251</v>
      </c>
      <c r="S39" s="141">
        <f t="shared" si="31"/>
        <v>53.43718677538692</v>
      </c>
      <c r="T39" s="141">
        <f t="shared" si="31"/>
        <v>53.086775982681154</v>
      </c>
      <c r="U39" s="141">
        <f t="shared" si="31"/>
        <v>53.022713920773995</v>
      </c>
      <c r="V39" s="141">
        <f t="shared" si="31"/>
        <v>53.102132624634827</v>
      </c>
      <c r="W39" s="141">
        <f t="shared" si="31"/>
        <v>53.211671035573168</v>
      </c>
      <c r="X39" s="141">
        <f t="shared" si="31"/>
        <v>53.23737092814703</v>
      </c>
      <c r="Y39" s="141">
        <f t="shared" si="31"/>
        <v>53.172785779223098</v>
      </c>
      <c r="Z39" s="141">
        <f t="shared" si="31"/>
        <v>53.146955089502711</v>
      </c>
      <c r="AA39" s="141">
        <f t="shared" si="32"/>
        <v>53.147604257776905</v>
      </c>
      <c r="AB39" s="141">
        <f t="shared" si="32"/>
        <v>53.168125541679565</v>
      </c>
      <c r="AC39" s="141">
        <f t="shared" si="32"/>
        <v>53.181673146450763</v>
      </c>
      <c r="AD39" s="141">
        <f t="shared" si="32"/>
        <v>53.17491553843616</v>
      </c>
      <c r="AE39" s="141">
        <f t="shared" si="32"/>
        <v>53.166377884731247</v>
      </c>
      <c r="AF39" s="141">
        <f t="shared" si="32"/>
        <v>53.163906727484999</v>
      </c>
      <c r="AG39" s="141">
        <f t="shared" si="32"/>
        <v>53.166925088676486</v>
      </c>
      <c r="AH39" s="141">
        <f t="shared" si="32"/>
        <v>53.170435602071485</v>
      </c>
    </row>
    <row r="40" spans="1:34" x14ac:dyDescent="0.2">
      <c r="A40" s="130" t="s">
        <v>92</v>
      </c>
      <c r="B40" s="148">
        <v>0</v>
      </c>
      <c r="C40" s="148">
        <f>monthly_data!$J55*264.172/1000000</f>
        <v>86.530066944000012</v>
      </c>
      <c r="D40" s="148">
        <f>monthly_data!$J67*264.172/1000000</f>
        <v>24.889229152000002</v>
      </c>
      <c r="E40" s="148">
        <f>monthly_data!$J79*264.172/1000000</f>
        <v>3.1243622440000003</v>
      </c>
      <c r="F40" s="148">
        <f>monthly_data!$J91*264.172/1000000</f>
        <v>21.205350612000004</v>
      </c>
      <c r="G40" s="148">
        <f>monthly_data!$J103*264.172/1000000</f>
        <v>27.310629704000004</v>
      </c>
      <c r="H40" s="148">
        <f>monthly_data!$J115*264.172/1000000</f>
        <v>94.870505328000007</v>
      </c>
      <c r="I40" s="141">
        <f t="shared" si="29"/>
        <v>39.538494722269682</v>
      </c>
      <c r="J40" s="141">
        <f t="shared" si="30"/>
        <v>34.786462456145614</v>
      </c>
      <c r="K40" s="141">
        <f t="shared" si="31"/>
        <v>39.648117981821549</v>
      </c>
      <c r="L40" s="141">
        <f t="shared" si="31"/>
        <v>46.97057246790952</v>
      </c>
      <c r="M40" s="141">
        <f t="shared" si="31"/>
        <v>52.341040962045163</v>
      </c>
      <c r="N40" s="141">
        <f t="shared" si="31"/>
        <v>43.938452491730239</v>
      </c>
      <c r="O40" s="141">
        <f t="shared" si="31"/>
        <v>43.725191542738798</v>
      </c>
      <c r="P40" s="141">
        <f t="shared" si="31"/>
        <v>44.537101647858613</v>
      </c>
      <c r="Q40" s="141">
        <f t="shared" si="31"/>
        <v>45.848542282549793</v>
      </c>
      <c r="R40" s="141">
        <f t="shared" si="31"/>
        <v>46.261995312300876</v>
      </c>
      <c r="S40" s="141">
        <f t="shared" si="31"/>
        <v>45.114849719111447</v>
      </c>
      <c r="T40" s="141">
        <f t="shared" si="31"/>
        <v>45.219077830252374</v>
      </c>
      <c r="U40" s="141">
        <f t="shared" si="31"/>
        <v>45.314993127190768</v>
      </c>
      <c r="V40" s="141">
        <f t="shared" si="31"/>
        <v>45.42467455890106</v>
      </c>
      <c r="W40" s="141">
        <f t="shared" si="31"/>
        <v>45.450730432746134</v>
      </c>
      <c r="X40" s="141">
        <f t="shared" si="31"/>
        <v>45.360482063625852</v>
      </c>
      <c r="Y40" s="141">
        <f t="shared" si="31"/>
        <v>45.388693209962597</v>
      </c>
      <c r="Z40" s="141">
        <f t="shared" si="31"/>
        <v>45.385882428884415</v>
      </c>
      <c r="AA40" s="141">
        <f t="shared" si="32"/>
        <v>45.379398543461839</v>
      </c>
      <c r="AB40" s="141">
        <f t="shared" si="32"/>
        <v>45.380104893003512</v>
      </c>
      <c r="AC40" s="141">
        <f t="shared" si="32"/>
        <v>45.384975451983117</v>
      </c>
      <c r="AD40" s="141">
        <f t="shared" si="32"/>
        <v>45.39361677501585</v>
      </c>
      <c r="AE40" s="141">
        <f t="shared" si="32"/>
        <v>45.386949592323809</v>
      </c>
      <c r="AF40" s="141">
        <f t="shared" si="32"/>
        <v>45.381737515593983</v>
      </c>
      <c r="AG40" s="141">
        <f t="shared" si="32"/>
        <v>45.381998798267858</v>
      </c>
      <c r="AH40" s="141">
        <f t="shared" si="32"/>
        <v>45.385579000440785</v>
      </c>
    </row>
    <row r="41" spans="1:34" x14ac:dyDescent="0.2">
      <c r="A41" s="130" t="s">
        <v>93</v>
      </c>
      <c r="B41" s="148">
        <v>0</v>
      </c>
      <c r="C41" s="148">
        <f>monthly_data!$J56*264.172/1000000</f>
        <v>75.030659784000008</v>
      </c>
      <c r="D41" s="148">
        <f>monthly_data!$J68*264.172/1000000</f>
        <v>5.1923006599999999</v>
      </c>
      <c r="E41" s="148">
        <f>monthly_data!$J80*264.172/1000000</f>
        <v>19.745007795999999</v>
      </c>
      <c r="F41" s="148">
        <f>monthly_data!$J92*264.172/1000000</f>
        <v>17.945468132000002</v>
      </c>
      <c r="G41" s="148">
        <f>monthly_data!$J104*264.172/1000000</f>
        <v>41.323633444000009</v>
      </c>
      <c r="H41" s="148">
        <f>monthly_data!$J116*264.172/1000000</f>
        <v>27.646920660000003</v>
      </c>
      <c r="I41" s="141">
        <f t="shared" si="29"/>
        <v>25.802277347879116</v>
      </c>
      <c r="J41" s="141">
        <f t="shared" si="30"/>
        <v>24.767246174255973</v>
      </c>
      <c r="K41" s="141">
        <f t="shared" si="31"/>
        <v>25.037926662678995</v>
      </c>
      <c r="L41" s="141">
        <f t="shared" si="31"/>
        <v>28.756258980881444</v>
      </c>
      <c r="M41" s="141">
        <f t="shared" si="31"/>
        <v>27.010131000518189</v>
      </c>
      <c r="N41" s="141">
        <f t="shared" si="31"/>
        <v>27.064123885097302</v>
      </c>
      <c r="O41" s="141">
        <f t="shared" si="31"/>
        <v>26.641845915620792</v>
      </c>
      <c r="P41" s="141">
        <f t="shared" si="31"/>
        <v>26.434600086059856</v>
      </c>
      <c r="Q41" s="141">
        <f t="shared" si="31"/>
        <v>26.914917285201469</v>
      </c>
      <c r="R41" s="141">
        <f t="shared" si="31"/>
        <v>26.920153412359852</v>
      </c>
      <c r="S41" s="141">
        <f t="shared" si="31"/>
        <v>26.945995772826588</v>
      </c>
      <c r="T41" s="141">
        <f t="shared" si="31"/>
        <v>26.843653990737867</v>
      </c>
      <c r="U41" s="141">
        <f t="shared" si="31"/>
        <v>26.763834945224879</v>
      </c>
      <c r="V41" s="141">
        <f t="shared" si="31"/>
        <v>26.80264714407576</v>
      </c>
      <c r="W41" s="141">
        <f t="shared" si="31"/>
        <v>26.845577634348505</v>
      </c>
      <c r="X41" s="141">
        <f t="shared" si="31"/>
        <v>26.873291502561145</v>
      </c>
      <c r="Y41" s="141">
        <f t="shared" si="31"/>
        <v>26.846326214022358</v>
      </c>
      <c r="Z41" s="141">
        <f t="shared" si="31"/>
        <v>26.825134335493598</v>
      </c>
      <c r="AA41" s="141">
        <f t="shared" si="32"/>
        <v>26.825180236428778</v>
      </c>
      <c r="AB41" s="141">
        <f t="shared" si="32"/>
        <v>26.835454404687322</v>
      </c>
      <c r="AC41" s="141">
        <f t="shared" si="32"/>
        <v>26.844663662363971</v>
      </c>
      <c r="AD41" s="141">
        <f t="shared" si="32"/>
        <v>26.841149960608426</v>
      </c>
      <c r="AE41" s="141">
        <f t="shared" si="32"/>
        <v>26.835590083350784</v>
      </c>
      <c r="AF41" s="141">
        <f t="shared" si="32"/>
        <v>26.834473192357045</v>
      </c>
      <c r="AG41" s="141">
        <f t="shared" si="32"/>
        <v>26.836209550764814</v>
      </c>
      <c r="AH41" s="141">
        <f t="shared" si="32"/>
        <v>26.838253710086828</v>
      </c>
    </row>
    <row r="42" spans="1:34" x14ac:dyDescent="0.2">
      <c r="A42" s="130" t="s">
        <v>94</v>
      </c>
      <c r="B42" s="148">
        <v>0</v>
      </c>
      <c r="C42" s="148">
        <f>monthly_data!$J57*264.172/1000000</f>
        <v>103.97281576</v>
      </c>
      <c r="D42" s="148">
        <f>monthly_data!$J69*264.172/1000000</f>
        <v>8.589024236000002</v>
      </c>
      <c r="E42" s="148">
        <f>monthly_data!$J81*264.172/1000000</f>
        <v>11.441553492000001</v>
      </c>
      <c r="F42" s="148">
        <f>monthly_data!$J93*264.172/1000000</f>
        <v>53.485319808000007</v>
      </c>
      <c r="G42" s="148">
        <f>monthly_data!$J105*264.172/1000000</f>
        <v>35.370781596</v>
      </c>
      <c r="H42" s="148">
        <f>monthly_data!$J117*264.172/1000000</f>
        <v>83.84607942400001</v>
      </c>
      <c r="I42" s="141">
        <f t="shared" si="29"/>
        <v>44.459508353642697</v>
      </c>
      <c r="J42" s="141">
        <f t="shared" si="30"/>
        <v>42.742951988161764</v>
      </c>
      <c r="K42" s="141">
        <f t="shared" si="31"/>
        <v>47.332054500823133</v>
      </c>
      <c r="L42" s="141">
        <f t="shared" si="31"/>
        <v>50.470611466486176</v>
      </c>
      <c r="M42" s="141">
        <f t="shared" si="31"/>
        <v>55.008496634603567</v>
      </c>
      <c r="N42" s="141">
        <f t="shared" si="31"/>
        <v>49.444839377774045</v>
      </c>
      <c r="O42" s="141">
        <f t="shared" si="31"/>
        <v>49.21167555526975</v>
      </c>
      <c r="P42" s="141">
        <f t="shared" si="31"/>
        <v>49.419621843827997</v>
      </c>
      <c r="Q42" s="141">
        <f t="shared" si="31"/>
        <v>50.213899639419907</v>
      </c>
      <c r="R42" s="141">
        <f t="shared" si="31"/>
        <v>50.861924644111532</v>
      </c>
      <c r="S42" s="141">
        <f t="shared" si="31"/>
        <v>50.11095793416834</v>
      </c>
      <c r="T42" s="141">
        <f t="shared" si="31"/>
        <v>50.098272155350529</v>
      </c>
      <c r="U42" s="141">
        <f t="shared" si="31"/>
        <v>50.051115781262531</v>
      </c>
      <c r="V42" s="141">
        <f t="shared" si="31"/>
        <v>50.126847950856771</v>
      </c>
      <c r="W42" s="141">
        <f t="shared" si="31"/>
        <v>50.231712189618626</v>
      </c>
      <c r="X42" s="141">
        <f t="shared" si="31"/>
        <v>50.185313905670974</v>
      </c>
      <c r="Y42" s="141">
        <f t="shared" si="31"/>
        <v>50.177014881760428</v>
      </c>
      <c r="Z42" s="141">
        <f t="shared" si="31"/>
        <v>50.152155272209747</v>
      </c>
      <c r="AA42" s="141">
        <f t="shared" si="32"/>
        <v>50.149529327678351</v>
      </c>
      <c r="AB42" s="141">
        <f t="shared" si="32"/>
        <v>50.164849114091695</v>
      </c>
      <c r="AC42" s="141">
        <f t="shared" si="32"/>
        <v>50.172475312462524</v>
      </c>
      <c r="AD42" s="141">
        <f t="shared" si="32"/>
        <v>50.174043312667891</v>
      </c>
      <c r="AE42" s="141">
        <f t="shared" si="32"/>
        <v>50.164991197974665</v>
      </c>
      <c r="AF42" s="141">
        <f t="shared" si="32"/>
        <v>50.161561543467073</v>
      </c>
      <c r="AG42" s="141">
        <f t="shared" si="32"/>
        <v>50.163739579266306</v>
      </c>
      <c r="AH42" s="141">
        <f t="shared" si="32"/>
        <v>50.167056419751624</v>
      </c>
    </row>
    <row r="43" spans="1:34" x14ac:dyDescent="0.2">
      <c r="A43" s="130" t="s">
        <v>95</v>
      </c>
      <c r="B43" s="148">
        <v>0</v>
      </c>
      <c r="C43" s="148">
        <f>monthly_data!$J58*264.172/1000000</f>
        <v>62.846254628000004</v>
      </c>
      <c r="D43" s="148">
        <f>monthly_data!$J70*264.172/1000000</f>
        <v>11.698328676000001</v>
      </c>
      <c r="E43" s="148">
        <f>monthly_data!$J82*264.172/1000000</f>
        <v>12.373023964000001</v>
      </c>
      <c r="F43" s="148">
        <f>monthly_data!$J94*264.172/1000000</f>
        <v>71.246131712000007</v>
      </c>
      <c r="G43" s="148">
        <f>monthly_data!$J106*264.172/1000000</f>
        <v>58.086667704000007</v>
      </c>
      <c r="H43" s="148">
        <f>monthly_data!$J118*264.172/1000000</f>
        <v>26.914635876000002</v>
      </c>
      <c r="I43" s="141">
        <f t="shared" si="29"/>
        <v>41.595859045685337</v>
      </c>
      <c r="J43" s="141">
        <f t="shared" si="30"/>
        <v>39.305068008700843</v>
      </c>
      <c r="K43" s="141">
        <f t="shared" si="31"/>
        <v>43.187836742117341</v>
      </c>
      <c r="L43" s="141">
        <f t="shared" si="31"/>
        <v>41.587571756749441</v>
      </c>
      <c r="M43" s="141">
        <f t="shared" si="31"/>
        <v>39.405215888218116</v>
      </c>
      <c r="N43" s="141">
        <f t="shared" si="31"/>
        <v>42.248536753874617</v>
      </c>
      <c r="O43" s="141">
        <f t="shared" si="31"/>
        <v>41.324772908439641</v>
      </c>
      <c r="P43" s="141">
        <f t="shared" si="31"/>
        <v>40.828789440987499</v>
      </c>
      <c r="Q43" s="141">
        <f t="shared" si="31"/>
        <v>40.676256705285994</v>
      </c>
      <c r="R43" s="141">
        <f t="shared" si="31"/>
        <v>41.05996149812664</v>
      </c>
      <c r="S43" s="141">
        <f t="shared" si="31"/>
        <v>41.459792261770339</v>
      </c>
      <c r="T43" s="141">
        <f t="shared" si="31"/>
        <v>41.180601506631611</v>
      </c>
      <c r="U43" s="141">
        <f t="shared" si="31"/>
        <v>40.967561754482936</v>
      </c>
      <c r="V43" s="141">
        <f t="shared" si="31"/>
        <v>40.954137908812278</v>
      </c>
      <c r="W43" s="141">
        <f t="shared" si="31"/>
        <v>41.109588547594747</v>
      </c>
      <c r="X43" s="141">
        <f t="shared" si="31"/>
        <v>41.184833522393909</v>
      </c>
      <c r="Y43" s="141">
        <f t="shared" si="31"/>
        <v>41.110775603465719</v>
      </c>
      <c r="Z43" s="141">
        <f t="shared" si="31"/>
        <v>41.063540759807985</v>
      </c>
      <c r="AA43" s="141">
        <f t="shared" si="32"/>
        <v>41.064039361181116</v>
      </c>
      <c r="AB43" s="141">
        <f t="shared" si="32"/>
        <v>41.094844331640999</v>
      </c>
      <c r="AC43" s="141">
        <f t="shared" si="32"/>
        <v>41.109098702405539</v>
      </c>
      <c r="AD43" s="141">
        <f t="shared" si="32"/>
        <v>41.097337544652746</v>
      </c>
      <c r="AE43" s="141">
        <f t="shared" si="32"/>
        <v>41.08772208105249</v>
      </c>
      <c r="AF43" s="141">
        <f t="shared" si="32"/>
        <v>41.087646426442461</v>
      </c>
      <c r="AG43" s="141">
        <f t="shared" si="32"/>
        <v>41.092180538846002</v>
      </c>
      <c r="AH43" s="141">
        <f t="shared" si="32"/>
        <v>41.09454658642953</v>
      </c>
    </row>
    <row r="44" spans="1:34" x14ac:dyDescent="0.2">
      <c r="A44" s="130" t="s">
        <v>96</v>
      </c>
      <c r="B44" s="148">
        <v>0</v>
      </c>
      <c r="C44" s="148">
        <f>monthly_data!$J59*264.172/1000000</f>
        <v>106.57411744400001</v>
      </c>
      <c r="D44" s="148">
        <f>monthly_data!$J71*264.172/1000000</f>
        <v>19.373317792000002</v>
      </c>
      <c r="E44" s="148">
        <f>monthly_data!$J83*264.172/1000000</f>
        <v>30.868762372000003</v>
      </c>
      <c r="F44" s="148">
        <f>monthly_data!$J95*264.172/1000000</f>
        <v>66.359742228000002</v>
      </c>
      <c r="G44" s="148">
        <f>monthly_data!$J107*264.172/1000000</f>
        <v>81.59057888800001</v>
      </c>
      <c r="H44" s="148">
        <f>monthly_data!$J119*264.172/1000000</f>
        <v>66.131233448000003</v>
      </c>
      <c r="I44" s="141">
        <f t="shared" si="29"/>
        <v>60.974060322185288</v>
      </c>
      <c r="J44" s="141">
        <f t="shared" si="30"/>
        <v>57.200024007632059</v>
      </c>
      <c r="K44" s="141">
        <f t="shared" si="31"/>
        <v>60.50812304676554</v>
      </c>
      <c r="L44" s="141">
        <f t="shared" si="31"/>
        <v>64.921068522329634</v>
      </c>
      <c r="M44" s="141">
        <f t="shared" si="31"/>
        <v>63.373454727756467</v>
      </c>
      <c r="N44" s="141">
        <f t="shared" si="31"/>
        <v>63.239806775922744</v>
      </c>
      <c r="O44" s="141">
        <f t="shared" si="31"/>
        <v>62.115940511264434</v>
      </c>
      <c r="P44" s="141">
        <f t="shared" si="31"/>
        <v>61.739898988924558</v>
      </c>
      <c r="Q44" s="141">
        <f t="shared" si="31"/>
        <v>62.459643962287622</v>
      </c>
      <c r="R44" s="141">
        <f t="shared" si="31"/>
        <v>62.835572135930917</v>
      </c>
      <c r="S44" s="141">
        <f t="shared" si="31"/>
        <v>62.829950431991591</v>
      </c>
      <c r="T44" s="141">
        <f t="shared" si="31"/>
        <v>62.564364322173198</v>
      </c>
      <c r="U44" s="141">
        <f t="shared" si="31"/>
        <v>62.373952502320236</v>
      </c>
      <c r="V44" s="141">
        <f t="shared" si="31"/>
        <v>62.437832244566501</v>
      </c>
      <c r="W44" s="141">
        <f t="shared" si="31"/>
        <v>62.585768455818823</v>
      </c>
      <c r="X44" s="141">
        <f t="shared" si="31"/>
        <v>62.635171186373519</v>
      </c>
      <c r="Y44" s="141">
        <f t="shared" si="31"/>
        <v>62.567253097285807</v>
      </c>
      <c r="Z44" s="141">
        <f t="shared" si="31"/>
        <v>62.517196156593954</v>
      </c>
      <c r="AA44" s="141">
        <f t="shared" si="32"/>
        <v>62.517379619766125</v>
      </c>
      <c r="AB44" s="141">
        <f t="shared" si="32"/>
        <v>62.546729108133924</v>
      </c>
      <c r="AC44" s="141">
        <f t="shared" si="32"/>
        <v>62.565104244097292</v>
      </c>
      <c r="AD44" s="141">
        <f t="shared" si="32"/>
        <v>62.556245763335461</v>
      </c>
      <c r="AE44" s="141">
        <f t="shared" si="32"/>
        <v>62.543499167769284</v>
      </c>
      <c r="AF44" s="141">
        <f t="shared" si="32"/>
        <v>62.541283026236698</v>
      </c>
      <c r="AG44" s="141">
        <f t="shared" si="32"/>
        <v>62.545778793494627</v>
      </c>
      <c r="AH44" s="141">
        <f t="shared" si="32"/>
        <v>62.550000955225698</v>
      </c>
    </row>
    <row r="45" spans="1:34" x14ac:dyDescent="0.2">
      <c r="A45" s="130" t="s">
        <v>97</v>
      </c>
      <c r="B45" s="148">
        <v>0</v>
      </c>
      <c r="C45" s="148">
        <f>monthly_data!$J60*264.172/1000000</f>
        <v>95.906059568000003</v>
      </c>
      <c r="D45" s="148">
        <f>monthly_data!$J72*264.172/1000000</f>
        <v>16.226765100000001</v>
      </c>
      <c r="E45" s="148">
        <f>monthly_data!$J84*264.172/1000000</f>
        <v>22.460960128000004</v>
      </c>
      <c r="F45" s="148">
        <f>monthly_data!$J96*264.172/1000000</f>
        <v>58.58383940800001</v>
      </c>
      <c r="G45" s="148">
        <f>monthly_data!$J108*264.172/1000000</f>
        <v>64.969404992000008</v>
      </c>
      <c r="H45" s="148">
        <f>monthly_data!$J120*264.172/1000000</f>
        <v>37.609903467999999</v>
      </c>
      <c r="I45" s="141">
        <f t="shared" si="29"/>
        <v>46.101511898988953</v>
      </c>
      <c r="J45" s="141">
        <f t="shared" si="30"/>
        <v>42.952807785146661</v>
      </c>
      <c r="K45" s="141">
        <f t="shared" si="31"/>
        <v>45.56789273916042</v>
      </c>
      <c r="L45" s="141">
        <f t="shared" si="31"/>
        <v>47.178880347200632</v>
      </c>
      <c r="M45" s="141">
        <f t="shared" si="31"/>
        <v>44.892746585490912</v>
      </c>
      <c r="N45" s="141">
        <f t="shared" si="31"/>
        <v>46.700851132588291</v>
      </c>
      <c r="O45" s="141">
        <f t="shared" si="31"/>
        <v>45.655207826497936</v>
      </c>
      <c r="P45" s="141">
        <f t="shared" si="31"/>
        <v>45.199823027408122</v>
      </c>
      <c r="Q45" s="141">
        <f t="shared" si="31"/>
        <v>45.475267896224082</v>
      </c>
      <c r="R45" s="141">
        <f t="shared" si="31"/>
        <v>45.766739771955294</v>
      </c>
      <c r="S45" s="141">
        <f t="shared" si="31"/>
        <v>46.0172232845972</v>
      </c>
      <c r="T45" s="141">
        <f t="shared" si="31"/>
        <v>45.74580986307307</v>
      </c>
      <c r="U45" s="141">
        <f t="shared" si="31"/>
        <v>45.559214269243796</v>
      </c>
      <c r="V45" s="141">
        <f t="shared" si="31"/>
        <v>45.585184395134789</v>
      </c>
      <c r="W45" s="141">
        <f t="shared" si="31"/>
        <v>45.718350147258448</v>
      </c>
      <c r="X45" s="141">
        <f t="shared" si="31"/>
        <v>45.781289277681125</v>
      </c>
      <c r="Y45" s="141">
        <f t="shared" si="31"/>
        <v>45.712919082517075</v>
      </c>
      <c r="Z45" s="141">
        <f t="shared" si="31"/>
        <v>45.6693464920587</v>
      </c>
      <c r="AA45" s="141">
        <f t="shared" si="32"/>
        <v>45.670578266140382</v>
      </c>
      <c r="AB45" s="141">
        <f t="shared" si="32"/>
        <v>45.697473766473991</v>
      </c>
      <c r="AC45" s="141">
        <f t="shared" si="32"/>
        <v>45.712428347372047</v>
      </c>
      <c r="AD45" s="141">
        <f t="shared" si="32"/>
        <v>45.702421768118775</v>
      </c>
      <c r="AE45" s="141">
        <f t="shared" si="32"/>
        <v>45.692618208308033</v>
      </c>
      <c r="AF45" s="141">
        <f t="shared" si="32"/>
        <v>45.691810182811999</v>
      </c>
      <c r="AG45" s="141">
        <f t="shared" si="32"/>
        <v>45.69584835407187</v>
      </c>
      <c r="AH45" s="141">
        <f t="shared" si="32"/>
        <v>45.698746837174909</v>
      </c>
    </row>
    <row r="46" spans="1:34" x14ac:dyDescent="0.2">
      <c r="A46" s="130" t="s">
        <v>98</v>
      </c>
      <c r="B46" s="148">
        <v>0</v>
      </c>
      <c r="C46" s="148">
        <f>monthly_data!$J61*264.172/1000000</f>
        <v>87.306996796000007</v>
      </c>
      <c r="D46" s="148">
        <f>monthly_data!$J73*264.172/1000000</f>
        <v>13.832310092000002</v>
      </c>
      <c r="E46" s="148">
        <f>monthly_data!$J85*264.172/1000000</f>
        <v>45.513665536000005</v>
      </c>
      <c r="F46" s="148">
        <f>monthly_data!$J97*264.172/1000000</f>
        <v>71.921619516000007</v>
      </c>
      <c r="G46" s="148">
        <f>monthly_data!$J109*264.172/1000000</f>
        <v>79.733449728000011</v>
      </c>
      <c r="H46" s="148">
        <f>monthly_data!$J121*264.172/1000000</f>
        <v>50.178414712000006</v>
      </c>
      <c r="I46" s="141">
        <f t="shared" si="29"/>
        <v>60.248763376677367</v>
      </c>
      <c r="J46" s="141">
        <f t="shared" si="30"/>
        <v>57.512558359770551</v>
      </c>
      <c r="K46" s="141">
        <f t="shared" si="31"/>
        <v>58.202418753006775</v>
      </c>
      <c r="L46" s="141">
        <f t="shared" si="31"/>
        <v>60.838010280694583</v>
      </c>
      <c r="M46" s="141">
        <f t="shared" si="31"/>
        <v>58.717785639368685</v>
      </c>
      <c r="N46" s="141">
        <f t="shared" si="31"/>
        <v>60.879527718263432</v>
      </c>
      <c r="O46" s="141">
        <f t="shared" si="31"/>
        <v>59.486182614769248</v>
      </c>
      <c r="P46" s="141">
        <f t="shared" si="31"/>
        <v>58.58872909959279</v>
      </c>
      <c r="Q46" s="141">
        <f t="shared" si="31"/>
        <v>59.116753852021667</v>
      </c>
      <c r="R46" s="141">
        <f t="shared" si="31"/>
        <v>59.594733926875954</v>
      </c>
      <c r="S46" s="141">
        <f t="shared" si="31"/>
        <v>59.868381904148855</v>
      </c>
      <c r="T46" s="141">
        <f t="shared" si="31"/>
        <v>59.490858297487641</v>
      </c>
      <c r="U46" s="141">
        <f t="shared" si="31"/>
        <v>59.225607826633301</v>
      </c>
      <c r="V46" s="141">
        <f t="shared" si="31"/>
        <v>59.293209617235092</v>
      </c>
      <c r="W46" s="141">
        <f t="shared" si="31"/>
        <v>59.473114738682028</v>
      </c>
      <c r="X46" s="141">
        <f t="shared" si="31"/>
        <v>59.543241026075819</v>
      </c>
      <c r="Y46" s="141">
        <f t="shared" si="31"/>
        <v>59.450658885987451</v>
      </c>
      <c r="Z46" s="141">
        <f t="shared" si="31"/>
        <v>59.394506903309328</v>
      </c>
      <c r="AA46" s="141">
        <f t="shared" si="32"/>
        <v>59.401239990717372</v>
      </c>
      <c r="AB46" s="141">
        <f t="shared" si="32"/>
        <v>59.435614320814089</v>
      </c>
      <c r="AC46" s="141">
        <f t="shared" si="32"/>
        <v>59.452994872334202</v>
      </c>
      <c r="AD46" s="141">
        <f t="shared" si="32"/>
        <v>59.439843111579208</v>
      </c>
      <c r="AE46" s="141">
        <f t="shared" si="32"/>
        <v>59.427660157647011</v>
      </c>
      <c r="AF46" s="141">
        <f t="shared" si="32"/>
        <v>59.427186429132547</v>
      </c>
      <c r="AG46" s="141">
        <f t="shared" si="32"/>
        <v>59.432104939851016</v>
      </c>
      <c r="AH46" s="141">
        <f t="shared" si="32"/>
        <v>59.43559564072315</v>
      </c>
    </row>
    <row r="47" spans="1:34" x14ac:dyDescent="0.2">
      <c r="A47" s="130" t="s">
        <v>99</v>
      </c>
      <c r="B47" s="148">
        <v>0</v>
      </c>
      <c r="C47" s="148">
        <f>monthly_data!$J62*264.172/1000000</f>
        <v>81.992384500000014</v>
      </c>
      <c r="D47" s="148">
        <f>monthly_data!$J74*264.172/1000000</f>
        <v>22.519606312000004</v>
      </c>
      <c r="E47" s="148">
        <f>monthly_data!$J86*264.172/1000000</f>
        <v>48.819513944000008</v>
      </c>
      <c r="F47" s="148">
        <f>monthly_data!$J98*264.172/1000000</f>
        <v>50.22305978</v>
      </c>
      <c r="G47" s="148">
        <f>monthly_data!$J110*264.172/1000000</f>
        <v>75.805740432000007</v>
      </c>
      <c r="H47" s="148">
        <f>monthly_data!$J122*264.172/1000000</f>
        <v>54.107444868000009</v>
      </c>
      <c r="I47" s="141">
        <f t="shared" si="29"/>
        <v>58.010227164587953</v>
      </c>
      <c r="J47" s="141">
        <f t="shared" si="30"/>
        <v>53.655290390631521</v>
      </c>
      <c r="K47" s="141">
        <f t="shared" si="31"/>
        <v>53.140939962910842</v>
      </c>
      <c r="L47" s="141">
        <f t="shared" si="31"/>
        <v>58.619113033964737</v>
      </c>
      <c r="M47" s="141">
        <f t="shared" si="31"/>
        <v>56.784844624735555</v>
      </c>
      <c r="N47" s="141">
        <f t="shared" si="31"/>
        <v>57.725719067399474</v>
      </c>
      <c r="O47" s="141">
        <f t="shared" si="31"/>
        <v>56.227272384704619</v>
      </c>
      <c r="P47" s="141">
        <f t="shared" si="31"/>
        <v>55.517826332817492</v>
      </c>
      <c r="Q47" s="141">
        <f t="shared" si="31"/>
        <v>56.416397108303883</v>
      </c>
      <c r="R47" s="141">
        <f t="shared" si="31"/>
        <v>56.760079961890355</v>
      </c>
      <c r="S47" s="141">
        <f t="shared" si="31"/>
        <v>56.847743210246684</v>
      </c>
      <c r="T47" s="141">
        <f t="shared" si="31"/>
        <v>56.505742297918836</v>
      </c>
      <c r="U47" s="141">
        <f t="shared" si="31"/>
        <v>56.308509085926786</v>
      </c>
      <c r="V47" s="141">
        <f t="shared" si="31"/>
        <v>56.409712358804789</v>
      </c>
      <c r="W47" s="141">
        <f t="shared" si="31"/>
        <v>56.545969216269548</v>
      </c>
      <c r="X47" s="141">
        <f t="shared" si="31"/>
        <v>56.592924371012309</v>
      </c>
      <c r="Y47" s="141">
        <f t="shared" si="31"/>
        <v>56.515780209819809</v>
      </c>
      <c r="Z47" s="141">
        <f t="shared" si="31"/>
        <v>56.472050391971152</v>
      </c>
      <c r="AA47" s="141">
        <f t="shared" si="32"/>
        <v>56.479042441455491</v>
      </c>
      <c r="AB47" s="141">
        <f t="shared" si="32"/>
        <v>56.505050491365452</v>
      </c>
      <c r="AC47" s="141">
        <f t="shared" si="32"/>
        <v>56.520520462970623</v>
      </c>
      <c r="AD47" s="141">
        <f t="shared" si="32"/>
        <v>56.510696165981962</v>
      </c>
      <c r="AE47" s="141">
        <f t="shared" si="32"/>
        <v>56.500153375028212</v>
      </c>
      <c r="AF47" s="141">
        <f t="shared" si="32"/>
        <v>56.499019615233202</v>
      </c>
      <c r="AG47" s="141">
        <f t="shared" si="32"/>
        <v>56.502757686962418</v>
      </c>
      <c r="AH47" s="141">
        <f t="shared" si="32"/>
        <v>56.506285054068151</v>
      </c>
    </row>
    <row r="48" spans="1:34" x14ac:dyDescent="0.2">
      <c r="A48" s="130" t="s">
        <v>100</v>
      </c>
      <c r="B48" s="148">
        <v>0</v>
      </c>
      <c r="C48" s="148">
        <f>monthly_data!$J63*264.172/1000000</f>
        <v>115.38504616000002</v>
      </c>
      <c r="D48" s="148">
        <f>monthly_data!$J75*264.172/1000000</f>
        <v>23.123503504000002</v>
      </c>
      <c r="E48" s="148">
        <f>monthly_data!$J87*264.172/1000000</f>
        <v>52.648687084000009</v>
      </c>
      <c r="F48" s="148">
        <f>monthly_data!$J99*264.172/1000000</f>
        <v>93.442655668000015</v>
      </c>
      <c r="G48" s="148">
        <f>monthly_data!$J111*264.172/1000000</f>
        <v>68.49583702000001</v>
      </c>
      <c r="H48" s="148">
        <f>monthly_data!$J123*264.172/1000000</f>
        <v>56.594095904000007</v>
      </c>
      <c r="I48" s="141">
        <f t="shared" ref="I48:Q48" si="33">I49-SUM(I37:I47)</f>
        <v>67.890097596814712</v>
      </c>
      <c r="J48" s="141">
        <f t="shared" si="33"/>
        <v>63.397663387698685</v>
      </c>
      <c r="K48" s="141">
        <f t="shared" si="33"/>
        <v>63.706887946009601</v>
      </c>
      <c r="L48" s="141">
        <f t="shared" si="33"/>
        <v>63.664145710634557</v>
      </c>
      <c r="M48" s="141">
        <f t="shared" si="33"/>
        <v>64.502547129422851</v>
      </c>
      <c r="N48" s="141">
        <f t="shared" si="33"/>
        <v>66.573973764394395</v>
      </c>
      <c r="O48" s="141">
        <f t="shared" si="33"/>
        <v>64.647388030343677</v>
      </c>
      <c r="P48" s="141">
        <f t="shared" si="33"/>
        <v>63.496152024456933</v>
      </c>
      <c r="Q48" s="141">
        <f t="shared" si="33"/>
        <v>63.943757724850116</v>
      </c>
      <c r="R48" s="141">
        <f>R49-SUM(R37:R47)</f>
        <v>64.890757933329951</v>
      </c>
      <c r="S48" s="141">
        <f>S49-SUM(S37:S47)</f>
        <v>65.074752250193114</v>
      </c>
      <c r="T48" s="141">
        <f t="shared" ref="T48:AF48" si="34">T49-SUM(T37:T47)</f>
        <v>64.584153582810018</v>
      </c>
      <c r="U48" s="141">
        <f t="shared" si="34"/>
        <v>64.282556143664351</v>
      </c>
      <c r="V48" s="141">
        <f t="shared" si="34"/>
        <v>64.374906099497252</v>
      </c>
      <c r="W48" s="141">
        <f t="shared" si="34"/>
        <v>64.618126545012956</v>
      </c>
      <c r="X48" s="141">
        <f t="shared" si="34"/>
        <v>64.666186767270915</v>
      </c>
      <c r="Y48" s="141">
        <f t="shared" si="34"/>
        <v>64.554540549385933</v>
      </c>
      <c r="Z48" s="141">
        <f t="shared" si="34"/>
        <v>64.496375258325315</v>
      </c>
      <c r="AA48" s="141">
        <f t="shared" si="34"/>
        <v>64.50976605369965</v>
      </c>
      <c r="AB48" s="141">
        <f t="shared" si="34"/>
        <v>64.550603374714115</v>
      </c>
      <c r="AC48" s="141">
        <f t="shared" si="34"/>
        <v>64.564119870448621</v>
      </c>
      <c r="AD48" s="141">
        <f t="shared" si="34"/>
        <v>64.549024816992187</v>
      </c>
      <c r="AE48" s="141">
        <f t="shared" si="34"/>
        <v>64.537040673712681</v>
      </c>
      <c r="AF48" s="141">
        <f t="shared" si="34"/>
        <v>64.537458500730622</v>
      </c>
      <c r="AG48" s="141">
        <f>AG49-SUM(AG37:AG47)</f>
        <v>64.542702935912757</v>
      </c>
      <c r="AH48" s="141">
        <f>AH49-SUM(AH37:AH47)</f>
        <v>64.54567595211131</v>
      </c>
    </row>
    <row r="49" spans="1:34" ht="12" thickBot="1" x14ac:dyDescent="0.25">
      <c r="A49" s="130" t="s">
        <v>134</v>
      </c>
      <c r="B49" s="141">
        <f t="shared" ref="B49:H49" si="35">SUM(B37:B48)</f>
        <v>0</v>
      </c>
      <c r="C49" s="141">
        <f t="shared" si="35"/>
        <v>1036.3192821120001</v>
      </c>
      <c r="D49" s="141">
        <f t="shared" si="35"/>
        <v>360.66082300000005</v>
      </c>
      <c r="E49" s="141">
        <f t="shared" si="35"/>
        <v>298.00001711600004</v>
      </c>
      <c r="F49" s="141">
        <f t="shared" si="35"/>
        <v>615.94343520000018</v>
      </c>
      <c r="G49" s="141">
        <f t="shared" si="35"/>
        <v>708.04990889200008</v>
      </c>
      <c r="H49" s="141">
        <f t="shared" si="35"/>
        <v>715.550280316</v>
      </c>
      <c r="I49" s="141">
        <f t="shared" ref="I49:Q49" si="36">I7</f>
        <v>622.42062443933344</v>
      </c>
      <c r="J49" s="141">
        <f t="shared" si="36"/>
        <v>553.43751482722234</v>
      </c>
      <c r="K49" s="141">
        <f t="shared" si="36"/>
        <v>585.56696346509273</v>
      </c>
      <c r="L49" s="141">
        <f t="shared" si="36"/>
        <v>633.49478785660813</v>
      </c>
      <c r="M49" s="141">
        <f t="shared" si="36"/>
        <v>636.42001329937614</v>
      </c>
      <c r="N49" s="141">
        <f t="shared" si="36"/>
        <v>624.48169736727209</v>
      </c>
      <c r="O49" s="141">
        <f t="shared" si="36"/>
        <v>609.30360020915077</v>
      </c>
      <c r="P49" s="141">
        <f t="shared" si="36"/>
        <v>607.11742950412031</v>
      </c>
      <c r="Q49" s="141">
        <f t="shared" si="36"/>
        <v>616.06408195027007</v>
      </c>
      <c r="R49" s="141">
        <f>R7</f>
        <v>621.1469350311329</v>
      </c>
      <c r="S49" s="141">
        <f>S7</f>
        <v>619.08895956022036</v>
      </c>
      <c r="T49" s="141">
        <f t="shared" ref="T49:AF49" si="37">T7</f>
        <v>616.20045060369432</v>
      </c>
      <c r="U49" s="141">
        <f t="shared" si="37"/>
        <v>614.82024280976475</v>
      </c>
      <c r="V49" s="141">
        <f t="shared" si="37"/>
        <v>615.73968324320037</v>
      </c>
      <c r="W49" s="141">
        <f t="shared" si="37"/>
        <v>617.17672553304715</v>
      </c>
      <c r="X49" s="141">
        <f t="shared" si="37"/>
        <v>617.36216613017666</v>
      </c>
      <c r="Y49" s="141">
        <f t="shared" si="37"/>
        <v>616.73137131335068</v>
      </c>
      <c r="Z49" s="141">
        <f t="shared" si="37"/>
        <v>616.3384399388724</v>
      </c>
      <c r="AA49" s="141">
        <f t="shared" si="37"/>
        <v>616.36143816140202</v>
      </c>
      <c r="AB49" s="141">
        <f t="shared" si="37"/>
        <v>616.6183040533416</v>
      </c>
      <c r="AC49" s="141">
        <f t="shared" si="37"/>
        <v>616.76474085503173</v>
      </c>
      <c r="AD49" s="141">
        <f t="shared" si="37"/>
        <v>616.69607674202916</v>
      </c>
      <c r="AE49" s="141">
        <f t="shared" si="37"/>
        <v>616.5850618440046</v>
      </c>
      <c r="AF49" s="141">
        <f t="shared" si="37"/>
        <v>616.56067693244688</v>
      </c>
      <c r="AG49" s="141">
        <f>AG7</f>
        <v>616.59771643137594</v>
      </c>
      <c r="AH49" s="141">
        <f>AH7</f>
        <v>616.63709614303832</v>
      </c>
    </row>
    <row r="50" spans="1:34" x14ac:dyDescent="0.2">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row>
    <row r="51" spans="1:34" ht="12" thickBot="1" x14ac:dyDescent="0.25">
      <c r="A51" s="130" t="s">
        <v>146</v>
      </c>
    </row>
    <row r="52" spans="1:34" ht="12" thickBot="1" x14ac:dyDescent="0.25">
      <c r="A52" s="128" t="s">
        <v>147</v>
      </c>
      <c r="B52" s="140">
        <f t="shared" ref="B52:Q52" si="38">B4</f>
        <v>2018</v>
      </c>
      <c r="C52" s="140">
        <f t="shared" si="38"/>
        <v>2019</v>
      </c>
      <c r="D52" s="140">
        <f t="shared" si="38"/>
        <v>2020</v>
      </c>
      <c r="E52" s="140">
        <f t="shared" si="38"/>
        <v>2021</v>
      </c>
      <c r="F52" s="140">
        <f t="shared" si="38"/>
        <v>2022</v>
      </c>
      <c r="G52" s="140">
        <f t="shared" si="38"/>
        <v>2023</v>
      </c>
      <c r="H52" s="140">
        <f t="shared" si="38"/>
        <v>2024</v>
      </c>
      <c r="I52" s="140">
        <f t="shared" si="38"/>
        <v>2025</v>
      </c>
      <c r="J52" s="140">
        <f t="shared" si="38"/>
        <v>2026</v>
      </c>
      <c r="K52" s="140">
        <f t="shared" si="38"/>
        <v>2027</v>
      </c>
      <c r="L52" s="140">
        <f t="shared" si="38"/>
        <v>2028</v>
      </c>
      <c r="M52" s="140">
        <f t="shared" si="38"/>
        <v>2029</v>
      </c>
      <c r="N52" s="140">
        <f t="shared" si="38"/>
        <v>2030</v>
      </c>
      <c r="O52" s="140">
        <f t="shared" si="38"/>
        <v>2031</v>
      </c>
      <c r="P52" s="140">
        <f t="shared" si="38"/>
        <v>2032</v>
      </c>
      <c r="Q52" s="140">
        <f t="shared" si="38"/>
        <v>2033</v>
      </c>
      <c r="R52" s="140">
        <f>R4</f>
        <v>2034</v>
      </c>
      <c r="S52" s="140">
        <f>S4</f>
        <v>2035</v>
      </c>
      <c r="T52" s="140">
        <f t="shared" ref="T52:AF52" si="39">T4</f>
        <v>2036</v>
      </c>
      <c r="U52" s="140">
        <f t="shared" si="39"/>
        <v>2037</v>
      </c>
      <c r="V52" s="140">
        <f t="shared" si="39"/>
        <v>2038</v>
      </c>
      <c r="W52" s="140">
        <f t="shared" si="39"/>
        <v>2039</v>
      </c>
      <c r="X52" s="140">
        <f t="shared" si="39"/>
        <v>2040</v>
      </c>
      <c r="Y52" s="140">
        <f t="shared" si="39"/>
        <v>2041</v>
      </c>
      <c r="Z52" s="140">
        <f t="shared" si="39"/>
        <v>2042</v>
      </c>
      <c r="AA52" s="140">
        <f t="shared" si="39"/>
        <v>2043</v>
      </c>
      <c r="AB52" s="140">
        <f t="shared" si="39"/>
        <v>2044</v>
      </c>
      <c r="AC52" s="140">
        <f t="shared" si="39"/>
        <v>2045</v>
      </c>
      <c r="AD52" s="140">
        <f t="shared" si="39"/>
        <v>2046</v>
      </c>
      <c r="AE52" s="140">
        <f t="shared" si="39"/>
        <v>2047</v>
      </c>
      <c r="AF52" s="140">
        <f t="shared" si="39"/>
        <v>2048</v>
      </c>
      <c r="AG52" s="140">
        <f>AG4</f>
        <v>2049</v>
      </c>
      <c r="AH52" s="140">
        <f>AH4</f>
        <v>2050</v>
      </c>
    </row>
    <row r="53" spans="1:34" x14ac:dyDescent="0.2">
      <c r="A53" s="130" t="s">
        <v>89</v>
      </c>
      <c r="B53" s="148">
        <v>0</v>
      </c>
      <c r="C53" s="148">
        <f>monthly_data!$L52*264.172/1000000</f>
        <v>19.772745856000004</v>
      </c>
      <c r="D53" s="148">
        <f>monthly_data!$L64*264.172/1000000</f>
        <v>15.190154172000002</v>
      </c>
      <c r="E53" s="148">
        <f>monthly_data!$L76*264.172/1000000</f>
        <v>14.582822744000001</v>
      </c>
      <c r="F53" s="148">
        <f>monthly_data!$L88*264.172/1000000</f>
        <v>11.01993498</v>
      </c>
      <c r="G53" s="148">
        <f>monthly_data!$L100*264.172/1000000</f>
        <v>4.4021622080000009</v>
      </c>
      <c r="H53" s="148">
        <f>monthly_data!$L112*264.172/1000000</f>
        <v>5.7531378160000006</v>
      </c>
      <c r="I53" s="141">
        <f t="shared" ref="I53:I63" si="40">I$65*(SUM(D53:H53)/SUM(D$65:H$65))</f>
        <v>10.189642384000001</v>
      </c>
      <c r="J53" s="141">
        <f t="shared" ref="J53:J63" si="41">J$65*(SUM(E53:I53)/SUM(E$65:I$65))</f>
        <v>9.1895400263999996</v>
      </c>
      <c r="K53" s="141">
        <f t="shared" ref="K53:Z63" si="42">K$65*(SUM(F53:J53)/SUM(F$65:J$65))</f>
        <v>8.1108834828800003</v>
      </c>
      <c r="L53" s="141">
        <f t="shared" si="42"/>
        <v>7.529073183456001</v>
      </c>
      <c r="M53" s="141">
        <f t="shared" si="42"/>
        <v>8.1544553785472011</v>
      </c>
      <c r="N53" s="141">
        <f t="shared" si="42"/>
        <v>8.6347188910566395</v>
      </c>
      <c r="O53" s="141">
        <f t="shared" si="42"/>
        <v>8.3237341924679669</v>
      </c>
      <c r="P53" s="141">
        <f t="shared" si="42"/>
        <v>8.1505730256815614</v>
      </c>
      <c r="Q53" s="141">
        <f t="shared" si="42"/>
        <v>8.1585109342418729</v>
      </c>
      <c r="R53" s="141">
        <f t="shared" si="42"/>
        <v>8.2843984843990484</v>
      </c>
      <c r="S53" s="141">
        <f t="shared" si="42"/>
        <v>8.3103871055694185</v>
      </c>
      <c r="T53" s="141">
        <f t="shared" si="42"/>
        <v>8.2455207484719732</v>
      </c>
      <c r="U53" s="141">
        <f t="shared" si="42"/>
        <v>8.2298780596727745</v>
      </c>
      <c r="V53" s="141">
        <f t="shared" si="42"/>
        <v>8.2457390664710157</v>
      </c>
      <c r="W53" s="141">
        <f t="shared" si="42"/>
        <v>8.2631846929168447</v>
      </c>
      <c r="X53" s="141">
        <f t="shared" si="42"/>
        <v>8.2589419346204043</v>
      </c>
      <c r="Y53" s="141">
        <f t="shared" si="42"/>
        <v>8.2486529004306028</v>
      </c>
      <c r="Z53" s="141">
        <f t="shared" si="42"/>
        <v>8.2492793308223273</v>
      </c>
      <c r="AA53" s="141">
        <f t="shared" ref="AA53:AH63" si="43">AA$65*(SUM(V53:Z53)/SUM(V$65:Z$65))</f>
        <v>8.2531595850522379</v>
      </c>
      <c r="AB53" s="141">
        <f t="shared" si="43"/>
        <v>8.254643688768482</v>
      </c>
      <c r="AC53" s="141">
        <f t="shared" si="43"/>
        <v>8.2529354879388119</v>
      </c>
      <c r="AD53" s="141">
        <f t="shared" si="43"/>
        <v>8.2517341986024935</v>
      </c>
      <c r="AE53" s="141">
        <f t="shared" si="43"/>
        <v>8.2523504582368705</v>
      </c>
      <c r="AF53" s="141">
        <f t="shared" si="43"/>
        <v>8.2529646837197799</v>
      </c>
      <c r="AG53" s="141">
        <f t="shared" si="43"/>
        <v>8.2529257034532879</v>
      </c>
      <c r="AH53" s="141">
        <f t="shared" si="43"/>
        <v>8.252582106390248</v>
      </c>
    </row>
    <row r="54" spans="1:34" x14ac:dyDescent="0.2">
      <c r="A54" s="130" t="s">
        <v>90</v>
      </c>
      <c r="B54" s="148">
        <v>0</v>
      </c>
      <c r="C54" s="148">
        <f>monthly_data!$L53*264.172/1000000</f>
        <v>19.001099444000001</v>
      </c>
      <c r="D54" s="148">
        <f>monthly_data!$L65*264.172/1000000</f>
        <v>19.300142148000003</v>
      </c>
      <c r="E54" s="148">
        <f>monthly_data!$L77*264.172/1000000</f>
        <v>14.006663612000002</v>
      </c>
      <c r="F54" s="148">
        <f>monthly_data!$L89*264.172/1000000</f>
        <v>8.4680334600000009</v>
      </c>
      <c r="G54" s="148">
        <f>monthly_data!$L101*264.172/1000000</f>
        <v>6.6315097160000009</v>
      </c>
      <c r="H54" s="148">
        <f>monthly_data!$L113*264.172/1000000</f>
        <v>10.536764392</v>
      </c>
      <c r="I54" s="141">
        <f t="shared" si="40"/>
        <v>11.788622665600002</v>
      </c>
      <c r="J54" s="141">
        <f t="shared" si="41"/>
        <v>10.286318769120001</v>
      </c>
      <c r="K54" s="141">
        <f t="shared" si="42"/>
        <v>9.5422498005440008</v>
      </c>
      <c r="L54" s="141">
        <f t="shared" si="42"/>
        <v>9.7570930686528019</v>
      </c>
      <c r="M54" s="141">
        <f t="shared" si="42"/>
        <v>10.382209739183359</v>
      </c>
      <c r="N54" s="141">
        <f t="shared" si="42"/>
        <v>10.351298808620033</v>
      </c>
      <c r="O54" s="141">
        <f t="shared" si="42"/>
        <v>10.063834037224039</v>
      </c>
      <c r="P54" s="141">
        <f t="shared" si="42"/>
        <v>10.019337090844846</v>
      </c>
      <c r="Q54" s="141">
        <f t="shared" si="42"/>
        <v>10.114754548905013</v>
      </c>
      <c r="R54" s="141">
        <f t="shared" si="42"/>
        <v>10.186286844955458</v>
      </c>
      <c r="S54" s="141">
        <f t="shared" si="42"/>
        <v>10.147102266109878</v>
      </c>
      <c r="T54" s="141">
        <f t="shared" si="42"/>
        <v>10.106262957607846</v>
      </c>
      <c r="U54" s="141">
        <f t="shared" si="42"/>
        <v>10.114748741684608</v>
      </c>
      <c r="V54" s="141">
        <f t="shared" si="42"/>
        <v>10.13383107185256</v>
      </c>
      <c r="W54" s="141">
        <f t="shared" si="42"/>
        <v>10.137646376442071</v>
      </c>
      <c r="X54" s="141">
        <f t="shared" si="42"/>
        <v>10.127918282739392</v>
      </c>
      <c r="Y54" s="141">
        <f t="shared" si="42"/>
        <v>10.124081486065297</v>
      </c>
      <c r="Z54" s="141">
        <f t="shared" si="42"/>
        <v>10.127645191756788</v>
      </c>
      <c r="AA54" s="141">
        <f t="shared" si="43"/>
        <v>10.130224481771222</v>
      </c>
      <c r="AB54" s="141">
        <f t="shared" si="43"/>
        <v>10.129503163754954</v>
      </c>
      <c r="AC54" s="141">
        <f t="shared" si="43"/>
        <v>10.127874521217532</v>
      </c>
      <c r="AD54" s="141">
        <f t="shared" si="43"/>
        <v>10.127865768913159</v>
      </c>
      <c r="AE54" s="141">
        <f t="shared" si="43"/>
        <v>10.128622625482731</v>
      </c>
      <c r="AF54" s="141">
        <f t="shared" si="43"/>
        <v>10.128818112227918</v>
      </c>
      <c r="AG54" s="141">
        <f t="shared" si="43"/>
        <v>10.128536838319256</v>
      </c>
      <c r="AH54" s="141">
        <f t="shared" si="43"/>
        <v>10.128343573232119</v>
      </c>
    </row>
    <row r="55" spans="1:34" x14ac:dyDescent="0.2">
      <c r="A55" s="130" t="s">
        <v>91</v>
      </c>
      <c r="B55" s="148">
        <v>0</v>
      </c>
      <c r="C55" s="148">
        <f>monthly_data!$L54*264.172/1000000</f>
        <v>31.039681656000003</v>
      </c>
      <c r="D55" s="148">
        <f>monthly_data!$L66*264.172/1000000</f>
        <v>24.033047700000004</v>
      </c>
      <c r="E55" s="148">
        <f>monthly_data!$L78*264.172/1000000</f>
        <v>9.7117552360000019</v>
      </c>
      <c r="F55" s="148">
        <f>monthly_data!$L90*264.172/1000000</f>
        <v>20.284447020000002</v>
      </c>
      <c r="G55" s="148">
        <f>monthly_data!$L102*264.172/1000000</f>
        <v>13.854764712000001</v>
      </c>
      <c r="H55" s="148">
        <f>monthly_data!$L114*264.172/1000000</f>
        <v>12.856458724000001</v>
      </c>
      <c r="I55" s="141">
        <f t="shared" si="40"/>
        <v>16.148094678400003</v>
      </c>
      <c r="J55" s="141">
        <f t="shared" si="41"/>
        <v>14.571104074080003</v>
      </c>
      <c r="K55" s="141">
        <f t="shared" si="42"/>
        <v>15.542973841696002</v>
      </c>
      <c r="L55" s="141">
        <f t="shared" si="42"/>
        <v>14.594679206035202</v>
      </c>
      <c r="M55" s="141">
        <f t="shared" si="42"/>
        <v>14.742662104842241</v>
      </c>
      <c r="N55" s="141">
        <f t="shared" si="42"/>
        <v>15.119902781010691</v>
      </c>
      <c r="O55" s="141">
        <f t="shared" si="42"/>
        <v>14.914264401532829</v>
      </c>
      <c r="P55" s="141">
        <f t="shared" si="42"/>
        <v>14.982896467023396</v>
      </c>
      <c r="Q55" s="141">
        <f t="shared" si="42"/>
        <v>14.870880992088871</v>
      </c>
      <c r="R55" s="141">
        <f t="shared" si="42"/>
        <v>14.926121349299606</v>
      </c>
      <c r="S55" s="141">
        <f t="shared" si="42"/>
        <v>14.962813198191078</v>
      </c>
      <c r="T55" s="141">
        <f t="shared" si="42"/>
        <v>14.931395281627157</v>
      </c>
      <c r="U55" s="141">
        <f t="shared" si="42"/>
        <v>14.93482145764602</v>
      </c>
      <c r="V55" s="141">
        <f t="shared" si="42"/>
        <v>14.925206455770546</v>
      </c>
      <c r="W55" s="141">
        <f t="shared" si="42"/>
        <v>14.936071548506883</v>
      </c>
      <c r="X55" s="141">
        <f t="shared" si="42"/>
        <v>14.93806158834834</v>
      </c>
      <c r="Y55" s="141">
        <f t="shared" si="42"/>
        <v>14.93311126637979</v>
      </c>
      <c r="Z55" s="141">
        <f t="shared" si="42"/>
        <v>14.933454463330317</v>
      </c>
      <c r="AA55" s="141">
        <f t="shared" si="43"/>
        <v>14.933181064467174</v>
      </c>
      <c r="AB55" s="141">
        <f t="shared" si="43"/>
        <v>14.9347759862065</v>
      </c>
      <c r="AC55" s="141">
        <f t="shared" si="43"/>
        <v>14.934516873746428</v>
      </c>
      <c r="AD55" s="141">
        <f t="shared" si="43"/>
        <v>14.933807930826044</v>
      </c>
      <c r="AE55" s="141">
        <f t="shared" si="43"/>
        <v>14.933947263715293</v>
      </c>
      <c r="AF55" s="141">
        <f t="shared" si="43"/>
        <v>14.934045823792287</v>
      </c>
      <c r="AG55" s="141">
        <f t="shared" si="43"/>
        <v>14.93421877565731</v>
      </c>
      <c r="AH55" s="141">
        <f t="shared" si="43"/>
        <v>14.934107333547471</v>
      </c>
    </row>
    <row r="56" spans="1:34" x14ac:dyDescent="0.2">
      <c r="A56" s="130" t="s">
        <v>92</v>
      </c>
      <c r="B56" s="148">
        <v>0</v>
      </c>
      <c r="C56" s="148">
        <f>monthly_data!$L55*264.172/1000000</f>
        <v>31.862313264000001</v>
      </c>
      <c r="D56" s="148">
        <f>monthly_data!$L67*264.172/1000000</f>
        <v>0.19205304400000003</v>
      </c>
      <c r="E56" s="148">
        <f>monthly_data!$L79*264.172/1000000</f>
        <v>7.8340206600000011</v>
      </c>
      <c r="F56" s="148">
        <f>monthly_data!$L91*264.172/1000000</f>
        <v>14.885299684000001</v>
      </c>
      <c r="G56" s="148">
        <f>monthly_data!$L103*264.172/1000000</f>
        <v>12.207652292000001</v>
      </c>
      <c r="H56" s="148">
        <f>monthly_data!$L115*264.172/1000000</f>
        <v>6.3509590520000012</v>
      </c>
      <c r="I56" s="141">
        <f t="shared" si="40"/>
        <v>8.2939969464000001</v>
      </c>
      <c r="J56" s="141">
        <f t="shared" si="41"/>
        <v>9.9143857268800009</v>
      </c>
      <c r="K56" s="141">
        <f t="shared" si="42"/>
        <v>10.330458740256001</v>
      </c>
      <c r="L56" s="141">
        <f t="shared" si="42"/>
        <v>9.4194905515072005</v>
      </c>
      <c r="M56" s="141">
        <f t="shared" si="42"/>
        <v>8.8618582034086408</v>
      </c>
      <c r="N56" s="141">
        <f t="shared" si="42"/>
        <v>9.3640380336903686</v>
      </c>
      <c r="O56" s="141">
        <f t="shared" si="42"/>
        <v>9.578046251148443</v>
      </c>
      <c r="P56" s="141">
        <f t="shared" si="42"/>
        <v>9.5107783560021311</v>
      </c>
      <c r="Q56" s="141">
        <f t="shared" si="42"/>
        <v>9.3468422791513568</v>
      </c>
      <c r="R56" s="141">
        <f t="shared" si="42"/>
        <v>9.3323126246801866</v>
      </c>
      <c r="S56" s="141">
        <f t="shared" si="42"/>
        <v>9.4264035089344969</v>
      </c>
      <c r="T56" s="141">
        <f t="shared" si="42"/>
        <v>9.4388766039833243</v>
      </c>
      <c r="U56" s="141">
        <f t="shared" si="42"/>
        <v>9.4110426745502984</v>
      </c>
      <c r="V56" s="141">
        <f t="shared" si="42"/>
        <v>9.3910955382599326</v>
      </c>
      <c r="W56" s="141">
        <f t="shared" si="42"/>
        <v>9.3999461900816463</v>
      </c>
      <c r="X56" s="141">
        <f t="shared" si="42"/>
        <v>9.4134729031619404</v>
      </c>
      <c r="Y56" s="141">
        <f t="shared" si="42"/>
        <v>9.4108867820074291</v>
      </c>
      <c r="Z56" s="141">
        <f t="shared" si="42"/>
        <v>9.4052888176122504</v>
      </c>
      <c r="AA56" s="141">
        <f t="shared" si="43"/>
        <v>9.4041380462246416</v>
      </c>
      <c r="AB56" s="141">
        <f t="shared" si="43"/>
        <v>9.4067465478175816</v>
      </c>
      <c r="AC56" s="141">
        <f t="shared" si="43"/>
        <v>9.4081066193647693</v>
      </c>
      <c r="AD56" s="141">
        <f t="shared" si="43"/>
        <v>9.4070333626053362</v>
      </c>
      <c r="AE56" s="141">
        <f t="shared" si="43"/>
        <v>9.4062626787249144</v>
      </c>
      <c r="AF56" s="141">
        <f t="shared" si="43"/>
        <v>9.4064574509474479</v>
      </c>
      <c r="AG56" s="141">
        <f t="shared" si="43"/>
        <v>9.4069213318920077</v>
      </c>
      <c r="AH56" s="141">
        <f t="shared" si="43"/>
        <v>9.4069562887068958</v>
      </c>
    </row>
    <row r="57" spans="1:34" x14ac:dyDescent="0.2">
      <c r="A57" s="130" t="s">
        <v>93</v>
      </c>
      <c r="B57" s="148">
        <v>0</v>
      </c>
      <c r="C57" s="148">
        <f>monthly_data!$L56*264.172/1000000</f>
        <v>48.208219936000006</v>
      </c>
      <c r="D57" s="148">
        <f>monthly_data!$L68*264.172/1000000</f>
        <v>5.9399074200000008</v>
      </c>
      <c r="E57" s="148">
        <f>monthly_data!$L80*264.172/1000000</f>
        <v>4.3635930960000007</v>
      </c>
      <c r="F57" s="148">
        <f>monthly_data!$L92*264.172/1000000</f>
        <v>17.933580392</v>
      </c>
      <c r="G57" s="148">
        <f>monthly_data!$L104*264.172/1000000</f>
        <v>17.646689600000002</v>
      </c>
      <c r="H57" s="148">
        <f>monthly_data!$L116*264.172/1000000</f>
        <v>8.8077586520000004</v>
      </c>
      <c r="I57" s="141">
        <f t="shared" si="40"/>
        <v>10.938305832000001</v>
      </c>
      <c r="J57" s="141">
        <f t="shared" si="41"/>
        <v>11.937985514400001</v>
      </c>
      <c r="K57" s="141">
        <f t="shared" si="42"/>
        <v>13.45286399808</v>
      </c>
      <c r="L57" s="141">
        <f t="shared" si="42"/>
        <v>12.556720719295999</v>
      </c>
      <c r="M57" s="141">
        <f t="shared" si="42"/>
        <v>11.538726943155199</v>
      </c>
      <c r="N57" s="141">
        <f t="shared" si="42"/>
        <v>12.084920601386239</v>
      </c>
      <c r="O57" s="141">
        <f t="shared" si="42"/>
        <v>12.314243555263486</v>
      </c>
      <c r="P57" s="141">
        <f t="shared" si="42"/>
        <v>12.389495163436184</v>
      </c>
      <c r="Q57" s="141">
        <f t="shared" si="42"/>
        <v>12.176821396507419</v>
      </c>
      <c r="R57" s="141">
        <f t="shared" si="42"/>
        <v>12.100841531949706</v>
      </c>
      <c r="S57" s="141">
        <f t="shared" si="42"/>
        <v>12.213264449708607</v>
      </c>
      <c r="T57" s="141">
        <f t="shared" si="42"/>
        <v>12.238933219373081</v>
      </c>
      <c r="U57" s="141">
        <f t="shared" si="42"/>
        <v>12.223871152195001</v>
      </c>
      <c r="V57" s="141">
        <f t="shared" si="42"/>
        <v>12.190746349946764</v>
      </c>
      <c r="W57" s="141">
        <f t="shared" si="42"/>
        <v>12.193531340634632</v>
      </c>
      <c r="X57" s="141">
        <f t="shared" si="42"/>
        <v>12.212069302371617</v>
      </c>
      <c r="Y57" s="141">
        <f t="shared" si="42"/>
        <v>12.211830272904219</v>
      </c>
      <c r="Z57" s="141">
        <f t="shared" si="42"/>
        <v>12.206409683610449</v>
      </c>
      <c r="AA57" s="141">
        <f t="shared" si="43"/>
        <v>12.202917389893537</v>
      </c>
      <c r="AB57" s="141">
        <f t="shared" si="43"/>
        <v>12.20535159788289</v>
      </c>
      <c r="AC57" s="141">
        <f t="shared" si="43"/>
        <v>12.207715649332542</v>
      </c>
      <c r="AD57" s="141">
        <f t="shared" si="43"/>
        <v>12.206844918724727</v>
      </c>
      <c r="AE57" s="141">
        <f t="shared" si="43"/>
        <v>12.205847847888828</v>
      </c>
      <c r="AF57" s="141">
        <f t="shared" si="43"/>
        <v>12.205735480744503</v>
      </c>
      <c r="AG57" s="141">
        <f t="shared" si="43"/>
        <v>12.206299098914696</v>
      </c>
      <c r="AH57" s="141">
        <f t="shared" si="43"/>
        <v>12.206488599121059</v>
      </c>
    </row>
    <row r="58" spans="1:34" x14ac:dyDescent="0.2">
      <c r="A58" s="130" t="s">
        <v>94</v>
      </c>
      <c r="B58" s="148">
        <v>0</v>
      </c>
      <c r="C58" s="148">
        <f>monthly_data!$L57*264.172/1000000</f>
        <v>51.14237834</v>
      </c>
      <c r="D58" s="148">
        <f>monthly_data!$L69*264.172/1000000</f>
        <v>16.349340908000002</v>
      </c>
      <c r="E58" s="148">
        <f>monthly_data!$L81*264.172/1000000</f>
        <v>17.529925576</v>
      </c>
      <c r="F58" s="148">
        <f>monthly_data!$L93*264.172/1000000</f>
        <v>6.2944262440000012</v>
      </c>
      <c r="G58" s="148">
        <f>monthly_data!$L105*264.172/1000000</f>
        <v>5.1082939640000005</v>
      </c>
      <c r="H58" s="148">
        <f>monthly_data!$L117*264.172/1000000</f>
        <v>7.6707623640000007</v>
      </c>
      <c r="I58" s="141">
        <f t="shared" si="40"/>
        <v>10.590549811199999</v>
      </c>
      <c r="J58" s="141">
        <f t="shared" si="41"/>
        <v>9.4387915918399994</v>
      </c>
      <c r="K58" s="141">
        <f t="shared" si="42"/>
        <v>7.8205647950080017</v>
      </c>
      <c r="L58" s="141">
        <f t="shared" si="42"/>
        <v>8.1257925052096009</v>
      </c>
      <c r="M58" s="141">
        <f t="shared" si="42"/>
        <v>8.7292922134515205</v>
      </c>
      <c r="N58" s="141">
        <f t="shared" si="42"/>
        <v>8.9409981833418257</v>
      </c>
      <c r="O58" s="141">
        <f t="shared" si="42"/>
        <v>8.6110878577701886</v>
      </c>
      <c r="P58" s="141">
        <f t="shared" si="42"/>
        <v>8.4455471109562268</v>
      </c>
      <c r="Q58" s="141">
        <f t="shared" si="42"/>
        <v>8.5705435741458729</v>
      </c>
      <c r="R58" s="141">
        <f t="shared" si="42"/>
        <v>8.6594937879331262</v>
      </c>
      <c r="S58" s="141">
        <f t="shared" si="42"/>
        <v>8.6455341028294477</v>
      </c>
      <c r="T58" s="141">
        <f t="shared" si="42"/>
        <v>8.5864412867269717</v>
      </c>
      <c r="U58" s="141">
        <f t="shared" si="42"/>
        <v>8.5815119725183298</v>
      </c>
      <c r="V58" s="141">
        <f t="shared" si="42"/>
        <v>8.6087049448307482</v>
      </c>
      <c r="W58" s="141">
        <f t="shared" si="42"/>
        <v>8.6163372189677254</v>
      </c>
      <c r="X58" s="141">
        <f t="shared" si="42"/>
        <v>8.6077059051746421</v>
      </c>
      <c r="Y58" s="141">
        <f t="shared" si="42"/>
        <v>8.6001402656436827</v>
      </c>
      <c r="Z58" s="141">
        <f t="shared" si="42"/>
        <v>8.602880061427026</v>
      </c>
      <c r="AA58" s="141">
        <f t="shared" si="43"/>
        <v>8.6071536792087642</v>
      </c>
      <c r="AB58" s="141">
        <f t="shared" si="43"/>
        <v>8.6068434260843674</v>
      </c>
      <c r="AC58" s="141">
        <f t="shared" si="43"/>
        <v>8.6049446675076968</v>
      </c>
      <c r="AD58" s="141">
        <f t="shared" si="43"/>
        <v>8.6043924199743085</v>
      </c>
      <c r="AE58" s="141">
        <f t="shared" si="43"/>
        <v>8.6052428508404333</v>
      </c>
      <c r="AF58" s="141">
        <f t="shared" si="43"/>
        <v>8.605715408723114</v>
      </c>
      <c r="AG58" s="141">
        <f t="shared" si="43"/>
        <v>8.6054277546259836</v>
      </c>
      <c r="AH58" s="141">
        <f t="shared" si="43"/>
        <v>8.6051446203343076</v>
      </c>
    </row>
    <row r="59" spans="1:34" x14ac:dyDescent="0.2">
      <c r="A59" s="130" t="s">
        <v>95</v>
      </c>
      <c r="B59" s="148">
        <v>0</v>
      </c>
      <c r="C59" s="148">
        <f>monthly_data!$L58*264.172/1000000</f>
        <v>36.402373256000004</v>
      </c>
      <c r="D59" s="148">
        <f>monthly_data!$L70*264.172/1000000</f>
        <v>11.613265292000001</v>
      </c>
      <c r="E59" s="148">
        <f>monthly_data!$L82*264.172/1000000</f>
        <v>18.224433764000004</v>
      </c>
      <c r="F59" s="148">
        <f>monthly_data!$L94*264.172/1000000</f>
        <v>7.3468874920000005</v>
      </c>
      <c r="G59" s="148">
        <f>monthly_data!$L106*264.172/1000000</f>
        <v>14.624033576</v>
      </c>
      <c r="H59" s="148">
        <f>monthly_data!$L118*264.172/1000000</f>
        <v>9.4874732080000008</v>
      </c>
      <c r="I59" s="141">
        <f t="shared" si="40"/>
        <v>12.259218666400002</v>
      </c>
      <c r="J59" s="141">
        <f t="shared" si="41"/>
        <v>12.388409341280001</v>
      </c>
      <c r="K59" s="141">
        <f t="shared" si="42"/>
        <v>11.221204456736004</v>
      </c>
      <c r="L59" s="141">
        <f t="shared" si="42"/>
        <v>11.9960678496832</v>
      </c>
      <c r="M59" s="141">
        <f t="shared" si="42"/>
        <v>11.470474704419841</v>
      </c>
      <c r="N59" s="141">
        <f t="shared" si="42"/>
        <v>11.86707500370381</v>
      </c>
      <c r="O59" s="141">
        <f t="shared" si="42"/>
        <v>11.788646271164573</v>
      </c>
      <c r="P59" s="141">
        <f t="shared" si="42"/>
        <v>11.668693657141487</v>
      </c>
      <c r="Q59" s="141">
        <f t="shared" si="42"/>
        <v>11.758191497222583</v>
      </c>
      <c r="R59" s="141">
        <f t="shared" si="42"/>
        <v>11.710616226730458</v>
      </c>
      <c r="S59" s="141">
        <f t="shared" si="42"/>
        <v>11.758644531192584</v>
      </c>
      <c r="T59" s="141">
        <f t="shared" si="42"/>
        <v>11.736958436690339</v>
      </c>
      <c r="U59" s="141">
        <f t="shared" si="42"/>
        <v>11.726620869795489</v>
      </c>
      <c r="V59" s="141">
        <f t="shared" si="42"/>
        <v>11.738206312326289</v>
      </c>
      <c r="W59" s="141">
        <f t="shared" si="42"/>
        <v>11.734209275347032</v>
      </c>
      <c r="X59" s="141">
        <f t="shared" si="42"/>
        <v>11.738927885070346</v>
      </c>
      <c r="Y59" s="141">
        <f t="shared" si="42"/>
        <v>11.7349845558459</v>
      </c>
      <c r="Z59" s="141">
        <f t="shared" si="42"/>
        <v>11.734589779677012</v>
      </c>
      <c r="AA59" s="141">
        <f t="shared" si="43"/>
        <v>11.736183561653315</v>
      </c>
      <c r="AB59" s="141">
        <f t="shared" si="43"/>
        <v>11.735779011518719</v>
      </c>
      <c r="AC59" s="141">
        <f t="shared" si="43"/>
        <v>11.736092958753058</v>
      </c>
      <c r="AD59" s="141">
        <f t="shared" si="43"/>
        <v>11.735525973489603</v>
      </c>
      <c r="AE59" s="141">
        <f t="shared" si="43"/>
        <v>11.73563425701834</v>
      </c>
      <c r="AF59" s="141">
        <f t="shared" si="43"/>
        <v>11.735843152486607</v>
      </c>
      <c r="AG59" s="141">
        <f t="shared" si="43"/>
        <v>11.735775070653265</v>
      </c>
      <c r="AH59" s="141">
        <f t="shared" si="43"/>
        <v>11.735774282480177</v>
      </c>
    </row>
    <row r="60" spans="1:34" x14ac:dyDescent="0.2">
      <c r="A60" s="130" t="s">
        <v>96</v>
      </c>
      <c r="B60" s="148">
        <v>0</v>
      </c>
      <c r="C60" s="148">
        <f>monthly_data!$L59*264.172/1000000</f>
        <v>25.177969148000003</v>
      </c>
      <c r="D60" s="148">
        <f>monthly_data!$L71*264.172/1000000</f>
        <v>8.6645774280000012</v>
      </c>
      <c r="E60" s="148">
        <f>monthly_data!$L83*264.172/1000000</f>
        <v>9.8430487200000005</v>
      </c>
      <c r="F60" s="148">
        <f>monthly_data!$L95*264.172/1000000</f>
        <v>9.5482327680000019</v>
      </c>
      <c r="G60" s="148">
        <f>monthly_data!$L107*264.172/1000000</f>
        <v>8.6291783800000008</v>
      </c>
      <c r="H60" s="148">
        <f>monthly_data!$L119*264.172/1000000</f>
        <v>12.146100216000002</v>
      </c>
      <c r="I60" s="141">
        <f t="shared" si="40"/>
        <v>9.7662275024000014</v>
      </c>
      <c r="J60" s="141">
        <f t="shared" si="41"/>
        <v>9.9865575172800014</v>
      </c>
      <c r="K60" s="141">
        <f t="shared" si="42"/>
        <v>10.015259276736</v>
      </c>
      <c r="L60" s="141">
        <f t="shared" si="42"/>
        <v>10.108664578483202</v>
      </c>
      <c r="M60" s="141">
        <f t="shared" si="42"/>
        <v>10.40456181817984</v>
      </c>
      <c r="N60" s="141">
        <f t="shared" si="42"/>
        <v>10.056254138615811</v>
      </c>
      <c r="O60" s="141">
        <f t="shared" si="42"/>
        <v>10.11425946585897</v>
      </c>
      <c r="P60" s="141">
        <f t="shared" si="42"/>
        <v>10.139799855574767</v>
      </c>
      <c r="Q60" s="141">
        <f t="shared" si="42"/>
        <v>10.164707971342519</v>
      </c>
      <c r="R60" s="141">
        <f t="shared" si="42"/>
        <v>10.175916649914381</v>
      </c>
      <c r="S60" s="141">
        <f t="shared" si="42"/>
        <v>10.13018761626129</v>
      </c>
      <c r="T60" s="141">
        <f t="shared" si="42"/>
        <v>10.144974311790385</v>
      </c>
      <c r="U60" s="141">
        <f t="shared" si="42"/>
        <v>10.151117280976669</v>
      </c>
      <c r="V60" s="141">
        <f t="shared" si="42"/>
        <v>10.153380766057049</v>
      </c>
      <c r="W60" s="141">
        <f t="shared" si="42"/>
        <v>10.151115324999955</v>
      </c>
      <c r="X60" s="141">
        <f t="shared" si="42"/>
        <v>10.146155060017069</v>
      </c>
      <c r="Y60" s="141">
        <f t="shared" si="42"/>
        <v>10.149348548768225</v>
      </c>
      <c r="Z60" s="141">
        <f t="shared" si="42"/>
        <v>10.150223396163796</v>
      </c>
      <c r="AA60" s="141">
        <f t="shared" si="43"/>
        <v>10.150044619201219</v>
      </c>
      <c r="AB60" s="141">
        <f t="shared" si="43"/>
        <v>10.14937738983005</v>
      </c>
      <c r="AC60" s="141">
        <f t="shared" si="43"/>
        <v>10.149029802796072</v>
      </c>
      <c r="AD60" s="141">
        <f t="shared" si="43"/>
        <v>10.149604751351873</v>
      </c>
      <c r="AE60" s="141">
        <f t="shared" si="43"/>
        <v>10.149655991868601</v>
      </c>
      <c r="AF60" s="141">
        <f t="shared" si="43"/>
        <v>10.149542511009562</v>
      </c>
      <c r="AG60" s="141">
        <f t="shared" si="43"/>
        <v>10.149442089371233</v>
      </c>
      <c r="AH60" s="141">
        <f t="shared" si="43"/>
        <v>10.149455029279469</v>
      </c>
    </row>
    <row r="61" spans="1:34" x14ac:dyDescent="0.2">
      <c r="A61" s="130" t="s">
        <v>97</v>
      </c>
      <c r="B61" s="148">
        <v>0</v>
      </c>
      <c r="C61" s="148">
        <f>monthly_data!$L60*264.172/1000000</f>
        <v>26.710166748000002</v>
      </c>
      <c r="D61" s="148">
        <f>monthly_data!$L72*264.172/1000000</f>
        <v>5.8271059760000004</v>
      </c>
      <c r="E61" s="148">
        <f>monthly_data!$L84*264.172/1000000</f>
        <v>6.6006015920000003</v>
      </c>
      <c r="F61" s="148">
        <f>monthly_data!$L96*264.172/1000000</f>
        <v>6.8259403079999998</v>
      </c>
      <c r="G61" s="148">
        <f>monthly_data!$L108*264.172/1000000</f>
        <v>6.0323676200000014</v>
      </c>
      <c r="H61" s="148">
        <f>monthly_data!$L120*264.172/1000000</f>
        <v>6.7384993760000009</v>
      </c>
      <c r="I61" s="141">
        <f t="shared" si="40"/>
        <v>6.4049029744000014</v>
      </c>
      <c r="J61" s="141">
        <f t="shared" si="41"/>
        <v>6.5204623740800001</v>
      </c>
      <c r="K61" s="141">
        <f t="shared" si="42"/>
        <v>6.5044345304960007</v>
      </c>
      <c r="L61" s="141">
        <f t="shared" si="42"/>
        <v>6.4401333749952014</v>
      </c>
      <c r="M61" s="141">
        <f t="shared" si="42"/>
        <v>6.5216865259942409</v>
      </c>
      <c r="N61" s="141">
        <f t="shared" si="42"/>
        <v>6.4783239559930896</v>
      </c>
      <c r="O61" s="141">
        <f t="shared" si="42"/>
        <v>6.4930081523117069</v>
      </c>
      <c r="P61" s="141">
        <f t="shared" si="42"/>
        <v>6.4875173079580479</v>
      </c>
      <c r="Q61" s="141">
        <f t="shared" si="42"/>
        <v>6.4841338634504577</v>
      </c>
      <c r="R61" s="141">
        <f t="shared" si="42"/>
        <v>6.4929339611415084</v>
      </c>
      <c r="S61" s="141">
        <f t="shared" si="42"/>
        <v>6.4871834481709625</v>
      </c>
      <c r="T61" s="141">
        <f t="shared" si="42"/>
        <v>6.4889553466065371</v>
      </c>
      <c r="U61" s="141">
        <f t="shared" si="42"/>
        <v>6.4881447854655017</v>
      </c>
      <c r="V61" s="141">
        <f t="shared" si="42"/>
        <v>6.4882702809669928</v>
      </c>
      <c r="W61" s="141">
        <f t="shared" si="42"/>
        <v>6.4890975644703</v>
      </c>
      <c r="X61" s="141">
        <f t="shared" si="42"/>
        <v>6.4883302851360591</v>
      </c>
      <c r="Y61" s="141">
        <f t="shared" si="42"/>
        <v>6.4885596525290783</v>
      </c>
      <c r="Z61" s="141">
        <f t="shared" si="42"/>
        <v>6.4884805137135864</v>
      </c>
      <c r="AA61" s="141">
        <f t="shared" si="43"/>
        <v>6.4885476593632037</v>
      </c>
      <c r="AB61" s="141">
        <f t="shared" si="43"/>
        <v>6.488603135042446</v>
      </c>
      <c r="AC61" s="141">
        <f t="shared" si="43"/>
        <v>6.4885042491568754</v>
      </c>
      <c r="AD61" s="141">
        <f t="shared" si="43"/>
        <v>6.4885390419610385</v>
      </c>
      <c r="AE61" s="141">
        <f t="shared" si="43"/>
        <v>6.4885349198474307</v>
      </c>
      <c r="AF61" s="141">
        <f t="shared" si="43"/>
        <v>6.4885458010741983</v>
      </c>
      <c r="AG61" s="141">
        <f t="shared" si="43"/>
        <v>6.4885454294163978</v>
      </c>
      <c r="AH61" s="141">
        <f t="shared" si="43"/>
        <v>6.4885338882911876</v>
      </c>
    </row>
    <row r="62" spans="1:34" x14ac:dyDescent="0.2">
      <c r="A62" s="130" t="s">
        <v>98</v>
      </c>
      <c r="B62" s="148">
        <v>0</v>
      </c>
      <c r="C62" s="148">
        <f>monthly_data!$L61*264.172/1000000</f>
        <v>24.202646124000001</v>
      </c>
      <c r="D62" s="148">
        <f>monthly_data!$L73*264.172/1000000</f>
        <v>10.693154216000002</v>
      </c>
      <c r="E62" s="148">
        <f>monthly_data!$L85*264.172/1000000</f>
        <v>3.8518919320000005</v>
      </c>
      <c r="F62" s="148">
        <f>monthly_data!$L97*264.172/1000000</f>
        <v>4.3635930960000007</v>
      </c>
      <c r="G62" s="148">
        <f>monthly_data!$L109*264.172/1000000</f>
        <v>3.9528056360000003</v>
      </c>
      <c r="H62" s="148">
        <f>monthly_data!$L121*264.172/1000000</f>
        <v>8.0350555520000011</v>
      </c>
      <c r="I62" s="141">
        <f t="shared" si="40"/>
        <v>6.1793000864000005</v>
      </c>
      <c r="J62" s="141">
        <f t="shared" si="41"/>
        <v>5.2765292604800003</v>
      </c>
      <c r="K62" s="141">
        <f t="shared" si="42"/>
        <v>5.5614567261760008</v>
      </c>
      <c r="L62" s="141">
        <f t="shared" si="42"/>
        <v>5.8010294522112007</v>
      </c>
      <c r="M62" s="141">
        <f t="shared" si="42"/>
        <v>6.1706742154534409</v>
      </c>
      <c r="N62" s="141">
        <f t="shared" si="42"/>
        <v>5.7977979481441295</v>
      </c>
      <c r="O62" s="141">
        <f t="shared" si="42"/>
        <v>5.7214975204929539</v>
      </c>
      <c r="P62" s="141">
        <f t="shared" si="42"/>
        <v>5.8104911724955448</v>
      </c>
      <c r="Q62" s="141">
        <f t="shared" si="42"/>
        <v>5.8602980617594538</v>
      </c>
      <c r="R62" s="141">
        <f t="shared" si="42"/>
        <v>5.8721517836691053</v>
      </c>
      <c r="S62" s="141">
        <f t="shared" si="42"/>
        <v>5.8124472973122376</v>
      </c>
      <c r="T62" s="141">
        <f t="shared" si="42"/>
        <v>5.8153771671458596</v>
      </c>
      <c r="U62" s="141">
        <f t="shared" si="42"/>
        <v>5.8341530964764399</v>
      </c>
      <c r="V62" s="141">
        <f t="shared" si="42"/>
        <v>5.8388854812726185</v>
      </c>
      <c r="W62" s="141">
        <f t="shared" si="42"/>
        <v>5.8346029651752529</v>
      </c>
      <c r="X62" s="141">
        <f t="shared" si="42"/>
        <v>5.8270932014764814</v>
      </c>
      <c r="Y62" s="141">
        <f t="shared" si="42"/>
        <v>5.8300223823093305</v>
      </c>
      <c r="Z62" s="141">
        <f t="shared" si="42"/>
        <v>5.8329514253420252</v>
      </c>
      <c r="AA62" s="141">
        <f t="shared" si="43"/>
        <v>5.832711091115141</v>
      </c>
      <c r="AB62" s="141">
        <f t="shared" si="43"/>
        <v>5.8314762130836453</v>
      </c>
      <c r="AC62" s="141">
        <f t="shared" si="43"/>
        <v>5.8308508626653248</v>
      </c>
      <c r="AD62" s="141">
        <f t="shared" si="43"/>
        <v>5.8316023949030926</v>
      </c>
      <c r="AE62" s="141">
        <f t="shared" si="43"/>
        <v>5.8319183974218456</v>
      </c>
      <c r="AF62" s="141">
        <f t="shared" si="43"/>
        <v>5.8317117918378107</v>
      </c>
      <c r="AG62" s="141">
        <f t="shared" si="43"/>
        <v>5.8315119319823436</v>
      </c>
      <c r="AH62" s="141">
        <f t="shared" si="43"/>
        <v>5.8315190757620838</v>
      </c>
    </row>
    <row r="63" spans="1:34" x14ac:dyDescent="0.2">
      <c r="A63" s="130" t="s">
        <v>99</v>
      </c>
      <c r="B63" s="148">
        <v>0</v>
      </c>
      <c r="C63" s="148">
        <f>monthly_data!$L62*264.172/1000000</f>
        <v>18.872183508000003</v>
      </c>
      <c r="D63" s="148">
        <f>monthly_data!$L74*264.172/1000000</f>
        <v>10.493968528000002</v>
      </c>
      <c r="E63" s="148">
        <f>monthly_data!$L86*264.172/1000000</f>
        <v>9.9965326520000009</v>
      </c>
      <c r="F63" s="148">
        <f>monthly_data!$L98*264.172/1000000</f>
        <v>2.5582416480000001</v>
      </c>
      <c r="G63" s="148">
        <f>monthly_data!$L110*264.172/1000000</f>
        <v>8.4878463600000007</v>
      </c>
      <c r="H63" s="148">
        <f>monthly_data!$L122*264.172/1000000</f>
        <v>14.495645984000001</v>
      </c>
      <c r="I63" s="141">
        <f t="shared" si="40"/>
        <v>9.2064470344</v>
      </c>
      <c r="J63" s="141">
        <f t="shared" si="41"/>
        <v>8.9489427356800011</v>
      </c>
      <c r="K63" s="141">
        <f t="shared" si="42"/>
        <v>8.7394247524160011</v>
      </c>
      <c r="L63" s="141">
        <f t="shared" si="42"/>
        <v>9.9756613732991983</v>
      </c>
      <c r="M63" s="141">
        <f t="shared" si="42"/>
        <v>10.273224375959037</v>
      </c>
      <c r="N63" s="141">
        <f t="shared" si="42"/>
        <v>9.4287400543508468</v>
      </c>
      <c r="O63" s="141">
        <f t="shared" si="42"/>
        <v>9.473198658341019</v>
      </c>
      <c r="P63" s="141">
        <f t="shared" si="42"/>
        <v>9.5780498428732201</v>
      </c>
      <c r="Q63" s="141">
        <f t="shared" si="42"/>
        <v>9.7457748609646639</v>
      </c>
      <c r="R63" s="141">
        <f t="shared" si="42"/>
        <v>9.6997975584977585</v>
      </c>
      <c r="S63" s="141">
        <f t="shared" si="42"/>
        <v>9.585112195005502</v>
      </c>
      <c r="T63" s="141">
        <f t="shared" si="42"/>
        <v>9.6163866231364317</v>
      </c>
      <c r="U63" s="141">
        <f t="shared" si="42"/>
        <v>9.645024216095516</v>
      </c>
      <c r="V63" s="141">
        <f t="shared" si="42"/>
        <v>9.6584190907399723</v>
      </c>
      <c r="W63" s="141">
        <f t="shared" si="42"/>
        <v>9.640947936695035</v>
      </c>
      <c r="X63" s="141">
        <f t="shared" si="42"/>
        <v>9.6291780123344903</v>
      </c>
      <c r="Y63" s="141">
        <f t="shared" si="42"/>
        <v>9.6379911758002894</v>
      </c>
      <c r="Z63" s="141">
        <f t="shared" si="42"/>
        <v>9.642312086333062</v>
      </c>
      <c r="AA63" s="141">
        <f t="shared" si="43"/>
        <v>9.6417696603805698</v>
      </c>
      <c r="AB63" s="141">
        <f t="shared" si="43"/>
        <v>9.63843977430869</v>
      </c>
      <c r="AC63" s="141">
        <f t="shared" si="43"/>
        <v>9.6379381418314214</v>
      </c>
      <c r="AD63" s="141">
        <f t="shared" si="43"/>
        <v>9.6396901677308069</v>
      </c>
      <c r="AE63" s="141">
        <f t="shared" si="43"/>
        <v>9.6400299661169093</v>
      </c>
      <c r="AF63" s="141">
        <f t="shared" si="43"/>
        <v>9.6395735420736806</v>
      </c>
      <c r="AG63" s="141">
        <f t="shared" si="43"/>
        <v>9.6391343184123013</v>
      </c>
      <c r="AH63" s="141">
        <f t="shared" si="43"/>
        <v>9.6392732272330246</v>
      </c>
    </row>
    <row r="64" spans="1:34" x14ac:dyDescent="0.2">
      <c r="A64" s="130" t="s">
        <v>100</v>
      </c>
      <c r="B64" s="148">
        <v>0</v>
      </c>
      <c r="C64" s="148">
        <f>monthly_data!$L63*264.172/1000000</f>
        <v>17.762661108000003</v>
      </c>
      <c r="D64" s="148">
        <f>monthly_data!$L75*264.172/1000000</f>
        <v>10.623941152</v>
      </c>
      <c r="E64" s="148">
        <f>monthly_data!$L87*264.172/1000000</f>
        <v>14.955569436000001</v>
      </c>
      <c r="F64" s="148">
        <f>monthly_data!$L99*264.172/1000000</f>
        <v>3.1130028480000003</v>
      </c>
      <c r="G64" s="148">
        <f>monthly_data!$L111*264.172/1000000</f>
        <v>10.922719684</v>
      </c>
      <c r="H64" s="148">
        <f>monthly_data!$L123*264.172/1000000</f>
        <v>11.940310228000001</v>
      </c>
      <c r="I64" s="141">
        <f t="shared" ref="I64:Q64" si="44">I65-SUM(I53:I63)</f>
        <v>10.311108669599989</v>
      </c>
      <c r="J64" s="141">
        <f t="shared" si="44"/>
        <v>10.248542173120001</v>
      </c>
      <c r="K64" s="141">
        <f t="shared" si="44"/>
        <v>9.3071367205440083</v>
      </c>
      <c r="L64" s="141">
        <f t="shared" si="44"/>
        <v>10.545963495052817</v>
      </c>
      <c r="M64" s="141">
        <f t="shared" si="44"/>
        <v>10.470612257263355</v>
      </c>
      <c r="N64" s="141">
        <f t="shared" si="44"/>
        <v>10.176672663116051</v>
      </c>
      <c r="O64" s="141">
        <f t="shared" si="44"/>
        <v>10.149785461819235</v>
      </c>
      <c r="P64" s="141">
        <f t="shared" si="44"/>
        <v>10.130034119559085</v>
      </c>
      <c r="Q64" s="141">
        <f t="shared" si="44"/>
        <v>10.294613599362108</v>
      </c>
      <c r="R64" s="141">
        <f>R65-SUM(R53:R63)</f>
        <v>10.24434362022393</v>
      </c>
      <c r="S64" s="141">
        <f>S65-SUM(S53:S63)</f>
        <v>10.199089892816076</v>
      </c>
      <c r="T64" s="141">
        <f t="shared" ref="T64:AF64" si="45">T65-SUM(T53:T63)</f>
        <v>10.203573338756087</v>
      </c>
      <c r="U64" s="141">
        <f t="shared" si="45"/>
        <v>10.214330914143446</v>
      </c>
      <c r="V64" s="141">
        <f t="shared" si="45"/>
        <v>10.231190273060349</v>
      </c>
      <c r="W64" s="141">
        <f t="shared" si="45"/>
        <v>10.218505607799983</v>
      </c>
      <c r="X64" s="141">
        <f t="shared" si="45"/>
        <v>10.213338005315194</v>
      </c>
      <c r="Y64" s="141">
        <f t="shared" si="45"/>
        <v>10.216187627815017</v>
      </c>
      <c r="Z64" s="141">
        <f t="shared" si="45"/>
        <v>10.218710485626787</v>
      </c>
      <c r="AA64" s="141">
        <f t="shared" si="45"/>
        <v>10.219586399923458</v>
      </c>
      <c r="AB64" s="141">
        <f t="shared" si="45"/>
        <v>10.217265625296079</v>
      </c>
      <c r="AC64" s="141">
        <f t="shared" si="45"/>
        <v>10.217017628795318</v>
      </c>
      <c r="AD64" s="141">
        <f t="shared" si="45"/>
        <v>10.217753553491363</v>
      </c>
      <c r="AE64" s="141">
        <f t="shared" si="45"/>
        <v>10.218066738626618</v>
      </c>
      <c r="AF64" s="141">
        <f t="shared" si="45"/>
        <v>10.21793798922657</v>
      </c>
      <c r="AG64" s="141">
        <f>AG65-SUM(AG53:AG63)</f>
        <v>10.21760830708719</v>
      </c>
      <c r="AH64" s="141">
        <f>AH65-SUM(AH53:AH63)</f>
        <v>10.217676843445403</v>
      </c>
    </row>
    <row r="65" spans="1:34" ht="12" thickBot="1" x14ac:dyDescent="0.25">
      <c r="A65" s="130" t="s">
        <v>134</v>
      </c>
      <c r="B65" s="141">
        <f>SUM(B53:B64)</f>
        <v>0</v>
      </c>
      <c r="C65" s="141">
        <f>SUM(C54:C64)</f>
        <v>330.38169253199999</v>
      </c>
      <c r="D65" s="141">
        <f>SUM(D53:D64)</f>
        <v>138.920657984</v>
      </c>
      <c r="E65" s="141">
        <f>SUM(E53:E64)</f>
        <v>131.50085902000001</v>
      </c>
      <c r="F65" s="141">
        <f>SUM(F53:F64)</f>
        <v>112.64161994000003</v>
      </c>
      <c r="G65" s="141">
        <f>SUM(G53:G64)</f>
        <v>112.500023748</v>
      </c>
      <c r="H65" s="141">
        <f>SUM(H53:H64)</f>
        <v>114.81892556400003</v>
      </c>
      <c r="I65" s="141">
        <f t="shared" ref="I65:Q65" si="46">I10</f>
        <v>122.0764172512</v>
      </c>
      <c r="J65" s="141">
        <f t="shared" si="46"/>
        <v>118.70756910464002</v>
      </c>
      <c r="K65" s="141">
        <f t="shared" si="46"/>
        <v>116.14891112156802</v>
      </c>
      <c r="L65" s="141">
        <f t="shared" si="46"/>
        <v>116.85036935788162</v>
      </c>
      <c r="M65" s="141">
        <f t="shared" si="46"/>
        <v>117.72043847985792</v>
      </c>
      <c r="N65" s="141">
        <f t="shared" si="46"/>
        <v>118.30074106302951</v>
      </c>
      <c r="O65" s="141">
        <f t="shared" si="46"/>
        <v>117.54560582539541</v>
      </c>
      <c r="P65" s="141">
        <f t="shared" si="46"/>
        <v>117.3132131695465</v>
      </c>
      <c r="Q65" s="141">
        <f t="shared" si="46"/>
        <v>117.54607357914219</v>
      </c>
      <c r="R65" s="141">
        <f>R10</f>
        <v>117.68521442339429</v>
      </c>
      <c r="S65" s="141">
        <f>S10</f>
        <v>117.67816961210158</v>
      </c>
      <c r="T65" s="141">
        <f t="shared" ref="T65:AF65" si="47">T10</f>
        <v>117.553655321916</v>
      </c>
      <c r="U65" s="141">
        <f t="shared" si="47"/>
        <v>117.55526522122011</v>
      </c>
      <c r="V65" s="141">
        <f t="shared" si="47"/>
        <v>117.60367563155482</v>
      </c>
      <c r="W65" s="141">
        <f t="shared" si="47"/>
        <v>117.61519604203735</v>
      </c>
      <c r="X65" s="141">
        <f t="shared" si="47"/>
        <v>117.60119236576597</v>
      </c>
      <c r="Y65" s="141">
        <f t="shared" si="47"/>
        <v>117.58579691649886</v>
      </c>
      <c r="Z65" s="141">
        <f t="shared" si="47"/>
        <v>117.59222523541544</v>
      </c>
      <c r="AA65" s="141">
        <f t="shared" si="47"/>
        <v>117.5996172382545</v>
      </c>
      <c r="AB65" s="141">
        <f t="shared" si="47"/>
        <v>117.59880555959441</v>
      </c>
      <c r="AC65" s="141">
        <f t="shared" si="47"/>
        <v>117.59552746310585</v>
      </c>
      <c r="AD65" s="141">
        <f t="shared" si="47"/>
        <v>117.59439448257383</v>
      </c>
      <c r="AE65" s="141">
        <f t="shared" si="47"/>
        <v>117.5961139957888</v>
      </c>
      <c r="AF65" s="141">
        <f t="shared" si="47"/>
        <v>117.59689174786347</v>
      </c>
      <c r="AG65" s="141">
        <f>AG10</f>
        <v>117.59634664978527</v>
      </c>
      <c r="AH65" s="141">
        <f>AH10</f>
        <v>117.59585486782343</v>
      </c>
    </row>
    <row r="66" spans="1:34" x14ac:dyDescent="0.2">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c r="AA66" s="142"/>
      <c r="AB66" s="142"/>
      <c r="AC66" s="142"/>
      <c r="AD66" s="142"/>
      <c r="AE66" s="142"/>
      <c r="AF66" s="142"/>
      <c r="AG66" s="142"/>
      <c r="AH66" s="142"/>
    </row>
    <row r="67" spans="1:34" ht="12" thickBot="1" x14ac:dyDescent="0.25">
      <c r="A67" s="130" t="s">
        <v>148</v>
      </c>
    </row>
    <row r="68" spans="1:34" ht="12" thickBot="1" x14ac:dyDescent="0.25">
      <c r="A68" s="128" t="s">
        <v>147</v>
      </c>
      <c r="B68" s="140">
        <f t="shared" ref="B68:Q68" si="48">B4</f>
        <v>2018</v>
      </c>
      <c r="C68" s="140">
        <f t="shared" si="48"/>
        <v>2019</v>
      </c>
      <c r="D68" s="140">
        <f t="shared" si="48"/>
        <v>2020</v>
      </c>
      <c r="E68" s="140">
        <f t="shared" si="48"/>
        <v>2021</v>
      </c>
      <c r="F68" s="140">
        <f t="shared" si="48"/>
        <v>2022</v>
      </c>
      <c r="G68" s="140">
        <f t="shared" si="48"/>
        <v>2023</v>
      </c>
      <c r="H68" s="140">
        <f t="shared" si="48"/>
        <v>2024</v>
      </c>
      <c r="I68" s="140">
        <f t="shared" si="48"/>
        <v>2025</v>
      </c>
      <c r="J68" s="140">
        <f t="shared" si="48"/>
        <v>2026</v>
      </c>
      <c r="K68" s="140">
        <f t="shared" si="48"/>
        <v>2027</v>
      </c>
      <c r="L68" s="140">
        <f t="shared" si="48"/>
        <v>2028</v>
      </c>
      <c r="M68" s="140">
        <f t="shared" si="48"/>
        <v>2029</v>
      </c>
      <c r="N68" s="140">
        <f t="shared" si="48"/>
        <v>2030</v>
      </c>
      <c r="O68" s="140">
        <f t="shared" si="48"/>
        <v>2031</v>
      </c>
      <c r="P68" s="140">
        <f t="shared" si="48"/>
        <v>2032</v>
      </c>
      <c r="Q68" s="140">
        <f t="shared" si="48"/>
        <v>2033</v>
      </c>
      <c r="R68" s="140">
        <f>R4</f>
        <v>2034</v>
      </c>
      <c r="S68" s="140">
        <f>S4</f>
        <v>2035</v>
      </c>
      <c r="T68" s="140">
        <f t="shared" ref="T68:AF68" si="49">T4</f>
        <v>2036</v>
      </c>
      <c r="U68" s="140">
        <f t="shared" si="49"/>
        <v>2037</v>
      </c>
      <c r="V68" s="140">
        <f t="shared" si="49"/>
        <v>2038</v>
      </c>
      <c r="W68" s="140">
        <f t="shared" si="49"/>
        <v>2039</v>
      </c>
      <c r="X68" s="140">
        <f t="shared" si="49"/>
        <v>2040</v>
      </c>
      <c r="Y68" s="140">
        <f t="shared" si="49"/>
        <v>2041</v>
      </c>
      <c r="Z68" s="140">
        <f t="shared" si="49"/>
        <v>2042</v>
      </c>
      <c r="AA68" s="140">
        <f t="shared" si="49"/>
        <v>2043</v>
      </c>
      <c r="AB68" s="140">
        <f t="shared" si="49"/>
        <v>2044</v>
      </c>
      <c r="AC68" s="140">
        <f t="shared" si="49"/>
        <v>2045</v>
      </c>
      <c r="AD68" s="140">
        <f t="shared" si="49"/>
        <v>2046</v>
      </c>
      <c r="AE68" s="140">
        <f t="shared" si="49"/>
        <v>2047</v>
      </c>
      <c r="AF68" s="140">
        <f t="shared" si="49"/>
        <v>2048</v>
      </c>
      <c r="AG68" s="140">
        <f>AG4</f>
        <v>2049</v>
      </c>
      <c r="AH68" s="140">
        <f>AH4</f>
        <v>2050</v>
      </c>
    </row>
    <row r="69" spans="1:34" x14ac:dyDescent="0.2">
      <c r="A69" s="130" t="s">
        <v>89</v>
      </c>
      <c r="B69" s="148">
        <f>monthly_data!$M40*264.172/1000000</f>
        <v>182.80702400000004</v>
      </c>
      <c r="C69" s="148">
        <f>monthly_data!$M52*264.172/1000000</f>
        <v>203.41402503200001</v>
      </c>
      <c r="D69" s="148">
        <f>monthly_data!$M64*264.172/1000000</f>
        <v>206.63454588400003</v>
      </c>
      <c r="E69" s="148">
        <f>monthly_data!$M76*264.172/1000000</f>
        <v>83.013145108000003</v>
      </c>
      <c r="F69" s="148">
        <f>monthly_data!$M88*264.172/1000000</f>
        <v>97.760018664</v>
      </c>
      <c r="G69" s="148">
        <f>monthly_data!$M100*264.172/1000000</f>
        <v>168.83232520000001</v>
      </c>
      <c r="H69" s="148">
        <f>monthly_data!$M112*264.172/1000000</f>
        <v>198.20930828800002</v>
      </c>
      <c r="I69" s="141">
        <f t="shared" ref="I69:I79" si="50">I$81*(SUM(D69:H69)/SUM(D$81:H$81))</f>
        <v>206.2656551286247</v>
      </c>
      <c r="J69" s="141">
        <f t="shared" ref="J69:J79" si="51">J$81*(SUM(E69:I69)/SUM(E$81:I$81))</f>
        <v>186.80305166297583</v>
      </c>
      <c r="K69" s="141">
        <f t="shared" ref="K69:Z79" si="52">K$81*(SUM(F69:J69)/SUM(F$81:J$81))</f>
        <v>187.74731707242856</v>
      </c>
      <c r="L69" s="141">
        <f t="shared" si="52"/>
        <v>197.7817843680883</v>
      </c>
      <c r="M69" s="141">
        <f t="shared" si="52"/>
        <v>201.03648362358817</v>
      </c>
      <c r="N69" s="141">
        <f t="shared" si="52"/>
        <v>200.23977633701631</v>
      </c>
      <c r="O69" s="141">
        <f t="shared" si="52"/>
        <v>197.95865878432437</v>
      </c>
      <c r="P69" s="141">
        <f t="shared" si="52"/>
        <v>200.97948717423893</v>
      </c>
      <c r="Q69" s="141">
        <f t="shared" si="52"/>
        <v>204.12655861824496</v>
      </c>
      <c r="R69" s="141">
        <f t="shared" si="52"/>
        <v>205.07277988382398</v>
      </c>
      <c r="S69" s="141">
        <f t="shared" si="52"/>
        <v>206.02531485316663</v>
      </c>
      <c r="T69" s="141">
        <f t="shared" si="52"/>
        <v>207.33468443915282</v>
      </c>
      <c r="U69" s="141">
        <f t="shared" si="52"/>
        <v>209.29727035500727</v>
      </c>
      <c r="V69" s="141">
        <f t="shared" si="52"/>
        <v>211.04358102211353</v>
      </c>
      <c r="W69" s="141">
        <f t="shared" si="52"/>
        <v>212.50340556461063</v>
      </c>
      <c r="X69" s="141">
        <f t="shared" si="52"/>
        <v>213.98733558511213</v>
      </c>
      <c r="Y69" s="141">
        <f t="shared" si="52"/>
        <v>215.57997033638571</v>
      </c>
      <c r="Z69" s="141">
        <f t="shared" si="52"/>
        <v>217.23052067482786</v>
      </c>
      <c r="AA69" s="141">
        <f t="shared" ref="AA69:AH79" si="53">AA$81*(SUM(V69:Z69)/SUM(V$81:Z$81))</f>
        <v>218.81725755646085</v>
      </c>
      <c r="AB69" s="141">
        <f t="shared" si="53"/>
        <v>220.37137569636337</v>
      </c>
      <c r="AC69" s="141">
        <f t="shared" si="53"/>
        <v>221.94477376152025</v>
      </c>
      <c r="AD69" s="141">
        <f t="shared" si="53"/>
        <v>223.53645655856795</v>
      </c>
      <c r="AE69" s="141">
        <f t="shared" si="53"/>
        <v>225.52359749415155</v>
      </c>
      <c r="AF69" s="141">
        <f t="shared" si="53"/>
        <v>227.10301021115276</v>
      </c>
      <c r="AG69" s="141">
        <f t="shared" si="53"/>
        <v>228.68092873405553</v>
      </c>
      <c r="AH69" s="141">
        <f t="shared" si="53"/>
        <v>230.65935780223251</v>
      </c>
    </row>
    <row r="70" spans="1:34" x14ac:dyDescent="0.2">
      <c r="A70" s="130" t="s">
        <v>90</v>
      </c>
      <c r="B70" s="148">
        <f>monthly_data!$M41*264.172/1000000</f>
        <v>166.16418800000002</v>
      </c>
      <c r="C70" s="148">
        <f>monthly_data!$M53*264.172/1000000</f>
        <v>171.50733087200001</v>
      </c>
      <c r="D70" s="148">
        <f>monthly_data!$M65*264.172/1000000</f>
        <v>144.07676708000002</v>
      </c>
      <c r="E70" s="148">
        <f>monthly_data!$M77*264.172/1000000</f>
        <v>48.326040648000003</v>
      </c>
      <c r="F70" s="148">
        <f>monthly_data!$M89*264.172/1000000</f>
        <v>116.39101313600001</v>
      </c>
      <c r="G70" s="148">
        <f>monthly_data!$M101*264.172/1000000</f>
        <v>137.354646368</v>
      </c>
      <c r="H70" s="148">
        <f>monthly_data!$M113*264.172/1000000</f>
        <v>173.69890178400001</v>
      </c>
      <c r="I70" s="141">
        <f t="shared" si="50"/>
        <v>169.46561728987623</v>
      </c>
      <c r="J70" s="141">
        <f t="shared" si="51"/>
        <v>159.83983461323945</v>
      </c>
      <c r="K70" s="141">
        <f t="shared" si="52"/>
        <v>165.61684780217195</v>
      </c>
      <c r="L70" s="141">
        <f t="shared" si="52"/>
        <v>168.17645572661573</v>
      </c>
      <c r="M70" s="141">
        <f t="shared" si="52"/>
        <v>172.22116389820263</v>
      </c>
      <c r="N70" s="141">
        <f t="shared" si="52"/>
        <v>170.74154631691064</v>
      </c>
      <c r="O70" s="141">
        <f t="shared" si="52"/>
        <v>170.10061731503399</v>
      </c>
      <c r="P70" s="141">
        <f t="shared" si="52"/>
        <v>172.83410840728831</v>
      </c>
      <c r="Q70" s="141">
        <f t="shared" si="52"/>
        <v>174.68920824326398</v>
      </c>
      <c r="R70" s="141">
        <f t="shared" si="52"/>
        <v>175.72010072725976</v>
      </c>
      <c r="S70" s="141">
        <f t="shared" si="52"/>
        <v>176.544544198464</v>
      </c>
      <c r="T70" s="141">
        <f t="shared" si="52"/>
        <v>177.83937068455521</v>
      </c>
      <c r="U70" s="141">
        <f t="shared" si="52"/>
        <v>179.46071077154221</v>
      </c>
      <c r="V70" s="141">
        <f t="shared" si="52"/>
        <v>180.85469959906766</v>
      </c>
      <c r="W70" s="141">
        <f t="shared" si="52"/>
        <v>182.15437400066182</v>
      </c>
      <c r="X70" s="141">
        <f t="shared" si="52"/>
        <v>183.43964132195518</v>
      </c>
      <c r="Y70" s="141">
        <f t="shared" si="52"/>
        <v>184.81917224236068</v>
      </c>
      <c r="Z70" s="141">
        <f t="shared" si="52"/>
        <v>186.21601499688549</v>
      </c>
      <c r="AA70" s="141">
        <f t="shared" si="53"/>
        <v>187.56694931423098</v>
      </c>
      <c r="AB70" s="141">
        <f t="shared" si="53"/>
        <v>188.90908498898511</v>
      </c>
      <c r="AC70" s="141">
        <f t="shared" si="53"/>
        <v>190.25990312092466</v>
      </c>
      <c r="AD70" s="141">
        <f t="shared" si="53"/>
        <v>191.62411769794343</v>
      </c>
      <c r="AE70" s="141">
        <f t="shared" si="53"/>
        <v>193.3243662361985</v>
      </c>
      <c r="AF70" s="141">
        <f t="shared" si="53"/>
        <v>194.67813893786681</v>
      </c>
      <c r="AG70" s="141">
        <f t="shared" si="53"/>
        <v>196.03249492308063</v>
      </c>
      <c r="AH70" s="141">
        <f t="shared" si="53"/>
        <v>197.72850744172621</v>
      </c>
    </row>
    <row r="71" spans="1:34" x14ac:dyDescent="0.2">
      <c r="A71" s="130" t="s">
        <v>91</v>
      </c>
      <c r="B71" s="148">
        <f>monthly_data!$M42*264.172/1000000</f>
        <v>190.20384000000004</v>
      </c>
      <c r="C71" s="148">
        <f>monthly_data!$M54*264.172/1000000</f>
        <v>187.45882874800003</v>
      </c>
      <c r="D71" s="148">
        <f>monthly_data!$M66*264.172/1000000</f>
        <v>141.84028692800001</v>
      </c>
      <c r="E71" s="148">
        <f>monthly_data!$M78*264.172/1000000</f>
        <v>67.844388867999996</v>
      </c>
      <c r="F71" s="148">
        <f>monthly_data!$M90*264.172/1000000</f>
        <v>140.32869474400002</v>
      </c>
      <c r="G71" s="148">
        <f>monthly_data!$M102*264.172/1000000</f>
        <v>181.50888279200004</v>
      </c>
      <c r="H71" s="148">
        <f>monthly_data!$M114*264.172/1000000</f>
        <v>163.68704715600001</v>
      </c>
      <c r="I71" s="141">
        <f t="shared" si="50"/>
        <v>190.06948991312228</v>
      </c>
      <c r="J71" s="141">
        <f t="shared" si="51"/>
        <v>184.16679643747526</v>
      </c>
      <c r="K71" s="141">
        <f t="shared" si="52"/>
        <v>188.16106966414819</v>
      </c>
      <c r="L71" s="141">
        <f t="shared" si="52"/>
        <v>189.38014393393374</v>
      </c>
      <c r="M71" s="141">
        <f t="shared" si="52"/>
        <v>188.41158128294111</v>
      </c>
      <c r="N71" s="141">
        <f t="shared" si="52"/>
        <v>192.17707353189985</v>
      </c>
      <c r="O71" s="141">
        <f t="shared" si="52"/>
        <v>191.59220632006424</v>
      </c>
      <c r="P71" s="141">
        <f t="shared" si="52"/>
        <v>193.8278121716362</v>
      </c>
      <c r="Q71" s="141">
        <f t="shared" si="52"/>
        <v>195.41179946741116</v>
      </c>
      <c r="R71" s="141">
        <f t="shared" si="52"/>
        <v>196.30899858773043</v>
      </c>
      <c r="S71" s="141">
        <f t="shared" si="52"/>
        <v>198.04494930628411</v>
      </c>
      <c r="T71" s="141">
        <f t="shared" si="52"/>
        <v>199.36624886016014</v>
      </c>
      <c r="U71" s="141">
        <f t="shared" si="52"/>
        <v>200.99951242366234</v>
      </c>
      <c r="V71" s="141">
        <f t="shared" si="52"/>
        <v>202.50962935837197</v>
      </c>
      <c r="W71" s="141">
        <f t="shared" si="52"/>
        <v>204.00463039769306</v>
      </c>
      <c r="X71" s="141">
        <f t="shared" si="52"/>
        <v>205.54419998384836</v>
      </c>
      <c r="Y71" s="141">
        <f t="shared" si="52"/>
        <v>207.04360242324054</v>
      </c>
      <c r="Z71" s="141">
        <f t="shared" si="52"/>
        <v>208.57942809987415</v>
      </c>
      <c r="AA71" s="141">
        <f t="shared" si="53"/>
        <v>210.09532869332887</v>
      </c>
      <c r="AB71" s="141">
        <f t="shared" si="53"/>
        <v>211.612412699478</v>
      </c>
      <c r="AC71" s="141">
        <f t="shared" si="53"/>
        <v>213.13401065055407</v>
      </c>
      <c r="AD71" s="141">
        <f t="shared" si="53"/>
        <v>214.65193567814057</v>
      </c>
      <c r="AE71" s="141">
        <f t="shared" si="53"/>
        <v>216.55356409988653</v>
      </c>
      <c r="AF71" s="141">
        <f t="shared" si="53"/>
        <v>218.07238864771088</v>
      </c>
      <c r="AG71" s="141">
        <f t="shared" si="53"/>
        <v>219.59181188765299</v>
      </c>
      <c r="AH71" s="141">
        <f t="shared" si="53"/>
        <v>221.49163043959976</v>
      </c>
    </row>
    <row r="72" spans="1:34" x14ac:dyDescent="0.2">
      <c r="A72" s="130" t="s">
        <v>92</v>
      </c>
      <c r="B72" s="148">
        <f>monthly_data!$M43*264.172/1000000</f>
        <v>188.35463600000003</v>
      </c>
      <c r="C72" s="148">
        <f>monthly_data!$M55*264.172/1000000</f>
        <v>218.41952297600002</v>
      </c>
      <c r="D72" s="148">
        <f>monthly_data!$M67*264.172/1000000</f>
        <v>33.886399128000008</v>
      </c>
      <c r="E72" s="148">
        <f>monthly_data!$M79*264.172/1000000</f>
        <v>55.707534672000008</v>
      </c>
      <c r="F72" s="148">
        <f>monthly_data!$M91*264.172/1000000</f>
        <v>141.68257624400002</v>
      </c>
      <c r="G72" s="148">
        <f>monthly_data!$M103*264.172/1000000</f>
        <v>166.757518312</v>
      </c>
      <c r="H72" s="148">
        <f>monthly_data!$M115*264.172/1000000</f>
        <v>192.53674293200001</v>
      </c>
      <c r="I72" s="141">
        <f t="shared" si="50"/>
        <v>161.46142633235226</v>
      </c>
      <c r="J72" s="141">
        <f t="shared" si="51"/>
        <v>177.90121236053355</v>
      </c>
      <c r="K72" s="141">
        <f t="shared" si="52"/>
        <v>183.91063455939241</v>
      </c>
      <c r="L72" s="141">
        <f t="shared" si="52"/>
        <v>184.15822296109721</v>
      </c>
      <c r="M72" s="141">
        <f t="shared" si="52"/>
        <v>185.22228914061409</v>
      </c>
      <c r="N72" s="141">
        <f t="shared" si="52"/>
        <v>182.46073643163348</v>
      </c>
      <c r="O72" s="141">
        <f t="shared" si="52"/>
        <v>185.76826056880896</v>
      </c>
      <c r="P72" s="141">
        <f t="shared" si="52"/>
        <v>188.07210874636883</v>
      </c>
      <c r="Q72" s="141">
        <f t="shared" si="52"/>
        <v>189.33559553288524</v>
      </c>
      <c r="R72" s="141">
        <f t="shared" si="52"/>
        <v>190.06875910240936</v>
      </c>
      <c r="S72" s="141">
        <f t="shared" si="52"/>
        <v>191.17746857218708</v>
      </c>
      <c r="T72" s="141">
        <f t="shared" si="52"/>
        <v>193.07696692928201</v>
      </c>
      <c r="U72" s="141">
        <f t="shared" si="52"/>
        <v>194.61370139512064</v>
      </c>
      <c r="V72" s="141">
        <f t="shared" si="52"/>
        <v>195.99356791500168</v>
      </c>
      <c r="W72" s="141">
        <f t="shared" si="52"/>
        <v>197.39720347497843</v>
      </c>
      <c r="X72" s="141">
        <f t="shared" si="52"/>
        <v>198.8627861561566</v>
      </c>
      <c r="Y72" s="141">
        <f t="shared" si="52"/>
        <v>200.40135200729605</v>
      </c>
      <c r="Z72" s="141">
        <f t="shared" si="52"/>
        <v>201.86609586992768</v>
      </c>
      <c r="AA72" s="141">
        <f t="shared" si="53"/>
        <v>203.31612421409179</v>
      </c>
      <c r="AB72" s="141">
        <f t="shared" si="53"/>
        <v>204.78050050620365</v>
      </c>
      <c r="AC72" s="141">
        <f t="shared" si="53"/>
        <v>206.2572924447403</v>
      </c>
      <c r="AD72" s="141">
        <f t="shared" si="53"/>
        <v>207.73637296523566</v>
      </c>
      <c r="AE72" s="141">
        <f t="shared" si="53"/>
        <v>209.57096589591151</v>
      </c>
      <c r="AF72" s="141">
        <f t="shared" si="53"/>
        <v>211.03833248718067</v>
      </c>
      <c r="AG72" s="141">
        <f t="shared" si="53"/>
        <v>212.50924738768271</v>
      </c>
      <c r="AH72" s="141">
        <f t="shared" si="53"/>
        <v>214.34916401628433</v>
      </c>
    </row>
    <row r="73" spans="1:34" x14ac:dyDescent="0.2">
      <c r="A73" s="130" t="s">
        <v>93</v>
      </c>
      <c r="B73" s="148">
        <f>monthly_data!$M44*264.172/1000000</f>
        <v>202.88409600000003</v>
      </c>
      <c r="C73" s="148">
        <f>monthly_data!$M56*264.172/1000000</f>
        <v>187.96207640800003</v>
      </c>
      <c r="D73" s="148">
        <f>monthly_data!$M68*264.172/1000000</f>
        <v>39.398876252000001</v>
      </c>
      <c r="E73" s="148">
        <f>monthly_data!$M80*264.172/1000000</f>
        <v>66.784266632000012</v>
      </c>
      <c r="F73" s="148">
        <f>monthly_data!$M92*264.172/1000000</f>
        <v>140.43145765200001</v>
      </c>
      <c r="G73" s="148">
        <f>monthly_data!$M104*264.172/1000000</f>
        <v>181.19425394000004</v>
      </c>
      <c r="H73" s="148">
        <f>monthly_data!$M116*264.172/1000000</f>
        <v>191.49115015600003</v>
      </c>
      <c r="I73" s="141">
        <f t="shared" si="50"/>
        <v>169.31596844428333</v>
      </c>
      <c r="J73" s="141">
        <f t="shared" si="51"/>
        <v>185.59828676307242</v>
      </c>
      <c r="K73" s="141">
        <f t="shared" si="52"/>
        <v>189.97102725921994</v>
      </c>
      <c r="L73" s="141">
        <f t="shared" si="52"/>
        <v>191.46204734916006</v>
      </c>
      <c r="M73" s="141">
        <f t="shared" si="52"/>
        <v>190.9582580117609</v>
      </c>
      <c r="N73" s="141">
        <f t="shared" si="52"/>
        <v>189.54365424561254</v>
      </c>
      <c r="O73" s="141">
        <f t="shared" si="52"/>
        <v>192.65693833803576</v>
      </c>
      <c r="P73" s="141">
        <f t="shared" si="52"/>
        <v>194.82169500059328</v>
      </c>
      <c r="Q73" s="141">
        <f t="shared" si="52"/>
        <v>196.24094419968705</v>
      </c>
      <c r="R73" s="141">
        <f t="shared" si="52"/>
        <v>196.88092820867752</v>
      </c>
      <c r="S73" s="141">
        <f t="shared" si="52"/>
        <v>198.21376759064617</v>
      </c>
      <c r="T73" s="141">
        <f t="shared" si="52"/>
        <v>200.10805821739129</v>
      </c>
      <c r="U73" s="141">
        <f t="shared" si="52"/>
        <v>201.67545149276788</v>
      </c>
      <c r="V73" s="141">
        <f t="shared" si="52"/>
        <v>203.12068564658006</v>
      </c>
      <c r="W73" s="141">
        <f t="shared" si="52"/>
        <v>204.57120173364029</v>
      </c>
      <c r="X73" s="141">
        <f t="shared" si="52"/>
        <v>206.109579619068</v>
      </c>
      <c r="Y73" s="141">
        <f t="shared" si="52"/>
        <v>207.68998585615338</v>
      </c>
      <c r="Z73" s="141">
        <f t="shared" si="52"/>
        <v>209.20619384996911</v>
      </c>
      <c r="AA73" s="141">
        <f t="shared" si="53"/>
        <v>210.71194034310247</v>
      </c>
      <c r="AB73" s="141">
        <f t="shared" si="53"/>
        <v>212.23006168105573</v>
      </c>
      <c r="AC73" s="141">
        <f t="shared" si="53"/>
        <v>213.76200149981224</v>
      </c>
      <c r="AD73" s="141">
        <f t="shared" si="53"/>
        <v>215.29262333634807</v>
      </c>
      <c r="AE73" s="141">
        <f t="shared" si="53"/>
        <v>217.19411411305708</v>
      </c>
      <c r="AF73" s="141">
        <f t="shared" si="53"/>
        <v>218.71542598671334</v>
      </c>
      <c r="AG73" s="141">
        <f t="shared" si="53"/>
        <v>220.23992323474292</v>
      </c>
      <c r="AH73" s="141">
        <f t="shared" si="53"/>
        <v>222.14676383549957</v>
      </c>
    </row>
    <row r="74" spans="1:34" x14ac:dyDescent="0.2">
      <c r="A74" s="130" t="s">
        <v>94</v>
      </c>
      <c r="B74" s="148">
        <f>monthly_data!$M45*264.172/1000000</f>
        <v>211.33760000000004</v>
      </c>
      <c r="C74" s="148">
        <f>monthly_data!$M57*264.172/1000000</f>
        <v>233.98480138800002</v>
      </c>
      <c r="D74" s="148">
        <f>monthly_data!$M69*264.172/1000000</f>
        <v>47.561791052000004</v>
      </c>
      <c r="E74" s="148">
        <f>monthly_data!$M81*264.172/1000000</f>
        <v>73.645341816000013</v>
      </c>
      <c r="F74" s="148">
        <f>monthly_data!$M93*264.172/1000000</f>
        <v>188.84388254400002</v>
      </c>
      <c r="G74" s="148">
        <f>monthly_data!$M105*264.172/1000000</f>
        <v>202.77552130800004</v>
      </c>
      <c r="H74" s="148">
        <f>monthly_data!$M117*264.172/1000000</f>
        <v>250.29081808800004</v>
      </c>
      <c r="I74" s="141">
        <f t="shared" si="50"/>
        <v>208.6354803803597</v>
      </c>
      <c r="J74" s="141">
        <f t="shared" si="51"/>
        <v>228.94335321570034</v>
      </c>
      <c r="K74" s="141">
        <f t="shared" si="52"/>
        <v>236.24918599066493</v>
      </c>
      <c r="L74" s="141">
        <f t="shared" si="52"/>
        <v>235.13992357943292</v>
      </c>
      <c r="M74" s="141">
        <f t="shared" si="52"/>
        <v>238.58682131906113</v>
      </c>
      <c r="N74" s="141">
        <f t="shared" si="52"/>
        <v>234.5631541130696</v>
      </c>
      <c r="O74" s="141">
        <f t="shared" si="52"/>
        <v>238.59798914996287</v>
      </c>
      <c r="P74" s="141">
        <f t="shared" si="52"/>
        <v>241.46524197254709</v>
      </c>
      <c r="Q74" s="141">
        <f t="shared" si="52"/>
        <v>243.06148383959962</v>
      </c>
      <c r="R74" s="141">
        <f t="shared" si="52"/>
        <v>244.26303907338948</v>
      </c>
      <c r="S74" s="141">
        <f t="shared" si="52"/>
        <v>245.57506790015856</v>
      </c>
      <c r="T74" s="141">
        <f t="shared" si="52"/>
        <v>247.97721242843465</v>
      </c>
      <c r="U74" s="141">
        <f t="shared" si="52"/>
        <v>249.94933974421124</v>
      </c>
      <c r="V74" s="141">
        <f t="shared" si="52"/>
        <v>251.73842448634994</v>
      </c>
      <c r="W74" s="141">
        <f t="shared" si="52"/>
        <v>253.5669165374004</v>
      </c>
      <c r="X74" s="141">
        <f t="shared" si="52"/>
        <v>255.42705707116681</v>
      </c>
      <c r="Y74" s="141">
        <f t="shared" si="52"/>
        <v>257.39929752188436</v>
      </c>
      <c r="Z74" s="141">
        <f t="shared" si="52"/>
        <v>259.28360834755904</v>
      </c>
      <c r="AA74" s="141">
        <f t="shared" si="53"/>
        <v>261.14996787145708</v>
      </c>
      <c r="AB74" s="141">
        <f t="shared" si="53"/>
        <v>263.03212989858844</v>
      </c>
      <c r="AC74" s="141">
        <f t="shared" si="53"/>
        <v>264.92526268075699</v>
      </c>
      <c r="AD74" s="141">
        <f t="shared" si="53"/>
        <v>266.82513579419128</v>
      </c>
      <c r="AE74" s="141">
        <f t="shared" si="53"/>
        <v>269.18247023976841</v>
      </c>
      <c r="AF74" s="141">
        <f t="shared" si="53"/>
        <v>271.06770875347593</v>
      </c>
      <c r="AG74" s="141">
        <f t="shared" si="53"/>
        <v>272.95681105695064</v>
      </c>
      <c r="AH74" s="141">
        <f t="shared" si="53"/>
        <v>275.31957777744333</v>
      </c>
    </row>
    <row r="75" spans="1:34" x14ac:dyDescent="0.2">
      <c r="A75" s="130" t="s">
        <v>95</v>
      </c>
      <c r="B75" s="148">
        <f>monthly_data!$M46*264.172/1000000</f>
        <v>243.30241200000003</v>
      </c>
      <c r="C75" s="148">
        <f>monthly_data!$M58*264.172/1000000</f>
        <v>223.10910432000003</v>
      </c>
      <c r="D75" s="148">
        <f>monthly_data!$M70*264.172/1000000</f>
        <v>76.002548572000009</v>
      </c>
      <c r="E75" s="148">
        <f>monthly_data!$M82*264.172/1000000</f>
        <v>105.34809519200002</v>
      </c>
      <c r="F75" s="148">
        <f>monthly_data!$M94*264.172/1000000</f>
        <v>218.12470702400003</v>
      </c>
      <c r="G75" s="148">
        <f>monthly_data!$M106*264.172/1000000</f>
        <v>212.00542681600001</v>
      </c>
      <c r="H75" s="148">
        <f>monthly_data!$M118*264.172/1000000</f>
        <v>189.15666219200003</v>
      </c>
      <c r="I75" s="141">
        <f t="shared" si="50"/>
        <v>218.89343206506857</v>
      </c>
      <c r="J75" s="141">
        <f t="shared" si="51"/>
        <v>233.73364150011696</v>
      </c>
      <c r="K75" s="141">
        <f t="shared" si="52"/>
        <v>234.59133545238561</v>
      </c>
      <c r="L75" s="141">
        <f t="shared" si="52"/>
        <v>227.10354798661402</v>
      </c>
      <c r="M75" s="141">
        <f t="shared" si="52"/>
        <v>227.10672107643757</v>
      </c>
      <c r="N75" s="141">
        <f t="shared" si="52"/>
        <v>233.31096624901076</v>
      </c>
      <c r="O75" s="141">
        <f t="shared" si="52"/>
        <v>235.01210843149437</v>
      </c>
      <c r="P75" s="141">
        <f t="shared" si="52"/>
        <v>236.15639874582547</v>
      </c>
      <c r="Q75" s="141">
        <f t="shared" si="52"/>
        <v>236.99424100260347</v>
      </c>
      <c r="R75" s="141">
        <f t="shared" si="52"/>
        <v>238.60824848194201</v>
      </c>
      <c r="S75" s="141">
        <f t="shared" si="52"/>
        <v>241.10694222610448</v>
      </c>
      <c r="T75" s="141">
        <f t="shared" si="52"/>
        <v>242.84887769321813</v>
      </c>
      <c r="U75" s="141">
        <f t="shared" si="52"/>
        <v>244.50447646354388</v>
      </c>
      <c r="V75" s="141">
        <f t="shared" si="52"/>
        <v>246.26456825300482</v>
      </c>
      <c r="W75" s="141">
        <f t="shared" si="52"/>
        <v>248.21328828352983</v>
      </c>
      <c r="X75" s="141">
        <f t="shared" si="52"/>
        <v>250.13593222283407</v>
      </c>
      <c r="Y75" s="141">
        <f t="shared" si="52"/>
        <v>251.94074780085975</v>
      </c>
      <c r="Z75" s="141">
        <f t="shared" si="52"/>
        <v>253.75843506519593</v>
      </c>
      <c r="AA75" s="141">
        <f t="shared" si="53"/>
        <v>255.60926924541948</v>
      </c>
      <c r="AB75" s="141">
        <f t="shared" si="53"/>
        <v>257.47865088005005</v>
      </c>
      <c r="AC75" s="141">
        <f t="shared" si="53"/>
        <v>259.33181156839913</v>
      </c>
      <c r="AD75" s="141">
        <f t="shared" si="53"/>
        <v>261.17077277625941</v>
      </c>
      <c r="AE75" s="141">
        <f t="shared" si="53"/>
        <v>263.47895710417765</v>
      </c>
      <c r="AF75" s="141">
        <f t="shared" si="53"/>
        <v>265.33067389296201</v>
      </c>
      <c r="AG75" s="141">
        <f t="shared" si="53"/>
        <v>267.18256833258874</v>
      </c>
      <c r="AH75" s="141">
        <f t="shared" si="53"/>
        <v>269.49313865244648</v>
      </c>
    </row>
    <row r="76" spans="1:34" x14ac:dyDescent="0.2">
      <c r="A76" s="130" t="s">
        <v>96</v>
      </c>
      <c r="B76" s="148">
        <f>monthly_data!$M47*264.172/1000000</f>
        <v>244.88744400000002</v>
      </c>
      <c r="C76" s="148">
        <f>monthly_data!$M59*264.172/1000000</f>
        <v>256.83884945200003</v>
      </c>
      <c r="D76" s="148">
        <f>monthly_data!$M71*264.172/1000000</f>
        <v>76.392466444000007</v>
      </c>
      <c r="E76" s="148">
        <f>monthly_data!$M83*264.172/1000000</f>
        <v>148.03459198400003</v>
      </c>
      <c r="F76" s="148">
        <f>monthly_data!$M95*264.172/1000000</f>
        <v>210.52157269200003</v>
      </c>
      <c r="G76" s="148">
        <f>monthly_data!$M107*264.172/1000000</f>
        <v>240.74152863200004</v>
      </c>
      <c r="H76" s="148">
        <f>monthly_data!$M119*264.172/1000000</f>
        <v>244.33585286400003</v>
      </c>
      <c r="I76" s="141">
        <f t="shared" si="50"/>
        <v>251.53414202309762</v>
      </c>
      <c r="J76" s="141">
        <f t="shared" si="51"/>
        <v>271.29819582181329</v>
      </c>
      <c r="K76" s="141">
        <f t="shared" si="52"/>
        <v>266.65708137761999</v>
      </c>
      <c r="L76" s="141">
        <f t="shared" si="52"/>
        <v>265.95353657496838</v>
      </c>
      <c r="M76" s="141">
        <f t="shared" si="52"/>
        <v>267.50722508314453</v>
      </c>
      <c r="N76" s="141">
        <f t="shared" si="52"/>
        <v>270.41442967737055</v>
      </c>
      <c r="O76" s="141">
        <f t="shared" si="52"/>
        <v>272.82730541650136</v>
      </c>
      <c r="P76" s="141">
        <f t="shared" si="52"/>
        <v>274.1648898304054</v>
      </c>
      <c r="Q76" s="141">
        <f t="shared" si="52"/>
        <v>276.30156653535562</v>
      </c>
      <c r="R76" s="141">
        <f t="shared" si="52"/>
        <v>277.94169445206001</v>
      </c>
      <c r="S76" s="141">
        <f t="shared" si="52"/>
        <v>280.24689825882035</v>
      </c>
      <c r="T76" s="141">
        <f t="shared" si="52"/>
        <v>282.42921966857477</v>
      </c>
      <c r="U76" s="141">
        <f t="shared" si="52"/>
        <v>284.45441753622697</v>
      </c>
      <c r="V76" s="141">
        <f t="shared" si="52"/>
        <v>286.62019704850468</v>
      </c>
      <c r="W76" s="141">
        <f t="shared" si="52"/>
        <v>288.79193648753079</v>
      </c>
      <c r="X76" s="141">
        <f t="shared" si="52"/>
        <v>290.96241358367291</v>
      </c>
      <c r="Y76" s="141">
        <f t="shared" si="52"/>
        <v>293.10533225398052</v>
      </c>
      <c r="Z76" s="141">
        <f t="shared" si="52"/>
        <v>295.24019702180402</v>
      </c>
      <c r="AA76" s="141">
        <f t="shared" si="53"/>
        <v>297.39748696735961</v>
      </c>
      <c r="AB76" s="141">
        <f t="shared" si="53"/>
        <v>299.55303964663915</v>
      </c>
      <c r="AC76" s="141">
        <f t="shared" si="53"/>
        <v>301.70528283228009</v>
      </c>
      <c r="AD76" s="141">
        <f t="shared" si="53"/>
        <v>303.85379977503288</v>
      </c>
      <c r="AE76" s="141">
        <f t="shared" si="53"/>
        <v>306.54125298333065</v>
      </c>
      <c r="AF76" s="141">
        <f t="shared" si="53"/>
        <v>308.69393973822696</v>
      </c>
      <c r="AG76" s="141">
        <f t="shared" si="53"/>
        <v>310.84568378346108</v>
      </c>
      <c r="AH76" s="141">
        <f t="shared" si="53"/>
        <v>313.53444387727859</v>
      </c>
    </row>
    <row r="77" spans="1:34" x14ac:dyDescent="0.2">
      <c r="A77" s="130" t="s">
        <v>97</v>
      </c>
      <c r="B77" s="148">
        <f>monthly_data!$M48*264.172/1000000</f>
        <v>214.50766400000003</v>
      </c>
      <c r="C77" s="148">
        <f>monthly_data!$M60*264.172/1000000</f>
        <v>227.04843718400002</v>
      </c>
      <c r="D77" s="148">
        <f>monthly_data!$M72*264.172/1000000</f>
        <v>75.30011522400001</v>
      </c>
      <c r="E77" s="148">
        <f>monthly_data!$M84*264.172/1000000</f>
        <v>105.53327976400001</v>
      </c>
      <c r="F77" s="148">
        <f>monthly_data!$M96*264.172/1000000</f>
        <v>180.48363126000001</v>
      </c>
      <c r="G77" s="148">
        <f>monthly_data!$M108*264.172/1000000</f>
        <v>207.76176780800003</v>
      </c>
      <c r="H77" s="148">
        <f>monthly_data!$M120*264.172/1000000</f>
        <v>189.36192383600002</v>
      </c>
      <c r="I77" s="141">
        <f t="shared" si="50"/>
        <v>207.35689277730395</v>
      </c>
      <c r="J77" s="141">
        <f t="shared" si="51"/>
        <v>220.59668715784508</v>
      </c>
      <c r="K77" s="141">
        <f t="shared" si="52"/>
        <v>220.06980389608157</v>
      </c>
      <c r="L77" s="141">
        <f t="shared" si="52"/>
        <v>218.08237968141333</v>
      </c>
      <c r="M77" s="141">
        <f t="shared" si="52"/>
        <v>217.22560048375948</v>
      </c>
      <c r="N77" s="141">
        <f t="shared" si="52"/>
        <v>221.43572538135138</v>
      </c>
      <c r="O77" s="141">
        <f t="shared" si="52"/>
        <v>223.13062186015125</v>
      </c>
      <c r="P77" s="141">
        <f t="shared" si="52"/>
        <v>224.48647889055874</v>
      </c>
      <c r="Q77" s="141">
        <f t="shared" si="52"/>
        <v>225.8819953986384</v>
      </c>
      <c r="R77" s="141">
        <f t="shared" si="52"/>
        <v>227.08804825492706</v>
      </c>
      <c r="S77" s="141">
        <f t="shared" si="52"/>
        <v>229.24467261110257</v>
      </c>
      <c r="T77" s="141">
        <f t="shared" si="52"/>
        <v>230.98197193655506</v>
      </c>
      <c r="U77" s="141">
        <f t="shared" si="52"/>
        <v>232.63795724451202</v>
      </c>
      <c r="V77" s="141">
        <f t="shared" si="52"/>
        <v>234.35528243383607</v>
      </c>
      <c r="W77" s="141">
        <f t="shared" si="52"/>
        <v>236.13842275895652</v>
      </c>
      <c r="X77" s="141">
        <f t="shared" si="52"/>
        <v>237.94965749673517</v>
      </c>
      <c r="Y77" s="141">
        <f t="shared" si="52"/>
        <v>239.69024167710103</v>
      </c>
      <c r="Z77" s="141">
        <f t="shared" si="52"/>
        <v>241.43150365903773</v>
      </c>
      <c r="AA77" s="141">
        <f t="shared" si="53"/>
        <v>243.19020507881467</v>
      </c>
      <c r="AB77" s="141">
        <f t="shared" si="53"/>
        <v>244.95736406735759</v>
      </c>
      <c r="AC77" s="141">
        <f t="shared" si="53"/>
        <v>246.72125438260287</v>
      </c>
      <c r="AD77" s="141">
        <f t="shared" si="53"/>
        <v>248.47546886389742</v>
      </c>
      <c r="AE77" s="141">
        <f t="shared" si="53"/>
        <v>250.67224551148112</v>
      </c>
      <c r="AF77" s="141">
        <f t="shared" si="53"/>
        <v>252.43246356271712</v>
      </c>
      <c r="AG77" s="141">
        <f t="shared" si="53"/>
        <v>254.1929905597087</v>
      </c>
      <c r="AH77" s="141">
        <f t="shared" si="53"/>
        <v>256.39194120058897</v>
      </c>
    </row>
    <row r="78" spans="1:34" x14ac:dyDescent="0.2">
      <c r="A78" s="130" t="s">
        <v>98</v>
      </c>
      <c r="B78" s="148">
        <f>monthly_data!$M49*264.172/1000000</f>
        <v>193.63807600000004</v>
      </c>
      <c r="C78" s="148">
        <f>monthly_data!$M61*264.172/1000000</f>
        <v>198.54612758800002</v>
      </c>
      <c r="D78" s="148">
        <f>monthly_data!$M73*264.172/1000000</f>
        <v>69.710235704000013</v>
      </c>
      <c r="E78" s="148">
        <f>monthly_data!$M85*264.172/1000000</f>
        <v>127.059071012</v>
      </c>
      <c r="F78" s="148">
        <f>monthly_data!$M97*264.172/1000000</f>
        <v>180.60779210000001</v>
      </c>
      <c r="G78" s="148">
        <f>monthly_data!$M109*264.172/1000000</f>
        <v>157.98780042800001</v>
      </c>
      <c r="H78" s="148">
        <f>monthly_data!$M121*264.172/1000000</f>
        <v>164.40453830800004</v>
      </c>
      <c r="I78" s="141">
        <f t="shared" si="50"/>
        <v>191.31622657944709</v>
      </c>
      <c r="J78" s="141">
        <f t="shared" si="51"/>
        <v>203.47356320563586</v>
      </c>
      <c r="K78" s="141">
        <f t="shared" si="52"/>
        <v>196.48382431448306</v>
      </c>
      <c r="L78" s="141">
        <f t="shared" si="52"/>
        <v>190.64727817150975</v>
      </c>
      <c r="M78" s="141">
        <f t="shared" si="52"/>
        <v>194.76305373874416</v>
      </c>
      <c r="N78" s="141">
        <f t="shared" si="52"/>
        <v>199.63671803535365</v>
      </c>
      <c r="O78" s="141">
        <f t="shared" si="52"/>
        <v>200.27575226436136</v>
      </c>
      <c r="P78" s="141">
        <f t="shared" si="52"/>
        <v>200.37591571023788</v>
      </c>
      <c r="Q78" s="141">
        <f t="shared" si="52"/>
        <v>201.61127776004233</v>
      </c>
      <c r="R78" s="141">
        <f t="shared" si="52"/>
        <v>203.50498615798509</v>
      </c>
      <c r="S78" s="141">
        <f t="shared" si="52"/>
        <v>205.41796965195203</v>
      </c>
      <c r="T78" s="141">
        <f t="shared" si="52"/>
        <v>206.72608968493137</v>
      </c>
      <c r="U78" s="141">
        <f t="shared" si="52"/>
        <v>208.09028620508838</v>
      </c>
      <c r="V78" s="141">
        <f t="shared" si="52"/>
        <v>209.71292204227922</v>
      </c>
      <c r="W78" s="141">
        <f t="shared" si="52"/>
        <v>211.4148039084117</v>
      </c>
      <c r="X78" s="141">
        <f t="shared" si="52"/>
        <v>212.99693031286597</v>
      </c>
      <c r="Y78" s="141">
        <f t="shared" si="52"/>
        <v>214.51139306705412</v>
      </c>
      <c r="Z78" s="141">
        <f t="shared" si="52"/>
        <v>216.06806637210391</v>
      </c>
      <c r="AA78" s="141">
        <f t="shared" si="53"/>
        <v>217.66409463349402</v>
      </c>
      <c r="AB78" s="141">
        <f t="shared" si="53"/>
        <v>219.25467727696105</v>
      </c>
      <c r="AC78" s="141">
        <f t="shared" si="53"/>
        <v>220.82250844905306</v>
      </c>
      <c r="AD78" s="141">
        <f t="shared" si="53"/>
        <v>222.38742060985402</v>
      </c>
      <c r="AE78" s="141">
        <f t="shared" si="53"/>
        <v>224.35625040740956</v>
      </c>
      <c r="AF78" s="141">
        <f t="shared" si="53"/>
        <v>225.93526802931825</v>
      </c>
      <c r="AG78" s="141">
        <f t="shared" si="53"/>
        <v>227.51080301328633</v>
      </c>
      <c r="AH78" s="141">
        <f t="shared" si="53"/>
        <v>229.47687571864503</v>
      </c>
    </row>
    <row r="79" spans="1:34" x14ac:dyDescent="0.2">
      <c r="A79" s="130" t="s">
        <v>99</v>
      </c>
      <c r="B79" s="148">
        <f>monthly_data!$M50*264.172/1000000</f>
        <v>178.05192800000003</v>
      </c>
      <c r="C79" s="148">
        <f>monthly_data!$M62*264.172/1000000</f>
        <v>175.42235991200002</v>
      </c>
      <c r="D79" s="148">
        <f>monthly_data!$M74*264.172/1000000</f>
        <v>73.547069832000005</v>
      </c>
      <c r="E79" s="148">
        <f>monthly_data!$M86*264.172/1000000</f>
        <v>116.11019830000001</v>
      </c>
      <c r="F79" s="148">
        <f>monthly_data!$M98*264.172/1000000</f>
        <v>137.23973154800001</v>
      </c>
      <c r="G79" s="148">
        <f>monthly_data!$M110*264.172/1000000</f>
        <v>164.11949672000003</v>
      </c>
      <c r="H79" s="148">
        <f>monthly_data!$M122*264.172/1000000</f>
        <v>177.44723829200004</v>
      </c>
      <c r="I79" s="141">
        <f t="shared" si="50"/>
        <v>182.7572804177729</v>
      </c>
      <c r="J79" s="141">
        <f t="shared" si="51"/>
        <v>192.64770186856191</v>
      </c>
      <c r="K79" s="141">
        <f t="shared" si="52"/>
        <v>186.94655440822277</v>
      </c>
      <c r="L79" s="141">
        <f t="shared" si="52"/>
        <v>188.61330845866033</v>
      </c>
      <c r="M79" s="141">
        <f t="shared" si="52"/>
        <v>191.07631123163705</v>
      </c>
      <c r="N79" s="141">
        <f t="shared" si="52"/>
        <v>192.55564247086633</v>
      </c>
      <c r="O79" s="141">
        <f t="shared" si="52"/>
        <v>193.53250436167767</v>
      </c>
      <c r="P79" s="141">
        <f t="shared" si="52"/>
        <v>194.44053754430644</v>
      </c>
      <c r="Q79" s="141">
        <f t="shared" si="52"/>
        <v>196.39960536829048</v>
      </c>
      <c r="R79" s="141">
        <f t="shared" si="52"/>
        <v>197.65338811413673</v>
      </c>
      <c r="S79" s="141">
        <f t="shared" si="52"/>
        <v>199.12041339791514</v>
      </c>
      <c r="T79" s="141">
        <f t="shared" si="52"/>
        <v>200.58484642243826</v>
      </c>
      <c r="U79" s="141">
        <f t="shared" si="52"/>
        <v>202.07080029304566</v>
      </c>
      <c r="V79" s="141">
        <f t="shared" si="52"/>
        <v>203.67493690198592</v>
      </c>
      <c r="W79" s="141">
        <f t="shared" si="52"/>
        <v>205.20649707221074</v>
      </c>
      <c r="X79" s="141">
        <f t="shared" si="52"/>
        <v>206.71671240128137</v>
      </c>
      <c r="Y79" s="141">
        <f t="shared" si="52"/>
        <v>208.23576631691341</v>
      </c>
      <c r="Z79" s="141">
        <f t="shared" si="52"/>
        <v>209.76599159367038</v>
      </c>
      <c r="AA79" s="141">
        <f t="shared" si="53"/>
        <v>211.30526693907285</v>
      </c>
      <c r="AB79" s="141">
        <f t="shared" si="53"/>
        <v>212.83128092403444</v>
      </c>
      <c r="AC79" s="141">
        <f t="shared" si="53"/>
        <v>214.35616218439324</v>
      </c>
      <c r="AD79" s="141">
        <f t="shared" si="53"/>
        <v>215.88404137299014</v>
      </c>
      <c r="AE79" s="141">
        <f t="shared" si="53"/>
        <v>217.79582173000787</v>
      </c>
      <c r="AF79" s="141">
        <f t="shared" si="53"/>
        <v>219.32539450762158</v>
      </c>
      <c r="AG79" s="141">
        <f t="shared" si="53"/>
        <v>220.85298231892801</v>
      </c>
      <c r="AH79" s="141">
        <f t="shared" si="53"/>
        <v>222.76299032037483</v>
      </c>
    </row>
    <row r="80" spans="1:34" x14ac:dyDescent="0.2">
      <c r="A80" s="130" t="s">
        <v>100</v>
      </c>
      <c r="B80" s="148">
        <f>monthly_data!$M51*264.172/1000000</f>
        <v>185.71291600000004</v>
      </c>
      <c r="C80" s="148">
        <f>monthly_data!$M63*264.172/1000000</f>
        <v>196.51121067200003</v>
      </c>
      <c r="D80" s="148">
        <f>monthly_data!$M75*264.172/1000000</f>
        <v>76.714227940000015</v>
      </c>
      <c r="E80" s="148">
        <f>monthly_data!$M87*264.172/1000000</f>
        <v>156.96334141200001</v>
      </c>
      <c r="F80" s="148">
        <f>monthly_data!$M99*264.172/1000000</f>
        <v>195.60404402400002</v>
      </c>
      <c r="G80" s="148">
        <f>monthly_data!$M111*264.172/1000000</f>
        <v>192.41073288800001</v>
      </c>
      <c r="H80" s="148">
        <f>monthly_data!$M123*264.172/1000000</f>
        <v>179.07295278000004</v>
      </c>
      <c r="I80" s="141">
        <f t="shared" ref="I80:Q80" si="54">I81-SUM(I69:I79)</f>
        <v>218.928388648691</v>
      </c>
      <c r="J80" s="141">
        <f t="shared" si="54"/>
        <v>233.59767539302948</v>
      </c>
      <c r="K80" s="141">
        <f t="shared" si="54"/>
        <v>223.14531820318143</v>
      </c>
      <c r="L80" s="141">
        <f t="shared" si="54"/>
        <v>218.50137120850604</v>
      </c>
      <c r="M80" s="141">
        <f t="shared" si="54"/>
        <v>220.88449111010914</v>
      </c>
      <c r="N80" s="141">
        <f t="shared" si="54"/>
        <v>227.92057720990488</v>
      </c>
      <c r="O80" s="141">
        <f t="shared" si="54"/>
        <v>228.54703718958399</v>
      </c>
      <c r="P80" s="141">
        <f t="shared" si="54"/>
        <v>228.37532580599327</v>
      </c>
      <c r="Q80" s="141">
        <f t="shared" si="54"/>
        <v>229.94572403397797</v>
      </c>
      <c r="R80" s="141">
        <f>R81-SUM(R69:R79)</f>
        <v>231.88902895565843</v>
      </c>
      <c r="S80" s="141">
        <f>S81-SUM(S69:S79)</f>
        <v>234.28199143319898</v>
      </c>
      <c r="T80" s="141">
        <f t="shared" ref="T80:AF80" si="55">T81-SUM(T69:T79)</f>
        <v>235.7264530353068</v>
      </c>
      <c r="U80" s="141">
        <f t="shared" si="55"/>
        <v>237.2460760752715</v>
      </c>
      <c r="V80" s="141">
        <f t="shared" si="55"/>
        <v>239.11150529290444</v>
      </c>
      <c r="W80" s="141">
        <f t="shared" si="55"/>
        <v>241.03731978037558</v>
      </c>
      <c r="X80" s="141">
        <f t="shared" si="55"/>
        <v>242.86775424530333</v>
      </c>
      <c r="Y80" s="141">
        <f t="shared" si="55"/>
        <v>244.58313849677097</v>
      </c>
      <c r="Z80" s="141">
        <f t="shared" si="55"/>
        <v>246.35394444914436</v>
      </c>
      <c r="AA80" s="141">
        <f t="shared" si="55"/>
        <v>248.1761091431672</v>
      </c>
      <c r="AB80" s="141">
        <f t="shared" si="55"/>
        <v>249.9894217342835</v>
      </c>
      <c r="AC80" s="141">
        <f t="shared" si="55"/>
        <v>251.77973642496318</v>
      </c>
      <c r="AD80" s="141">
        <f t="shared" si="55"/>
        <v>253.56185457153924</v>
      </c>
      <c r="AE80" s="141">
        <f t="shared" si="55"/>
        <v>255.80639418461988</v>
      </c>
      <c r="AF80" s="141">
        <f t="shared" si="55"/>
        <v>257.60725524505324</v>
      </c>
      <c r="AG80" s="141">
        <f>AG81-SUM(AG69:AG79)</f>
        <v>259.40375476786176</v>
      </c>
      <c r="AH80" s="141">
        <f>AH81-SUM(AH69:AH79)</f>
        <v>261.64560891788051</v>
      </c>
    </row>
    <row r="81" spans="1:34" ht="12" thickBot="1" x14ac:dyDescent="0.25">
      <c r="A81" s="130" t="s">
        <v>134</v>
      </c>
      <c r="B81" s="141">
        <f t="shared" ref="B81:H81" si="56">SUM(B69:B80)</f>
        <v>2401.8518239999999</v>
      </c>
      <c r="C81" s="141">
        <f t="shared" si="56"/>
        <v>2480.2226745520002</v>
      </c>
      <c r="D81" s="141">
        <f t="shared" si="56"/>
        <v>1061.0653300400002</v>
      </c>
      <c r="E81" s="141">
        <f t="shared" si="56"/>
        <v>1154.3692954080002</v>
      </c>
      <c r="F81" s="141">
        <f t="shared" si="56"/>
        <v>1948.0191216320004</v>
      </c>
      <c r="G81" s="141">
        <f t="shared" si="56"/>
        <v>2213.449901212</v>
      </c>
      <c r="H81" s="141">
        <f t="shared" si="56"/>
        <v>2313.693136676</v>
      </c>
      <c r="I81" s="141">
        <f t="shared" ref="I81:Q81" si="57">I9</f>
        <v>2376</v>
      </c>
      <c r="J81" s="141">
        <f t="shared" si="57"/>
        <v>2478.6</v>
      </c>
      <c r="K81" s="141">
        <f t="shared" si="57"/>
        <v>2479.5500000000002</v>
      </c>
      <c r="L81" s="141">
        <f t="shared" si="57"/>
        <v>2475</v>
      </c>
      <c r="M81" s="141">
        <f t="shared" si="57"/>
        <v>2495</v>
      </c>
      <c r="N81" s="141">
        <f t="shared" si="57"/>
        <v>2515</v>
      </c>
      <c r="O81" s="141">
        <f t="shared" si="57"/>
        <v>2530</v>
      </c>
      <c r="P81" s="141">
        <f t="shared" si="57"/>
        <v>2550</v>
      </c>
      <c r="Q81" s="141">
        <f t="shared" si="57"/>
        <v>2570</v>
      </c>
      <c r="R81" s="141">
        <f>R9</f>
        <v>2585</v>
      </c>
      <c r="S81" s="141">
        <f>S9</f>
        <v>2605</v>
      </c>
      <c r="T81" s="141">
        <f t="shared" ref="T81:AF81" si="58">T9</f>
        <v>2625</v>
      </c>
      <c r="U81" s="141">
        <f t="shared" si="58"/>
        <v>2645</v>
      </c>
      <c r="V81" s="141">
        <f t="shared" si="58"/>
        <v>2665</v>
      </c>
      <c r="W81" s="141">
        <f t="shared" si="58"/>
        <v>2685</v>
      </c>
      <c r="X81" s="141">
        <f t="shared" si="58"/>
        <v>2705</v>
      </c>
      <c r="Y81" s="141">
        <f t="shared" si="58"/>
        <v>2725</v>
      </c>
      <c r="Z81" s="141">
        <f t="shared" si="58"/>
        <v>2745</v>
      </c>
      <c r="AA81" s="141">
        <f t="shared" si="58"/>
        <v>2765</v>
      </c>
      <c r="AB81" s="141">
        <f t="shared" si="58"/>
        <v>2785</v>
      </c>
      <c r="AC81" s="141">
        <f t="shared" si="58"/>
        <v>2805</v>
      </c>
      <c r="AD81" s="141">
        <f t="shared" si="58"/>
        <v>2825</v>
      </c>
      <c r="AE81" s="141">
        <f t="shared" si="58"/>
        <v>2850</v>
      </c>
      <c r="AF81" s="141">
        <f t="shared" si="58"/>
        <v>2870</v>
      </c>
      <c r="AG81" s="141">
        <f>AG9</f>
        <v>2890</v>
      </c>
      <c r="AH81" s="141">
        <f>AH9</f>
        <v>2915</v>
      </c>
    </row>
    <row r="82" spans="1:34" x14ac:dyDescent="0.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row>
    <row r="83" spans="1:34" ht="12" thickBot="1" x14ac:dyDescent="0.25">
      <c r="A83" s="130" t="s">
        <v>149</v>
      </c>
    </row>
    <row r="84" spans="1:34" ht="12" thickBot="1" x14ac:dyDescent="0.25">
      <c r="A84" s="128" t="s">
        <v>74</v>
      </c>
      <c r="B84" s="140">
        <f t="shared" ref="B84:Q84" si="59">B4</f>
        <v>2018</v>
      </c>
      <c r="C84" s="140">
        <f t="shared" si="59"/>
        <v>2019</v>
      </c>
      <c r="D84" s="140">
        <f t="shared" si="59"/>
        <v>2020</v>
      </c>
      <c r="E84" s="140">
        <f t="shared" si="59"/>
        <v>2021</v>
      </c>
      <c r="F84" s="140">
        <f t="shared" si="59"/>
        <v>2022</v>
      </c>
      <c r="G84" s="140">
        <f t="shared" si="59"/>
        <v>2023</v>
      </c>
      <c r="H84" s="140">
        <f t="shared" si="59"/>
        <v>2024</v>
      </c>
      <c r="I84" s="140">
        <f t="shared" si="59"/>
        <v>2025</v>
      </c>
      <c r="J84" s="140">
        <f t="shared" si="59"/>
        <v>2026</v>
      </c>
      <c r="K84" s="140">
        <f t="shared" si="59"/>
        <v>2027</v>
      </c>
      <c r="L84" s="140">
        <f t="shared" si="59"/>
        <v>2028</v>
      </c>
      <c r="M84" s="140">
        <f t="shared" si="59"/>
        <v>2029</v>
      </c>
      <c r="N84" s="140">
        <f t="shared" si="59"/>
        <v>2030</v>
      </c>
      <c r="O84" s="140">
        <f t="shared" si="59"/>
        <v>2031</v>
      </c>
      <c r="P84" s="140">
        <f t="shared" si="59"/>
        <v>2032</v>
      </c>
      <c r="Q84" s="140">
        <f t="shared" si="59"/>
        <v>2033</v>
      </c>
      <c r="R84" s="140">
        <f>R4</f>
        <v>2034</v>
      </c>
      <c r="S84" s="140">
        <f>S4</f>
        <v>2035</v>
      </c>
      <c r="T84" s="140">
        <f t="shared" ref="T84:AF84" si="60">T4</f>
        <v>2036</v>
      </c>
      <c r="U84" s="140">
        <f t="shared" si="60"/>
        <v>2037</v>
      </c>
      <c r="V84" s="140">
        <f t="shared" si="60"/>
        <v>2038</v>
      </c>
      <c r="W84" s="140">
        <f t="shared" si="60"/>
        <v>2039</v>
      </c>
      <c r="X84" s="140">
        <f t="shared" si="60"/>
        <v>2040</v>
      </c>
      <c r="Y84" s="140">
        <f t="shared" si="60"/>
        <v>2041</v>
      </c>
      <c r="Z84" s="140">
        <f t="shared" si="60"/>
        <v>2042</v>
      </c>
      <c r="AA84" s="140">
        <f t="shared" si="60"/>
        <v>2043</v>
      </c>
      <c r="AB84" s="140">
        <f t="shared" si="60"/>
        <v>2044</v>
      </c>
      <c r="AC84" s="140">
        <f t="shared" si="60"/>
        <v>2045</v>
      </c>
      <c r="AD84" s="140">
        <f t="shared" si="60"/>
        <v>2046</v>
      </c>
      <c r="AE84" s="140">
        <f t="shared" si="60"/>
        <v>2047</v>
      </c>
      <c r="AF84" s="140">
        <f t="shared" si="60"/>
        <v>2048</v>
      </c>
      <c r="AG84" s="140">
        <f>AG4</f>
        <v>2049</v>
      </c>
      <c r="AH84" s="140">
        <f>AH4</f>
        <v>2050</v>
      </c>
    </row>
    <row r="85" spans="1:34" x14ac:dyDescent="0.2">
      <c r="A85" s="130" t="s">
        <v>89</v>
      </c>
      <c r="B85" s="148">
        <f>monthly_data!$N40*264.172/1000000</f>
        <v>162.99412400000003</v>
      </c>
      <c r="C85" s="148">
        <f>monthly_data!$N52*264.172/1000000</f>
        <v>114.10486864800002</v>
      </c>
      <c r="D85" s="148">
        <f>monthly_data!$N64*264.172/1000000</f>
        <v>98.13514290400002</v>
      </c>
      <c r="E85" s="148">
        <f>monthly_data!$N76*264.172/1000000</f>
        <v>99.391544936000003</v>
      </c>
      <c r="F85" s="148">
        <f>monthly_data!$N88*264.172/1000000</f>
        <v>107.98004082800001</v>
      </c>
      <c r="G85" s="148">
        <f>monthly_data!$N100*264.172/1000000</f>
        <v>107.30059044400001</v>
      </c>
      <c r="H85" s="148">
        <f>monthly_data!$N112*264.172/1000000</f>
        <v>100.20783641600001</v>
      </c>
      <c r="I85" s="141">
        <f t="shared" ref="I85:AH94" si="61">AVERAGE(D85:H85)</f>
        <v>102.60303110560001</v>
      </c>
      <c r="J85" s="141">
        <f t="shared" si="61"/>
        <v>103.49660874592003</v>
      </c>
      <c r="K85" s="141">
        <f t="shared" si="61"/>
        <v>104.31762150790401</v>
      </c>
      <c r="L85" s="141">
        <f t="shared" si="61"/>
        <v>103.58513764388481</v>
      </c>
      <c r="M85" s="141">
        <f t="shared" si="61"/>
        <v>102.84204708386176</v>
      </c>
      <c r="N85" s="141">
        <f t="shared" si="61"/>
        <v>103.36888921743412</v>
      </c>
      <c r="O85" s="141">
        <f t="shared" si="61"/>
        <v>103.52206083980096</v>
      </c>
      <c r="P85" s="141">
        <f t="shared" si="61"/>
        <v>103.52715125857712</v>
      </c>
      <c r="Q85" s="141">
        <f t="shared" si="61"/>
        <v>103.36905720871175</v>
      </c>
      <c r="R85" s="141">
        <f t="shared" si="61"/>
        <v>103.32584112167714</v>
      </c>
      <c r="S85" s="141">
        <f t="shared" si="61"/>
        <v>103.42259992924021</v>
      </c>
      <c r="T85" s="141">
        <f t="shared" si="61"/>
        <v>103.43334207160142</v>
      </c>
      <c r="U85" s="141">
        <f t="shared" si="61"/>
        <v>103.41559831796152</v>
      </c>
      <c r="V85" s="141">
        <f t="shared" si="61"/>
        <v>103.39328772983841</v>
      </c>
      <c r="W85" s="141">
        <f t="shared" si="61"/>
        <v>103.39813383406374</v>
      </c>
      <c r="X85" s="141">
        <f t="shared" si="61"/>
        <v>103.41259237654106</v>
      </c>
      <c r="Y85" s="141">
        <f t="shared" si="61"/>
        <v>103.41059086600121</v>
      </c>
      <c r="Z85" s="141">
        <f t="shared" si="61"/>
        <v>103.40604062488119</v>
      </c>
      <c r="AA85" s="141">
        <f t="shared" si="61"/>
        <v>103.4041290862651</v>
      </c>
      <c r="AB85" s="141">
        <f t="shared" si="61"/>
        <v>103.40629735755047</v>
      </c>
      <c r="AC85" s="141">
        <f t="shared" si="61"/>
        <v>103.4079300622478</v>
      </c>
      <c r="AD85" s="141">
        <f t="shared" si="61"/>
        <v>103.40699759938916</v>
      </c>
      <c r="AE85" s="141">
        <f t="shared" si="61"/>
        <v>103.40627894606673</v>
      </c>
      <c r="AF85" s="141">
        <f t="shared" si="61"/>
        <v>103.40632661030386</v>
      </c>
      <c r="AG85" s="141">
        <f t="shared" si="61"/>
        <v>103.40676611511159</v>
      </c>
      <c r="AH85" s="141">
        <f t="shared" si="61"/>
        <v>103.40685986662383</v>
      </c>
    </row>
    <row r="86" spans="1:34" x14ac:dyDescent="0.2">
      <c r="A86" s="130" t="s">
        <v>90</v>
      </c>
      <c r="B86" s="148">
        <f>monthly_data!$N41*264.172/1000000</f>
        <v>144.502084</v>
      </c>
      <c r="C86" s="148">
        <f>monthly_data!$N53*264.172/1000000</f>
        <v>128.22697542400002</v>
      </c>
      <c r="D86" s="148">
        <f>monthly_data!$N65*264.172/1000000</f>
        <v>102.74996357200001</v>
      </c>
      <c r="E86" s="148">
        <f>monthly_data!$N77*264.172/1000000</f>
        <v>103.19826345600002</v>
      </c>
      <c r="F86" s="148">
        <f>monthly_data!$N89*264.172/1000000</f>
        <v>110.39589376800001</v>
      </c>
      <c r="G86" s="148">
        <f>monthly_data!$N101*264.172/1000000</f>
        <v>106.690617296</v>
      </c>
      <c r="H86" s="148">
        <f>monthly_data!$N113*264.172/1000000</f>
        <v>103.38371220000001</v>
      </c>
      <c r="I86" s="141">
        <f t="shared" si="61"/>
        <v>105.2836900584</v>
      </c>
      <c r="J86" s="141">
        <f t="shared" si="61"/>
        <v>105.79043535568</v>
      </c>
      <c r="K86" s="141">
        <f t="shared" si="61"/>
        <v>106.30886973561601</v>
      </c>
      <c r="L86" s="141">
        <f t="shared" si="61"/>
        <v>105.49146492913921</v>
      </c>
      <c r="M86" s="141">
        <f t="shared" si="61"/>
        <v>105.25163445576705</v>
      </c>
      <c r="N86" s="141">
        <f t="shared" si="61"/>
        <v>105.62521890692047</v>
      </c>
      <c r="O86" s="141">
        <f t="shared" si="61"/>
        <v>105.69352467662455</v>
      </c>
      <c r="P86" s="141">
        <f t="shared" si="61"/>
        <v>105.67414254081345</v>
      </c>
      <c r="Q86" s="141">
        <f t="shared" si="61"/>
        <v>105.54719710185296</v>
      </c>
      <c r="R86" s="141">
        <f t="shared" si="61"/>
        <v>105.55834353639568</v>
      </c>
      <c r="S86" s="141">
        <f t="shared" si="61"/>
        <v>105.61968535252143</v>
      </c>
      <c r="T86" s="141">
        <f t="shared" si="61"/>
        <v>105.61857864164161</v>
      </c>
      <c r="U86" s="141">
        <f t="shared" si="61"/>
        <v>105.60358943464503</v>
      </c>
      <c r="V86" s="141">
        <f t="shared" si="61"/>
        <v>105.58947881341135</v>
      </c>
      <c r="W86" s="141">
        <f t="shared" si="61"/>
        <v>105.59793515572301</v>
      </c>
      <c r="X86" s="141">
        <f t="shared" si="61"/>
        <v>105.60585347958849</v>
      </c>
      <c r="Y86" s="141">
        <f t="shared" si="61"/>
        <v>105.60308710500189</v>
      </c>
      <c r="Z86" s="141">
        <f t="shared" si="61"/>
        <v>105.59998879767394</v>
      </c>
      <c r="AA86" s="141">
        <f t="shared" si="61"/>
        <v>105.59926867027976</v>
      </c>
      <c r="AB86" s="141">
        <f t="shared" si="61"/>
        <v>105.60122664165343</v>
      </c>
      <c r="AC86" s="141">
        <f t="shared" si="61"/>
        <v>105.6018849388395</v>
      </c>
      <c r="AD86" s="141">
        <f t="shared" si="61"/>
        <v>105.60109123068969</v>
      </c>
      <c r="AE86" s="141">
        <f t="shared" si="61"/>
        <v>105.60069205582727</v>
      </c>
      <c r="AF86" s="141">
        <f t="shared" si="61"/>
        <v>105.60083270745793</v>
      </c>
      <c r="AG86" s="141">
        <f t="shared" si="61"/>
        <v>105.60114551489355</v>
      </c>
      <c r="AH86" s="141">
        <f t="shared" si="61"/>
        <v>105.60112928954159</v>
      </c>
    </row>
    <row r="87" spans="1:34" x14ac:dyDescent="0.2">
      <c r="A87" s="130" t="s">
        <v>91</v>
      </c>
      <c r="B87" s="148">
        <f>monthly_data!$N42*264.172/1000000</f>
        <v>143.70956799999999</v>
      </c>
      <c r="C87" s="148">
        <f>monthly_data!$N54*264.172/1000000</f>
        <v>138.11466921200002</v>
      </c>
      <c r="D87" s="148">
        <f>monthly_data!$N66*264.172/1000000</f>
        <v>106.018299556</v>
      </c>
      <c r="E87" s="148">
        <f>monthly_data!$N78*264.172/1000000</f>
        <v>102.55685384</v>
      </c>
      <c r="F87" s="148">
        <f>monthly_data!$N90*264.172/1000000</f>
        <v>90.279988484000015</v>
      </c>
      <c r="G87" s="148">
        <f>monthly_data!$N102*264.172/1000000</f>
        <v>105.82386896400001</v>
      </c>
      <c r="H87" s="148">
        <f>monthly_data!$N114*264.172/1000000</f>
        <v>106.52022635600001</v>
      </c>
      <c r="I87" s="141">
        <f t="shared" si="61"/>
        <v>102.23984744000001</v>
      </c>
      <c r="J87" s="141">
        <f t="shared" si="61"/>
        <v>101.48415701680001</v>
      </c>
      <c r="K87" s="141">
        <f t="shared" si="61"/>
        <v>101.26961765216001</v>
      </c>
      <c r="L87" s="141">
        <f t="shared" si="61"/>
        <v>103.46754348579199</v>
      </c>
      <c r="M87" s="141">
        <f t="shared" si="61"/>
        <v>102.99627839015041</v>
      </c>
      <c r="N87" s="141">
        <f t="shared" si="61"/>
        <v>102.29148879698049</v>
      </c>
      <c r="O87" s="141">
        <f t="shared" si="61"/>
        <v>102.30181706837658</v>
      </c>
      <c r="P87" s="141">
        <f t="shared" si="61"/>
        <v>102.4653490786919</v>
      </c>
      <c r="Q87" s="141">
        <f t="shared" si="61"/>
        <v>102.70449536399829</v>
      </c>
      <c r="R87" s="141">
        <f t="shared" si="61"/>
        <v>102.55188573963953</v>
      </c>
      <c r="S87" s="141">
        <f t="shared" si="61"/>
        <v>102.46300720953734</v>
      </c>
      <c r="T87" s="141">
        <f t="shared" si="61"/>
        <v>102.49731089204872</v>
      </c>
      <c r="U87" s="141">
        <f t="shared" si="61"/>
        <v>102.53640965678316</v>
      </c>
      <c r="V87" s="141">
        <f t="shared" si="61"/>
        <v>102.5506217724014</v>
      </c>
      <c r="W87" s="141">
        <f t="shared" si="61"/>
        <v>102.51984705408204</v>
      </c>
      <c r="X87" s="141">
        <f t="shared" si="61"/>
        <v>102.51343931697052</v>
      </c>
      <c r="Y87" s="141">
        <f t="shared" si="61"/>
        <v>102.52352573845717</v>
      </c>
      <c r="Z87" s="141">
        <f t="shared" si="61"/>
        <v>102.52876870773885</v>
      </c>
      <c r="AA87" s="141">
        <f t="shared" si="61"/>
        <v>102.52724051793</v>
      </c>
      <c r="AB87" s="141">
        <f t="shared" si="61"/>
        <v>102.5225642670357</v>
      </c>
      <c r="AC87" s="141">
        <f t="shared" si="61"/>
        <v>102.52310770962644</v>
      </c>
      <c r="AD87" s="141">
        <f t="shared" si="61"/>
        <v>102.52504138815763</v>
      </c>
      <c r="AE87" s="141">
        <f t="shared" si="61"/>
        <v>102.52534451809773</v>
      </c>
      <c r="AF87" s="141">
        <f t="shared" si="61"/>
        <v>102.52465968016952</v>
      </c>
      <c r="AG87" s="141">
        <f t="shared" si="61"/>
        <v>102.52414351261741</v>
      </c>
      <c r="AH87" s="141">
        <f t="shared" si="61"/>
        <v>102.52445936173373</v>
      </c>
    </row>
    <row r="88" spans="1:34" x14ac:dyDescent="0.2">
      <c r="A88" s="130" t="s">
        <v>92</v>
      </c>
      <c r="B88" s="148">
        <f>monthly_data!$N43*264.172/1000000</f>
        <v>172.24014400000004</v>
      </c>
      <c r="C88" s="148">
        <f>monthly_data!$N55*264.172/1000000</f>
        <v>136.67017671600001</v>
      </c>
      <c r="D88" s="148">
        <f>monthly_data!$N67*264.172/1000000</f>
        <v>114.44485801200001</v>
      </c>
      <c r="E88" s="148">
        <f>monthly_data!$N79*264.172/1000000</f>
        <v>97.897916448000018</v>
      </c>
      <c r="F88" s="148">
        <f>monthly_data!$N91*264.172/1000000</f>
        <v>87.934141124000007</v>
      </c>
      <c r="G88" s="148">
        <f>monthly_data!$N103*264.172/1000000</f>
        <v>110.29154582800001</v>
      </c>
      <c r="H88" s="148">
        <f>monthly_data!$N115*264.172/1000000</f>
        <v>110.779999856</v>
      </c>
      <c r="I88" s="141">
        <f t="shared" si="61"/>
        <v>104.26969225360001</v>
      </c>
      <c r="J88" s="141">
        <f t="shared" si="61"/>
        <v>102.23465910192002</v>
      </c>
      <c r="K88" s="141">
        <f t="shared" si="61"/>
        <v>103.102007632704</v>
      </c>
      <c r="L88" s="141">
        <f t="shared" si="61"/>
        <v>106.1355809344448</v>
      </c>
      <c r="M88" s="141">
        <f t="shared" si="61"/>
        <v>105.30438795573377</v>
      </c>
      <c r="N88" s="141">
        <f t="shared" si="61"/>
        <v>104.20926557568052</v>
      </c>
      <c r="O88" s="141">
        <f t="shared" si="61"/>
        <v>104.19718024009663</v>
      </c>
      <c r="P88" s="141">
        <f t="shared" si="61"/>
        <v>104.58968446773194</v>
      </c>
      <c r="Q88" s="141">
        <f t="shared" si="61"/>
        <v>104.88721983473752</v>
      </c>
      <c r="R88" s="141">
        <f t="shared" si="61"/>
        <v>104.63754761479609</v>
      </c>
      <c r="S88" s="141">
        <f t="shared" si="61"/>
        <v>104.50417954660854</v>
      </c>
      <c r="T88" s="141">
        <f t="shared" si="61"/>
        <v>104.56316234079414</v>
      </c>
      <c r="U88" s="141">
        <f t="shared" si="61"/>
        <v>104.63635876093365</v>
      </c>
      <c r="V88" s="141">
        <f t="shared" si="61"/>
        <v>104.64569361957399</v>
      </c>
      <c r="W88" s="141">
        <f t="shared" si="61"/>
        <v>104.59738837654126</v>
      </c>
      <c r="X88" s="141">
        <f t="shared" si="61"/>
        <v>104.58935652889031</v>
      </c>
      <c r="Y88" s="141">
        <f t="shared" si="61"/>
        <v>104.60639192534668</v>
      </c>
      <c r="Z88" s="141">
        <f t="shared" si="61"/>
        <v>104.61503784225718</v>
      </c>
      <c r="AA88" s="141">
        <f t="shared" si="61"/>
        <v>104.61077365852188</v>
      </c>
      <c r="AB88" s="141">
        <f t="shared" si="61"/>
        <v>104.60378966631147</v>
      </c>
      <c r="AC88" s="141">
        <f t="shared" si="61"/>
        <v>104.60506992426551</v>
      </c>
      <c r="AD88" s="141">
        <f t="shared" si="61"/>
        <v>104.60821260334053</v>
      </c>
      <c r="AE88" s="141">
        <f t="shared" si="61"/>
        <v>104.60857673893932</v>
      </c>
      <c r="AF88" s="141">
        <f t="shared" si="61"/>
        <v>104.60728451827575</v>
      </c>
      <c r="AG88" s="141">
        <f t="shared" si="61"/>
        <v>104.60658669022651</v>
      </c>
      <c r="AH88" s="141">
        <f t="shared" si="61"/>
        <v>104.60714609500954</v>
      </c>
    </row>
    <row r="89" spans="1:34" x14ac:dyDescent="0.2">
      <c r="A89" s="130" t="s">
        <v>93</v>
      </c>
      <c r="B89" s="148">
        <f>monthly_data!$N44*264.172/1000000</f>
        <v>151.8989</v>
      </c>
      <c r="C89" s="148">
        <f>monthly_data!$N56*264.172/1000000</f>
        <v>138.52624918800004</v>
      </c>
      <c r="D89" s="148">
        <f>monthly_data!$N68*264.172/1000000</f>
        <v>101.84491030000001</v>
      </c>
      <c r="E89" s="148">
        <f>monthly_data!$N80*264.172/1000000</f>
        <v>104.58807234800001</v>
      </c>
      <c r="F89" s="148">
        <f>monthly_data!$N92*264.172/1000000</f>
        <v>93.314268076000005</v>
      </c>
      <c r="G89" s="148">
        <f>monthly_data!$N104*264.172/1000000</f>
        <v>119.019260364</v>
      </c>
      <c r="H89" s="148">
        <f>monthly_data!$N116*264.172/1000000</f>
        <v>89.286437592000013</v>
      </c>
      <c r="I89" s="141">
        <f t="shared" si="61"/>
        <v>101.61058973600001</v>
      </c>
      <c r="J89" s="141">
        <f t="shared" si="61"/>
        <v>101.56372562320001</v>
      </c>
      <c r="K89" s="141">
        <f t="shared" si="61"/>
        <v>100.95885627824001</v>
      </c>
      <c r="L89" s="141">
        <f t="shared" si="61"/>
        <v>102.48777391868801</v>
      </c>
      <c r="M89" s="141">
        <f t="shared" si="61"/>
        <v>99.181476629625621</v>
      </c>
      <c r="N89" s="141">
        <f t="shared" si="61"/>
        <v>101.16048443715071</v>
      </c>
      <c r="O89" s="141">
        <f t="shared" si="61"/>
        <v>101.07046337738088</v>
      </c>
      <c r="P89" s="141">
        <f t="shared" si="61"/>
        <v>100.97181092821705</v>
      </c>
      <c r="Q89" s="141">
        <f t="shared" si="61"/>
        <v>100.97440185821246</v>
      </c>
      <c r="R89" s="141">
        <f t="shared" si="61"/>
        <v>100.67172744611733</v>
      </c>
      <c r="S89" s="141">
        <f t="shared" si="61"/>
        <v>100.96977760941567</v>
      </c>
      <c r="T89" s="141">
        <f t="shared" si="61"/>
        <v>100.93163624386868</v>
      </c>
      <c r="U89" s="141">
        <f t="shared" si="61"/>
        <v>100.90387081716625</v>
      </c>
      <c r="V89" s="141">
        <f t="shared" si="61"/>
        <v>100.89028279495608</v>
      </c>
      <c r="W89" s="141">
        <f t="shared" si="61"/>
        <v>100.87345898230481</v>
      </c>
      <c r="X89" s="141">
        <f t="shared" si="61"/>
        <v>100.9138052895423</v>
      </c>
      <c r="Y89" s="141">
        <f t="shared" si="61"/>
        <v>100.90261082556762</v>
      </c>
      <c r="Z89" s="141">
        <f t="shared" si="61"/>
        <v>100.89680574190743</v>
      </c>
      <c r="AA89" s="141">
        <f t="shared" si="61"/>
        <v>100.89539272685565</v>
      </c>
      <c r="AB89" s="141">
        <f t="shared" si="61"/>
        <v>100.89641471323557</v>
      </c>
      <c r="AC89" s="141">
        <f t="shared" si="61"/>
        <v>100.9010058594217</v>
      </c>
      <c r="AD89" s="141">
        <f t="shared" si="61"/>
        <v>100.89844597339759</v>
      </c>
      <c r="AE89" s="141">
        <f t="shared" si="61"/>
        <v>100.8976130029636</v>
      </c>
      <c r="AF89" s="141">
        <f t="shared" si="61"/>
        <v>100.89777445517481</v>
      </c>
      <c r="AG89" s="141">
        <f t="shared" si="61"/>
        <v>100.89825080083865</v>
      </c>
      <c r="AH89" s="141">
        <f t="shared" si="61"/>
        <v>100.89861801835926</v>
      </c>
    </row>
    <row r="90" spans="1:34" x14ac:dyDescent="0.2">
      <c r="A90" s="130" t="s">
        <v>94</v>
      </c>
      <c r="B90" s="148">
        <f>monthly_data!$N45*264.172/1000000</f>
        <v>147.93631999999999</v>
      </c>
      <c r="C90" s="148">
        <f>monthly_data!$N57*264.172/1000000</f>
        <v>141.60464550400002</v>
      </c>
      <c r="D90" s="148">
        <f>monthly_data!$N69*264.172/1000000</f>
        <v>102.51405797600002</v>
      </c>
      <c r="E90" s="148">
        <f>monthly_data!$N81*264.172/1000000</f>
        <v>115.39217880400001</v>
      </c>
      <c r="F90" s="148">
        <f>monthly_data!$N93*264.172/1000000</f>
        <v>84.98201902400001</v>
      </c>
      <c r="G90" s="148">
        <f>monthly_data!$N105*264.172/1000000</f>
        <v>103.50338211600001</v>
      </c>
      <c r="H90" s="148">
        <f>monthly_data!$N117*264.172/1000000</f>
        <v>105.795074216</v>
      </c>
      <c r="I90" s="141">
        <f t="shared" si="61"/>
        <v>102.43734242720002</v>
      </c>
      <c r="J90" s="141">
        <f t="shared" si="61"/>
        <v>102.42199931744001</v>
      </c>
      <c r="K90" s="141">
        <f t="shared" si="61"/>
        <v>99.827963420128</v>
      </c>
      <c r="L90" s="141">
        <f t="shared" si="61"/>
        <v>102.7971522993536</v>
      </c>
      <c r="M90" s="141">
        <f t="shared" si="61"/>
        <v>102.65590633602433</v>
      </c>
      <c r="N90" s="141">
        <f t="shared" si="61"/>
        <v>102.02807276002919</v>
      </c>
      <c r="O90" s="141">
        <f t="shared" si="61"/>
        <v>101.94621882659501</v>
      </c>
      <c r="P90" s="141">
        <f t="shared" si="61"/>
        <v>101.85106272842602</v>
      </c>
      <c r="Q90" s="141">
        <f t="shared" si="61"/>
        <v>102.25568259008563</v>
      </c>
      <c r="R90" s="141">
        <f t="shared" si="61"/>
        <v>102.14738864823205</v>
      </c>
      <c r="S90" s="141">
        <f t="shared" si="61"/>
        <v>102.04568511067359</v>
      </c>
      <c r="T90" s="141">
        <f t="shared" si="61"/>
        <v>102.04920758080246</v>
      </c>
      <c r="U90" s="141">
        <f t="shared" si="61"/>
        <v>102.06980533164395</v>
      </c>
      <c r="V90" s="141">
        <f t="shared" si="61"/>
        <v>102.11355385228754</v>
      </c>
      <c r="W90" s="141">
        <f t="shared" si="61"/>
        <v>102.08512810472791</v>
      </c>
      <c r="X90" s="141">
        <f t="shared" si="61"/>
        <v>102.07267599602707</v>
      </c>
      <c r="Y90" s="141">
        <f t="shared" si="61"/>
        <v>102.0780741730978</v>
      </c>
      <c r="Z90" s="141">
        <f t="shared" si="61"/>
        <v>102.08384749155684</v>
      </c>
      <c r="AA90" s="141">
        <f t="shared" si="61"/>
        <v>102.08665592353944</v>
      </c>
      <c r="AB90" s="141">
        <f t="shared" si="61"/>
        <v>102.08127633778982</v>
      </c>
      <c r="AC90" s="141">
        <f t="shared" si="61"/>
        <v>102.08050598440219</v>
      </c>
      <c r="AD90" s="141">
        <f t="shared" si="61"/>
        <v>102.08207198207721</v>
      </c>
      <c r="AE90" s="141">
        <f t="shared" si="61"/>
        <v>102.0828715438731</v>
      </c>
      <c r="AF90" s="141">
        <f t="shared" si="61"/>
        <v>102.08267635433636</v>
      </c>
      <c r="AG90" s="141">
        <f t="shared" si="61"/>
        <v>102.08188044049574</v>
      </c>
      <c r="AH90" s="141">
        <f t="shared" si="61"/>
        <v>102.08200126103692</v>
      </c>
    </row>
    <row r="91" spans="1:34" x14ac:dyDescent="0.2">
      <c r="A91" s="130" t="s">
        <v>95</v>
      </c>
      <c r="B91" s="148">
        <f>monthly_data!$N46*264.172/1000000</f>
        <v>163.78664000000003</v>
      </c>
      <c r="C91" s="148">
        <f>monthly_data!$N58*264.172/1000000</f>
        <v>135.59076992400003</v>
      </c>
      <c r="D91" s="148">
        <f>monthly_data!$N70*264.172/1000000</f>
        <v>105.56286702800001</v>
      </c>
      <c r="E91" s="148">
        <f>monthly_data!$N82*264.172/1000000</f>
        <v>109.598622672</v>
      </c>
      <c r="F91" s="148">
        <f>monthly_data!$N94*264.172/1000000</f>
        <v>88.255374276000012</v>
      </c>
      <c r="G91" s="148">
        <f>monthly_data!$N106*264.172/1000000</f>
        <v>110.070962208</v>
      </c>
      <c r="H91" s="148">
        <f>monthly_data!$N118*264.172/1000000</f>
        <v>124.36636581600001</v>
      </c>
      <c r="I91" s="141">
        <f t="shared" si="61"/>
        <v>107.5708384</v>
      </c>
      <c r="J91" s="141">
        <f t="shared" si="61"/>
        <v>107.97243267439998</v>
      </c>
      <c r="K91" s="141">
        <f t="shared" si="61"/>
        <v>107.64719467488001</v>
      </c>
      <c r="L91" s="141">
        <f t="shared" si="61"/>
        <v>111.525558754656</v>
      </c>
      <c r="M91" s="141">
        <f t="shared" si="61"/>
        <v>111.81647806398719</v>
      </c>
      <c r="N91" s="141">
        <f t="shared" si="61"/>
        <v>109.30650051358464</v>
      </c>
      <c r="O91" s="141">
        <f t="shared" si="61"/>
        <v>109.65363293630158</v>
      </c>
      <c r="P91" s="141">
        <f t="shared" si="61"/>
        <v>109.9898729886819</v>
      </c>
      <c r="Q91" s="141">
        <f t="shared" si="61"/>
        <v>110.45840865144226</v>
      </c>
      <c r="R91" s="141">
        <f t="shared" si="61"/>
        <v>110.24497863079951</v>
      </c>
      <c r="S91" s="141">
        <f t="shared" si="61"/>
        <v>109.93067874416197</v>
      </c>
      <c r="T91" s="141">
        <f t="shared" si="61"/>
        <v>110.05551439027742</v>
      </c>
      <c r="U91" s="141">
        <f t="shared" si="61"/>
        <v>110.1358906810726</v>
      </c>
      <c r="V91" s="141">
        <f t="shared" si="61"/>
        <v>110.16509421955075</v>
      </c>
      <c r="W91" s="141">
        <f t="shared" si="61"/>
        <v>110.10643133317244</v>
      </c>
      <c r="X91" s="141">
        <f t="shared" si="61"/>
        <v>110.07872187364703</v>
      </c>
      <c r="Y91" s="141">
        <f t="shared" si="61"/>
        <v>110.10833049954404</v>
      </c>
      <c r="Z91" s="141">
        <f t="shared" si="61"/>
        <v>110.11889372139737</v>
      </c>
      <c r="AA91" s="141">
        <f t="shared" si="61"/>
        <v>110.11549432946231</v>
      </c>
      <c r="AB91" s="141">
        <f t="shared" si="61"/>
        <v>110.10557435144463</v>
      </c>
      <c r="AC91" s="141">
        <f t="shared" si="61"/>
        <v>110.10540295509907</v>
      </c>
      <c r="AD91" s="141">
        <f t="shared" si="61"/>
        <v>110.1107391713895</v>
      </c>
      <c r="AE91" s="141">
        <f t="shared" si="61"/>
        <v>110.11122090575857</v>
      </c>
      <c r="AF91" s="141">
        <f t="shared" si="61"/>
        <v>110.10968634263081</v>
      </c>
      <c r="AG91" s="141">
        <f t="shared" si="61"/>
        <v>110.1085247452645</v>
      </c>
      <c r="AH91" s="141">
        <f t="shared" si="61"/>
        <v>110.10911482402848</v>
      </c>
    </row>
    <row r="92" spans="1:34" x14ac:dyDescent="0.2">
      <c r="A92" s="130" t="s">
        <v>96</v>
      </c>
      <c r="B92" s="148">
        <f>monthly_data!$N47*264.172/1000000</f>
        <v>173.29683200000002</v>
      </c>
      <c r="C92" s="148">
        <f>monthly_data!$N59*264.172/1000000</f>
        <v>147.86314435599999</v>
      </c>
      <c r="D92" s="148">
        <f>monthly_data!$N71*264.172/1000000</f>
        <v>104.60947028000001</v>
      </c>
      <c r="E92" s="148">
        <f>monthly_data!$N83*264.172/1000000</f>
        <v>112.59776738800001</v>
      </c>
      <c r="F92" s="148">
        <f>monthly_data!$N95*264.172/1000000</f>
        <v>85.203923504000002</v>
      </c>
      <c r="G92" s="148">
        <f>monthly_data!$N107*264.172/1000000</f>
        <v>121.810501716</v>
      </c>
      <c r="H92" s="148">
        <f>monthly_data!$N119*264.172/1000000</f>
        <v>120.28939934000002</v>
      </c>
      <c r="I92" s="141">
        <f t="shared" si="61"/>
        <v>108.9022124456</v>
      </c>
      <c r="J92" s="141">
        <f t="shared" si="61"/>
        <v>109.76076087871999</v>
      </c>
      <c r="K92" s="141">
        <f t="shared" si="61"/>
        <v>109.19335957686401</v>
      </c>
      <c r="L92" s="141">
        <f t="shared" si="61"/>
        <v>113.99124679143681</v>
      </c>
      <c r="M92" s="141">
        <f t="shared" si="61"/>
        <v>112.42739580652417</v>
      </c>
      <c r="N92" s="141">
        <f t="shared" si="61"/>
        <v>110.85499509982898</v>
      </c>
      <c r="O92" s="141">
        <f t="shared" si="61"/>
        <v>111.2455516306748</v>
      </c>
      <c r="P92" s="141">
        <f t="shared" si="61"/>
        <v>111.54250978106575</v>
      </c>
      <c r="Q92" s="141">
        <f t="shared" si="61"/>
        <v>112.01233982190611</v>
      </c>
      <c r="R92" s="141">
        <f t="shared" si="61"/>
        <v>111.61655842799996</v>
      </c>
      <c r="S92" s="141">
        <f t="shared" si="61"/>
        <v>111.45439095229513</v>
      </c>
      <c r="T92" s="141">
        <f t="shared" si="61"/>
        <v>111.57427012278836</v>
      </c>
      <c r="U92" s="141">
        <f t="shared" si="61"/>
        <v>111.64001382121106</v>
      </c>
      <c r="V92" s="141">
        <f t="shared" si="61"/>
        <v>111.65951462924011</v>
      </c>
      <c r="W92" s="141">
        <f t="shared" si="61"/>
        <v>111.58894959070692</v>
      </c>
      <c r="X92" s="141">
        <f t="shared" si="61"/>
        <v>111.5834278232483</v>
      </c>
      <c r="Y92" s="141">
        <f t="shared" si="61"/>
        <v>111.60923519743895</v>
      </c>
      <c r="Z92" s="141">
        <f t="shared" si="61"/>
        <v>111.61622821236907</v>
      </c>
      <c r="AA92" s="141">
        <f t="shared" si="61"/>
        <v>111.61147109060066</v>
      </c>
      <c r="AB92" s="141">
        <f t="shared" si="61"/>
        <v>111.60186238287277</v>
      </c>
      <c r="AC92" s="141">
        <f t="shared" si="61"/>
        <v>111.60444494130596</v>
      </c>
      <c r="AD92" s="141">
        <f t="shared" si="61"/>
        <v>111.60864836491749</v>
      </c>
      <c r="AE92" s="141">
        <f t="shared" si="61"/>
        <v>111.60853099841317</v>
      </c>
      <c r="AF92" s="141">
        <f t="shared" si="61"/>
        <v>111.60699155562199</v>
      </c>
      <c r="AG92" s="141">
        <f t="shared" si="61"/>
        <v>111.60609564862628</v>
      </c>
      <c r="AH92" s="141">
        <f t="shared" si="61"/>
        <v>111.60694230177697</v>
      </c>
    </row>
    <row r="93" spans="1:34" x14ac:dyDescent="0.2">
      <c r="A93" s="130" t="s">
        <v>97</v>
      </c>
      <c r="B93" s="148">
        <f>monthly_data!$N48*264.172/1000000</f>
        <v>150.57803999999999</v>
      </c>
      <c r="C93" s="148">
        <f>monthly_data!$N60*264.172/1000000</f>
        <v>124.29583189200001</v>
      </c>
      <c r="D93" s="148">
        <f>monthly_data!$N72*264.172/1000000</f>
        <v>108.842034064</v>
      </c>
      <c r="E93" s="148">
        <f>monthly_data!$N84*264.172/1000000</f>
        <v>103.63890235200002</v>
      </c>
      <c r="F93" s="148">
        <f>monthly_data!$N96*264.172/1000000</f>
        <v>93.37449929200001</v>
      </c>
      <c r="G93" s="148">
        <f>monthly_data!$N108*264.172/1000000</f>
        <v>113.04474641200001</v>
      </c>
      <c r="H93" s="148">
        <f>monthly_data!$N120*264.172/1000000</f>
        <v>100.55707180000002</v>
      </c>
      <c r="I93" s="141">
        <f t="shared" si="61"/>
        <v>103.89145078400001</v>
      </c>
      <c r="J93" s="141">
        <f t="shared" si="61"/>
        <v>102.901334128</v>
      </c>
      <c r="K93" s="141">
        <f t="shared" si="61"/>
        <v>102.7538204832</v>
      </c>
      <c r="L93" s="141">
        <f t="shared" si="61"/>
        <v>104.62968472144</v>
      </c>
      <c r="M93" s="141">
        <f t="shared" si="61"/>
        <v>102.94667238332799</v>
      </c>
      <c r="N93" s="141">
        <f t="shared" si="61"/>
        <v>103.42459249999361</v>
      </c>
      <c r="O93" s="141">
        <f t="shared" si="61"/>
        <v>103.33122084319231</v>
      </c>
      <c r="P93" s="141">
        <f t="shared" si="61"/>
        <v>103.41719818623078</v>
      </c>
      <c r="Q93" s="141">
        <f t="shared" si="61"/>
        <v>103.54987372683692</v>
      </c>
      <c r="R93" s="141">
        <f t="shared" si="61"/>
        <v>103.33391152791633</v>
      </c>
      <c r="S93" s="141">
        <f t="shared" si="61"/>
        <v>103.41135935683401</v>
      </c>
      <c r="T93" s="141">
        <f t="shared" si="61"/>
        <v>103.40871272820206</v>
      </c>
      <c r="U93" s="141">
        <f t="shared" si="61"/>
        <v>103.42421110520402</v>
      </c>
      <c r="V93" s="141">
        <f t="shared" si="61"/>
        <v>103.42561368899867</v>
      </c>
      <c r="W93" s="141">
        <f t="shared" si="61"/>
        <v>103.40076168143101</v>
      </c>
      <c r="X93" s="141">
        <f t="shared" si="61"/>
        <v>103.41413171213397</v>
      </c>
      <c r="Y93" s="141">
        <f t="shared" si="61"/>
        <v>103.41468618319395</v>
      </c>
      <c r="Z93" s="141">
        <f t="shared" si="61"/>
        <v>103.41588087419231</v>
      </c>
      <c r="AA93" s="141">
        <f t="shared" si="61"/>
        <v>103.41421482798998</v>
      </c>
      <c r="AB93" s="141">
        <f t="shared" si="61"/>
        <v>103.41193505578823</v>
      </c>
      <c r="AC93" s="141">
        <f t="shared" si="61"/>
        <v>103.41416973065971</v>
      </c>
      <c r="AD93" s="141">
        <f t="shared" si="61"/>
        <v>103.41417733436485</v>
      </c>
      <c r="AE93" s="141">
        <f t="shared" si="61"/>
        <v>103.41407556459902</v>
      </c>
      <c r="AF93" s="141">
        <f t="shared" si="61"/>
        <v>103.41371450268036</v>
      </c>
      <c r="AG93" s="141">
        <f t="shared" si="61"/>
        <v>103.41361443761843</v>
      </c>
      <c r="AH93" s="141">
        <f t="shared" si="61"/>
        <v>103.41395031398447</v>
      </c>
    </row>
    <row r="94" spans="1:34" x14ac:dyDescent="0.2">
      <c r="A94" s="130" t="s">
        <v>98</v>
      </c>
      <c r="B94" s="148">
        <f>monthly_data!$N49*264.172/1000000</f>
        <v>155.33313600000002</v>
      </c>
      <c r="C94" s="148">
        <f>monthly_data!$N61*264.172/1000000</f>
        <v>113.27563274000001</v>
      </c>
      <c r="D94" s="148">
        <f>monthly_data!$N73*264.172/1000000</f>
        <v>94.593124728000021</v>
      </c>
      <c r="E94" s="148">
        <f>monthly_data!$N85*264.172/1000000</f>
        <v>93.954885176000019</v>
      </c>
      <c r="F94" s="148">
        <f>monthly_data!$N97*264.172/1000000</f>
        <v>93.014697028000015</v>
      </c>
      <c r="G94" s="148">
        <f>monthly_data!$N109*264.172/1000000</f>
        <v>112.41046944000001</v>
      </c>
      <c r="H94" s="148">
        <f>monthly_data!$N121*264.172/1000000</f>
        <v>119.15002550400001</v>
      </c>
      <c r="I94" s="141">
        <f t="shared" si="61"/>
        <v>102.62464037520002</v>
      </c>
      <c r="J94" s="141">
        <f t="shared" si="61"/>
        <v>104.23094350464001</v>
      </c>
      <c r="K94" s="141">
        <f t="shared" si="61"/>
        <v>106.286155170368</v>
      </c>
      <c r="L94" s="141">
        <f t="shared" si="61"/>
        <v>108.94044679884162</v>
      </c>
      <c r="M94" s="141">
        <f t="shared" si="61"/>
        <v>108.24644227060995</v>
      </c>
      <c r="N94" s="141">
        <f t="shared" si="61"/>
        <v>106.06572562393191</v>
      </c>
      <c r="O94" s="141">
        <f t="shared" si="61"/>
        <v>106.75394267367831</v>
      </c>
      <c r="P94" s="141">
        <f t="shared" si="61"/>
        <v>107.25854250748598</v>
      </c>
      <c r="Q94" s="141">
        <f t="shared" si="61"/>
        <v>107.45301997490955</v>
      </c>
      <c r="R94" s="141">
        <f t="shared" si="61"/>
        <v>107.15553461012314</v>
      </c>
      <c r="S94" s="141">
        <f t="shared" si="61"/>
        <v>106.93735307802578</v>
      </c>
      <c r="T94" s="141">
        <f t="shared" si="61"/>
        <v>107.11167856884455</v>
      </c>
      <c r="U94" s="141">
        <f t="shared" si="61"/>
        <v>107.1832257478778</v>
      </c>
      <c r="V94" s="141">
        <f t="shared" si="61"/>
        <v>107.16816239595616</v>
      </c>
      <c r="W94" s="141">
        <f t="shared" si="61"/>
        <v>107.11119088016548</v>
      </c>
      <c r="X94" s="141">
        <f t="shared" si="61"/>
        <v>107.10232213417396</v>
      </c>
      <c r="Y94" s="141">
        <f t="shared" si="61"/>
        <v>107.13531594540359</v>
      </c>
      <c r="Z94" s="141">
        <f t="shared" si="61"/>
        <v>107.14004342071539</v>
      </c>
      <c r="AA94" s="141">
        <f t="shared" si="61"/>
        <v>107.13140695528291</v>
      </c>
      <c r="AB94" s="141">
        <f t="shared" si="61"/>
        <v>107.12405586714829</v>
      </c>
      <c r="AC94" s="141">
        <f t="shared" si="61"/>
        <v>107.12662886454481</v>
      </c>
      <c r="AD94" s="141">
        <f t="shared" ref="AD94:AH105" si="62">AVERAGE(Y94:AC94)</f>
        <v>107.13149021061899</v>
      </c>
      <c r="AE94" s="141">
        <f t="shared" si="62"/>
        <v>107.13072506366207</v>
      </c>
      <c r="AF94" s="141">
        <f t="shared" si="62"/>
        <v>107.12886139225141</v>
      </c>
      <c r="AG94" s="141">
        <f t="shared" si="62"/>
        <v>107.1283522796451</v>
      </c>
      <c r="AH94" s="141">
        <f t="shared" si="62"/>
        <v>107.12921156214448</v>
      </c>
    </row>
    <row r="95" spans="1:34" x14ac:dyDescent="0.2">
      <c r="A95" s="130" t="s">
        <v>99</v>
      </c>
      <c r="B95" s="148">
        <f>monthly_data!$N50*264.172/1000000</f>
        <v>165.63584400000002</v>
      </c>
      <c r="C95" s="148">
        <f>monthly_data!$N62*264.172/1000000</f>
        <v>106.51943384</v>
      </c>
      <c r="D95" s="148">
        <f>monthly_data!$N74*264.172/1000000</f>
        <v>99.980120152000012</v>
      </c>
      <c r="E95" s="148">
        <f>monthly_data!$N86*264.172/1000000</f>
        <v>110.42812275200001</v>
      </c>
      <c r="F95" s="148">
        <f>monthly_data!$N98*264.172/1000000</f>
        <v>101.908047408</v>
      </c>
      <c r="G95" s="148">
        <f>monthly_data!$N110*264.172/1000000</f>
        <v>113.73370698800001</v>
      </c>
      <c r="H95" s="148">
        <f>monthly_data!$N122*264.172/1000000</f>
        <v>108.68194583200001</v>
      </c>
      <c r="I95" s="141">
        <f t="shared" ref="I95:X105" si="63">AVERAGE(D95:H95)</f>
        <v>106.94638862640002</v>
      </c>
      <c r="J95" s="141">
        <f t="shared" si="63"/>
        <v>108.33964232128001</v>
      </c>
      <c r="K95" s="141">
        <f t="shared" si="63"/>
        <v>107.92194623513601</v>
      </c>
      <c r="L95" s="141">
        <f t="shared" si="63"/>
        <v>109.12472600056321</v>
      </c>
      <c r="M95" s="141">
        <f t="shared" si="63"/>
        <v>108.20292980307586</v>
      </c>
      <c r="N95" s="141">
        <f t="shared" si="63"/>
        <v>108.10712659729104</v>
      </c>
      <c r="O95" s="141">
        <f t="shared" si="63"/>
        <v>108.33927419146923</v>
      </c>
      <c r="P95" s="141">
        <f t="shared" si="63"/>
        <v>108.33920056550707</v>
      </c>
      <c r="Q95" s="141">
        <f t="shared" si="63"/>
        <v>108.42265143158129</v>
      </c>
      <c r="R95" s="141">
        <f t="shared" si="63"/>
        <v>108.2822365177849</v>
      </c>
      <c r="S95" s="141">
        <f t="shared" si="63"/>
        <v>108.2980978607267</v>
      </c>
      <c r="T95" s="141">
        <f t="shared" si="63"/>
        <v>108.33629211341383</v>
      </c>
      <c r="U95" s="141">
        <f t="shared" si="63"/>
        <v>108.33569569780275</v>
      </c>
      <c r="V95" s="141">
        <f t="shared" si="63"/>
        <v>108.3349947242619</v>
      </c>
      <c r="W95" s="141">
        <f t="shared" si="63"/>
        <v>108.31746338279802</v>
      </c>
      <c r="X95" s="141">
        <f t="shared" si="63"/>
        <v>108.32450875580064</v>
      </c>
      <c r="Y95" s="141">
        <f t="shared" ref="Y95:AC106" si="64">AVERAGE(T95:X95)</f>
        <v>108.32979093481542</v>
      </c>
      <c r="Z95" s="141">
        <f t="shared" si="64"/>
        <v>108.32849069909575</v>
      </c>
      <c r="AA95" s="141">
        <f t="shared" si="64"/>
        <v>108.32704969935435</v>
      </c>
      <c r="AB95" s="141">
        <f t="shared" si="64"/>
        <v>108.32546069437285</v>
      </c>
      <c r="AC95" s="141">
        <f t="shared" si="64"/>
        <v>108.32706015668779</v>
      </c>
      <c r="AD95" s="141">
        <f t="shared" si="62"/>
        <v>108.32757043686524</v>
      </c>
      <c r="AE95" s="141">
        <f t="shared" si="62"/>
        <v>108.32712633727519</v>
      </c>
      <c r="AF95" s="141">
        <f t="shared" si="62"/>
        <v>108.3268534649111</v>
      </c>
      <c r="AG95" s="141">
        <f t="shared" si="62"/>
        <v>108.32681421802245</v>
      </c>
      <c r="AH95" s="141">
        <f t="shared" si="62"/>
        <v>108.32708492275235</v>
      </c>
    </row>
    <row r="96" spans="1:34" ht="12" thickBot="1" x14ac:dyDescent="0.25">
      <c r="A96" s="130" t="s">
        <v>100</v>
      </c>
      <c r="B96" s="148">
        <f>monthly_data!$N51*264.172/1000000</f>
        <v>150.04969600000001</v>
      </c>
      <c r="C96" s="148">
        <f>monthly_data!$N63*264.172/1000000</f>
        <v>116.10702823600002</v>
      </c>
      <c r="D96" s="148">
        <f>monthly_data!$N75*264.172/1000000</f>
        <v>102.33098678000002</v>
      </c>
      <c r="E96" s="148">
        <f>monthly_data!$N87*264.172/1000000</f>
        <v>102.70082758000001</v>
      </c>
      <c r="F96" s="148">
        <f>monthly_data!$N99*264.172/1000000</f>
        <v>93.123007548000004</v>
      </c>
      <c r="G96" s="148">
        <f>monthly_data!$N111*264.172/1000000</f>
        <v>105.655063056</v>
      </c>
      <c r="H96" s="141">
        <f>monthly_data!$N123*264.172/1000000</f>
        <v>101.67293432800001</v>
      </c>
      <c r="I96" s="141">
        <f t="shared" si="63"/>
        <v>101.0965638584</v>
      </c>
      <c r="J96" s="141">
        <f t="shared" si="63"/>
        <v>100.84967927407999</v>
      </c>
      <c r="K96" s="141">
        <f t="shared" si="63"/>
        <v>100.47944961289599</v>
      </c>
      <c r="L96" s="141">
        <f t="shared" si="63"/>
        <v>101.95073802587521</v>
      </c>
      <c r="M96" s="141">
        <f t="shared" si="63"/>
        <v>101.20987301985026</v>
      </c>
      <c r="N96" s="141">
        <f t="shared" si="63"/>
        <v>101.11726075822028</v>
      </c>
      <c r="O96" s="141">
        <f t="shared" si="63"/>
        <v>101.12140013818434</v>
      </c>
      <c r="P96" s="141">
        <f t="shared" si="63"/>
        <v>101.17574431100522</v>
      </c>
      <c r="Q96" s="141">
        <f t="shared" si="63"/>
        <v>101.31500325062707</v>
      </c>
      <c r="R96" s="141">
        <f t="shared" si="63"/>
        <v>101.18785629557743</v>
      </c>
      <c r="S96" s="141">
        <f t="shared" si="63"/>
        <v>101.18345295072285</v>
      </c>
      <c r="T96" s="141">
        <f t="shared" si="63"/>
        <v>101.19669138922339</v>
      </c>
      <c r="U96" s="141">
        <f t="shared" si="63"/>
        <v>101.21174963943119</v>
      </c>
      <c r="V96" s="141">
        <f t="shared" si="63"/>
        <v>101.21895070511638</v>
      </c>
      <c r="W96" s="141">
        <f t="shared" si="63"/>
        <v>101.19974019601425</v>
      </c>
      <c r="X96" s="141">
        <f t="shared" si="63"/>
        <v>101.20211697610162</v>
      </c>
      <c r="Y96" s="141">
        <f t="shared" si="64"/>
        <v>101.20584978117738</v>
      </c>
      <c r="Z96" s="141">
        <f t="shared" si="64"/>
        <v>101.20768145956816</v>
      </c>
      <c r="AA96" s="141">
        <f t="shared" si="64"/>
        <v>101.20686782359556</v>
      </c>
      <c r="AB96" s="141">
        <f t="shared" si="64"/>
        <v>101.2044512472914</v>
      </c>
      <c r="AC96" s="141">
        <f t="shared" si="64"/>
        <v>101.20539345754682</v>
      </c>
      <c r="AD96" s="141">
        <f t="shared" si="62"/>
        <v>101.20604875383586</v>
      </c>
      <c r="AE96" s="141">
        <f t="shared" si="62"/>
        <v>101.20608854836755</v>
      </c>
      <c r="AF96" s="141">
        <f t="shared" si="62"/>
        <v>101.20576996612745</v>
      </c>
      <c r="AG96" s="141">
        <f t="shared" si="62"/>
        <v>101.20555039463383</v>
      </c>
      <c r="AH96" s="141">
        <f t="shared" si="62"/>
        <v>101.2057702241023</v>
      </c>
    </row>
    <row r="97" spans="1:34" x14ac:dyDescent="0.2">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c r="AA97" s="142"/>
      <c r="AB97" s="142"/>
      <c r="AC97" s="142"/>
      <c r="AD97" s="142"/>
      <c r="AE97" s="142"/>
      <c r="AF97" s="142"/>
      <c r="AG97" s="142"/>
      <c r="AH97" s="1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2687-D2A6-4B1F-B047-15F2DABC245B}">
  <dimension ref="A1:AK110"/>
  <sheetViews>
    <sheetView zoomScaleNormal="100" workbookViewId="0">
      <pane xSplit="1" ySplit="2" topLeftCell="F3" activePane="bottomRight" state="frozen"/>
      <selection activeCell="B4" sqref="B4"/>
      <selection pane="topRight" activeCell="B4" sqref="B4"/>
      <selection pane="bottomLeft" activeCell="B4" sqref="B4"/>
      <selection pane="bottomRight" activeCell="B4" sqref="B4"/>
    </sheetView>
  </sheetViews>
  <sheetFormatPr defaultColWidth="8.85546875" defaultRowHeight="11.25" x14ac:dyDescent="0.2"/>
  <cols>
    <col min="1" max="1" width="57.85546875" style="53" customWidth="1"/>
    <col min="2" max="3" width="9.7109375" style="80" customWidth="1"/>
    <col min="4" max="4" width="10.7109375" style="80" customWidth="1"/>
    <col min="5" max="6" width="12.140625" style="80" bestFit="1" customWidth="1"/>
    <col min="7" max="9" width="10.28515625" style="80" bestFit="1" customWidth="1"/>
    <col min="10" max="37" width="12.140625" style="103" bestFit="1" customWidth="1"/>
    <col min="38" max="16384" width="8.85546875" style="53"/>
  </cols>
  <sheetData>
    <row r="1" spans="1:37" ht="16.5" customHeight="1" thickBot="1" x14ac:dyDescent="0.25">
      <c r="A1" s="149" t="s">
        <v>150</v>
      </c>
      <c r="B1" s="150">
        <v>3.78541178</v>
      </c>
      <c r="C1" s="107"/>
      <c r="D1" s="107"/>
      <c r="E1" s="107"/>
      <c r="F1" s="107"/>
      <c r="G1" s="107"/>
      <c r="H1" s="107"/>
      <c r="I1" s="107"/>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row>
    <row r="2" spans="1:37" ht="12" thickTop="1" x14ac:dyDescent="0.2">
      <c r="A2" s="151" t="s">
        <v>74</v>
      </c>
      <c r="B2" s="110">
        <v>2015</v>
      </c>
      <c r="C2" s="110">
        <v>2016</v>
      </c>
      <c r="D2" s="110">
        <v>2017</v>
      </c>
      <c r="E2" s="110">
        <v>2018</v>
      </c>
      <c r="F2" s="110">
        <v>2019</v>
      </c>
      <c r="G2" s="110">
        <v>2020</v>
      </c>
      <c r="H2" s="110">
        <v>2021</v>
      </c>
      <c r="I2" s="110">
        <v>2022</v>
      </c>
      <c r="J2" s="110">
        <v>2023</v>
      </c>
      <c r="K2" s="110">
        <v>2024</v>
      </c>
      <c r="L2" s="110">
        <v>2025</v>
      </c>
      <c r="M2" s="110">
        <v>2026</v>
      </c>
      <c r="N2" s="110">
        <v>2027</v>
      </c>
      <c r="O2" s="110">
        <v>2028</v>
      </c>
      <c r="P2" s="110">
        <v>2029</v>
      </c>
      <c r="Q2" s="110">
        <v>2030</v>
      </c>
      <c r="R2" s="110">
        <v>2031</v>
      </c>
      <c r="S2" s="110">
        <v>2032</v>
      </c>
      <c r="T2" s="110">
        <v>2033</v>
      </c>
      <c r="U2" s="110">
        <v>2034</v>
      </c>
      <c r="V2" s="110">
        <v>2035</v>
      </c>
      <c r="W2" s="110">
        <v>2036</v>
      </c>
      <c r="X2" s="110">
        <v>2037</v>
      </c>
      <c r="Y2" s="110">
        <v>2038</v>
      </c>
      <c r="Z2" s="110">
        <v>2039</v>
      </c>
      <c r="AA2" s="110">
        <v>2040</v>
      </c>
      <c r="AB2" s="110">
        <v>2041</v>
      </c>
      <c r="AC2" s="110">
        <v>2042</v>
      </c>
      <c r="AD2" s="110">
        <v>2043</v>
      </c>
      <c r="AE2" s="110">
        <v>2044</v>
      </c>
      <c r="AF2" s="110">
        <v>2045</v>
      </c>
      <c r="AG2" s="110">
        <v>2046</v>
      </c>
      <c r="AH2" s="110">
        <v>2047</v>
      </c>
      <c r="AI2" s="110">
        <v>2048</v>
      </c>
      <c r="AJ2" s="110">
        <v>2049</v>
      </c>
      <c r="AK2" s="110">
        <v>2050</v>
      </c>
    </row>
    <row r="3" spans="1:37" x14ac:dyDescent="0.2">
      <c r="A3" s="53" t="s">
        <v>75</v>
      </c>
      <c r="B3" s="113">
        <v>600</v>
      </c>
      <c r="C3" s="113">
        <f>B11</f>
        <v>545.77935200000002</v>
      </c>
      <c r="D3" s="113">
        <f t="shared" ref="D3:AK3" si="0">C11</f>
        <v>482.37807200000003</v>
      </c>
      <c r="E3" s="113">
        <f t="shared" si="0"/>
        <v>502.45514400000002</v>
      </c>
      <c r="F3" s="113">
        <f t="shared" si="0"/>
        <v>523.8530760000001</v>
      </c>
      <c r="G3" s="113">
        <f t="shared" si="0"/>
        <v>631.15789319600003</v>
      </c>
      <c r="H3" s="113">
        <f t="shared" si="0"/>
        <v>653.7852816840001</v>
      </c>
      <c r="I3" s="113">
        <f t="shared" si="0"/>
        <v>622.22491701600006</v>
      </c>
      <c r="J3" s="113">
        <f t="shared" si="0"/>
        <v>611.32227440400004</v>
      </c>
      <c r="K3" s="113">
        <f t="shared" si="0"/>
        <v>670.975217896</v>
      </c>
      <c r="L3" s="113">
        <f t="shared" si="0"/>
        <v>651.61167446800005</v>
      </c>
      <c r="M3" s="113">
        <f t="shared" si="0"/>
        <v>662.6003821547032</v>
      </c>
      <c r="N3" s="113">
        <f t="shared" si="0"/>
        <v>664.48967058106712</v>
      </c>
      <c r="O3" s="113">
        <f t="shared" si="0"/>
        <v>670.75997581828074</v>
      </c>
      <c r="P3" s="113">
        <f t="shared" si="0"/>
        <v>685.42875542087052</v>
      </c>
      <c r="Q3" s="113">
        <f t="shared" si="0"/>
        <v>689.49549962279491</v>
      </c>
      <c r="R3" s="113">
        <f t="shared" si="0"/>
        <v>699.11397991948775</v>
      </c>
      <c r="S3" s="113">
        <f t="shared" si="0"/>
        <v>706.82992414494743</v>
      </c>
      <c r="T3" s="113">
        <f t="shared" si="0"/>
        <v>715.75638322122143</v>
      </c>
      <c r="U3" s="113">
        <f t="shared" si="0"/>
        <v>725.23646416191673</v>
      </c>
      <c r="V3" s="113">
        <f t="shared" si="0"/>
        <v>733.64301895081746</v>
      </c>
      <c r="W3" s="113">
        <f t="shared" si="0"/>
        <v>742.95245841444091</v>
      </c>
      <c r="X3" s="113">
        <f t="shared" si="0"/>
        <v>752.20047231767182</v>
      </c>
      <c r="Y3" s="113">
        <f t="shared" si="0"/>
        <v>761.76914601767646</v>
      </c>
      <c r="Z3" s="113">
        <f t="shared" si="0"/>
        <v>771.47386695296257</v>
      </c>
      <c r="AA3" s="113">
        <f t="shared" si="0"/>
        <v>781.22794792967966</v>
      </c>
      <c r="AB3" s="113">
        <f t="shared" si="0"/>
        <v>791.26458852644828</v>
      </c>
      <c r="AC3" s="113">
        <f t="shared" si="0"/>
        <v>801.4550313401146</v>
      </c>
      <c r="AD3" s="113">
        <f t="shared" si="0"/>
        <v>811.84402980924369</v>
      </c>
      <c r="AE3" s="113">
        <f t="shared" si="0"/>
        <v>822.4062653464224</v>
      </c>
      <c r="AF3" s="113">
        <f t="shared" si="0"/>
        <v>833.14950938611503</v>
      </c>
      <c r="AG3" s="113">
        <f t="shared" si="0"/>
        <v>844.10117568733062</v>
      </c>
      <c r="AH3" s="113">
        <f t="shared" si="0"/>
        <v>855.24590592649349</v>
      </c>
      <c r="AI3" s="113">
        <f t="shared" si="0"/>
        <v>866.59191305282661</v>
      </c>
      <c r="AJ3" s="113">
        <f t="shared" si="0"/>
        <v>878.13981335063045</v>
      </c>
      <c r="AK3" s="113">
        <f t="shared" si="0"/>
        <v>889.89561765895871</v>
      </c>
    </row>
    <row r="4" spans="1:37" x14ac:dyDescent="0.2">
      <c r="A4" s="53" t="s">
        <v>76</v>
      </c>
      <c r="B4" s="113">
        <f t="shared" ref="B4:I4" si="1">B33</f>
        <v>7417.9497600000004</v>
      </c>
      <c r="C4" s="113">
        <f t="shared" si="1"/>
        <v>7363.5303279999998</v>
      </c>
      <c r="D4" s="113">
        <f t="shared" si="1"/>
        <v>8118.0055600000005</v>
      </c>
      <c r="E4" s="113">
        <f t="shared" si="1"/>
        <v>7880.514932000001</v>
      </c>
      <c r="F4" s="113">
        <f t="shared" si="1"/>
        <v>10568.419858588</v>
      </c>
      <c r="G4" s="113">
        <f t="shared" si="1"/>
        <v>10319.544738248002</v>
      </c>
      <c r="H4" s="113">
        <f t="shared" si="1"/>
        <v>10233.701254332</v>
      </c>
      <c r="I4" s="113">
        <f t="shared" si="1"/>
        <v>10746.877554780001</v>
      </c>
      <c r="J4" s="113">
        <f>J33</f>
        <v>10762.709382740002</v>
      </c>
      <c r="K4" s="113">
        <f>K33</f>
        <v>10944.790197912</v>
      </c>
      <c r="L4" s="114">
        <f>FORECAST(L16,$F4:K4,$F16:K16)</f>
        <v>10941.979328073367</v>
      </c>
      <c r="M4" s="114">
        <f>FORECAST(M16,$F4:L4,$F16:L16)</f>
        <v>11071.624504376878</v>
      </c>
      <c r="N4" s="114">
        <f>FORECAST(N16,$F4:M4,$F16:M16)</f>
        <v>11203.60329385385</v>
      </c>
      <c r="O4" s="114">
        <f>FORECAST(O16,$F4:N4,$F16:N16)</f>
        <v>11337.957701541407</v>
      </c>
      <c r="P4" s="114">
        <f>FORECAST(P16,$F4:O4,$F16:O16)</f>
        <v>11474.730488567344</v>
      </c>
      <c r="Q4" s="114">
        <f>FORECAST(Q16,$F4:P4,$F16:P16)</f>
        <v>11613.965185759746</v>
      </c>
      <c r="R4" s="114">
        <f>FORECAST(R16,$F4:Q4,$F16:Q16)</f>
        <v>11755.70610750161</v>
      </c>
      <c r="S4" s="114">
        <f>FORECAST(S16,$F4:R4,$F16:R16)</f>
        <v>11899.998365834828</v>
      </c>
      <c r="T4" s="114">
        <f>FORECAST(T16,$F4:S4,$F16:S16)</f>
        <v>12046.887884818043</v>
      </c>
      <c r="U4" s="114">
        <f>FORECAST(U16,$F4:T4,$F16:T16)</f>
        <v>12196.421415142955</v>
      </c>
      <c r="V4" s="114">
        <f>FORECAST(V16,$F4:U4,$F16:U16)</f>
        <v>12348.64654901372</v>
      </c>
      <c r="W4" s="114">
        <f>FORECAST(W16,$F4:V4,$F16:V16)</f>
        <v>12503.611735294155</v>
      </c>
      <c r="X4" s="114">
        <f>FORECAST(X16,$F4:W4,$F16:W16)</f>
        <v>12661.366294927637</v>
      </c>
      <c r="Y4" s="114">
        <f>FORECAST(Y16,$F4:X4,$F16:X16)</f>
        <v>12821.960436634527</v>
      </c>
      <c r="Z4" s="114">
        <f>FORECAST(Z16,$F4:Y4,$F16:Y16)</f>
        <v>12985.445272892133</v>
      </c>
      <c r="AA4" s="114">
        <f>FORECAST(AA16,$F4:Z4,$F16:Z16)</f>
        <v>13151.872836202379</v>
      </c>
      <c r="AB4" s="114">
        <f>FORECAST(AB16,$F4:AA4,$F16:AA16)</f>
        <v>13321.296095652211</v>
      </c>
      <c r="AC4" s="114">
        <f>FORECAST(AC16,$F4:AB4,$F16:AB16)</f>
        <v>13493.768973772141</v>
      </c>
      <c r="AD4" s="114">
        <f>FORECAST(AD16,$F4:AC4,$F16:AC16)</f>
        <v>13669.346363698227</v>
      </c>
      <c r="AE4" s="114">
        <f>FORECAST(AE16,$F4:AD4,$F16:AD16)</f>
        <v>13848.084146642985</v>
      </c>
      <c r="AF4" s="114">
        <f>FORECAST(AF16,$F4:AE4,$F16:AE16)</f>
        <v>14030.039209680748</v>
      </c>
      <c r="AG4" s="114">
        <f>FORECAST(AG16,$F4:AF4,$F16:AF16)</f>
        <v>14215.26946385319</v>
      </c>
      <c r="AH4" s="114">
        <f>FORECAST(AH16,$F4:AG4,$F16:AG16)</f>
        <v>14403.833862600733</v>
      </c>
      <c r="AI4" s="114">
        <f>FORECAST(AI16,$F4:AH4,$F16:AH16)</f>
        <v>14595.792420525737</v>
      </c>
      <c r="AJ4" s="114">
        <f>FORECAST(AJ16,$F4:AI4,$F16:AI16)</f>
        <v>14791.206232493389</v>
      </c>
      <c r="AK4" s="114">
        <f>FORECAST(AK16,$F4:AJ4,$F16:AJ16)</f>
        <v>14990.13749307646</v>
      </c>
    </row>
    <row r="5" spans="1:37" x14ac:dyDescent="0.2">
      <c r="A5" s="86" t="s">
        <v>77</v>
      </c>
      <c r="B5" s="95">
        <f>annual_data!$P5/B1</f>
        <v>0</v>
      </c>
      <c r="C5" s="95">
        <f>annual_data!$P6/B1</f>
        <v>0</v>
      </c>
      <c r="D5" s="95">
        <f>annual_data!$P7/B1</f>
        <v>351.32241280233984</v>
      </c>
      <c r="E5" s="95">
        <f>annual_data!$P8/B1</f>
        <v>556.29350844361772</v>
      </c>
      <c r="F5" s="95">
        <f t="shared" ref="F5:K5" si="2">F49</f>
        <v>369.36713960399999</v>
      </c>
      <c r="G5" s="95">
        <f t="shared" si="2"/>
        <v>250.604918596</v>
      </c>
      <c r="H5" s="95">
        <f t="shared" si="2"/>
        <v>320.17857737599996</v>
      </c>
      <c r="I5" s="95">
        <f t="shared" si="2"/>
        <v>286.412904852</v>
      </c>
      <c r="J5" s="95">
        <f t="shared" si="2"/>
        <v>244.671087132</v>
      </c>
      <c r="K5" s="131">
        <f t="shared" si="2"/>
        <v>211.78061644400003</v>
      </c>
      <c r="L5" s="132">
        <f t="shared" ref="L5:AK5" si="3">AVERAGE(G5:K5)</f>
        <v>262.72962087999997</v>
      </c>
      <c r="M5" s="132">
        <f t="shared" si="3"/>
        <v>265.15456133679999</v>
      </c>
      <c r="N5" s="132">
        <f t="shared" si="3"/>
        <v>254.14975812896</v>
      </c>
      <c r="O5" s="132">
        <f t="shared" si="3"/>
        <v>247.69712878435197</v>
      </c>
      <c r="P5" s="132">
        <f t="shared" si="3"/>
        <v>248.30233711482236</v>
      </c>
      <c r="Q5" s="132">
        <f t="shared" si="3"/>
        <v>255.60668124898683</v>
      </c>
      <c r="R5" s="132">
        <f t="shared" si="3"/>
        <v>254.18209332278425</v>
      </c>
      <c r="S5" s="132">
        <f t="shared" si="3"/>
        <v>251.98759971998112</v>
      </c>
      <c r="T5" s="132">
        <f t="shared" si="3"/>
        <v>251.55516803818531</v>
      </c>
      <c r="U5" s="132">
        <f t="shared" si="3"/>
        <v>252.32677588895194</v>
      </c>
      <c r="V5" s="132">
        <f t="shared" si="3"/>
        <v>253.13166364377793</v>
      </c>
      <c r="W5" s="132">
        <f t="shared" si="3"/>
        <v>252.63666012273612</v>
      </c>
      <c r="X5" s="132">
        <f t="shared" si="3"/>
        <v>252.32757348272648</v>
      </c>
      <c r="Y5" s="132">
        <f t="shared" si="3"/>
        <v>252.39556823527556</v>
      </c>
      <c r="Z5" s="132">
        <f t="shared" si="3"/>
        <v>252.56364827469361</v>
      </c>
      <c r="AA5" s="132">
        <f t="shared" si="3"/>
        <v>252.61102275184194</v>
      </c>
      <c r="AB5" s="132">
        <f t="shared" si="3"/>
        <v>252.50689457345476</v>
      </c>
      <c r="AC5" s="132">
        <f t="shared" si="3"/>
        <v>252.48094146359844</v>
      </c>
      <c r="AD5" s="132">
        <f t="shared" si="3"/>
        <v>252.51161505977285</v>
      </c>
      <c r="AE5" s="132">
        <f t="shared" si="3"/>
        <v>252.53482442467234</v>
      </c>
      <c r="AF5" s="132">
        <f t="shared" si="3"/>
        <v>252.52905965466806</v>
      </c>
      <c r="AG5" s="132">
        <f t="shared" si="3"/>
        <v>252.51266703523328</v>
      </c>
      <c r="AH5" s="132">
        <f t="shared" si="3"/>
        <v>252.51382152758902</v>
      </c>
      <c r="AI5" s="132">
        <f t="shared" si="3"/>
        <v>252.52039754038711</v>
      </c>
      <c r="AJ5" s="132">
        <f t="shared" si="3"/>
        <v>252.52215403650999</v>
      </c>
      <c r="AK5" s="132">
        <f t="shared" si="3"/>
        <v>252.51961995887751</v>
      </c>
    </row>
    <row r="6" spans="1:37" x14ac:dyDescent="0.2">
      <c r="A6" s="99" t="s">
        <v>123</v>
      </c>
      <c r="B6" s="105">
        <f>SUM(B3:B5)</f>
        <v>8017.9497600000004</v>
      </c>
      <c r="C6" s="105">
        <f t="shared" ref="C6:AK6" si="4">SUM(C3:C5)</f>
        <v>7909.3096800000003</v>
      </c>
      <c r="D6" s="105">
        <f t="shared" si="4"/>
        <v>8951.7060448023403</v>
      </c>
      <c r="E6" s="105">
        <f t="shared" si="4"/>
        <v>8939.263584443619</v>
      </c>
      <c r="F6" s="105">
        <f t="shared" si="4"/>
        <v>11461.640074192001</v>
      </c>
      <c r="G6" s="105">
        <f t="shared" si="4"/>
        <v>11201.307550040001</v>
      </c>
      <c r="H6" s="105">
        <f t="shared" si="4"/>
        <v>11207.665113392</v>
      </c>
      <c r="I6" s="105">
        <f t="shared" si="4"/>
        <v>11655.515376648002</v>
      </c>
      <c r="J6" s="105">
        <f t="shared" si="4"/>
        <v>11618.702744276001</v>
      </c>
      <c r="K6" s="105">
        <f t="shared" si="4"/>
        <v>11827.546032252001</v>
      </c>
      <c r="L6" s="106">
        <f t="shared" si="4"/>
        <v>11856.320623421367</v>
      </c>
      <c r="M6" s="106">
        <f t="shared" si="4"/>
        <v>11999.379447868381</v>
      </c>
      <c r="N6" s="106">
        <f t="shared" si="4"/>
        <v>12122.242722563878</v>
      </c>
      <c r="O6" s="106">
        <f t="shared" si="4"/>
        <v>12256.414806144039</v>
      </c>
      <c r="P6" s="106">
        <f t="shared" si="4"/>
        <v>12408.461581103038</v>
      </c>
      <c r="Q6" s="106">
        <f t="shared" si="4"/>
        <v>12559.067366631527</v>
      </c>
      <c r="R6" s="106">
        <f t="shared" si="4"/>
        <v>12709.002180743882</v>
      </c>
      <c r="S6" s="106">
        <f t="shared" si="4"/>
        <v>12858.815889699757</v>
      </c>
      <c r="T6" s="106">
        <f t="shared" si="4"/>
        <v>13014.19943607745</v>
      </c>
      <c r="U6" s="106">
        <f t="shared" si="4"/>
        <v>13173.984655193824</v>
      </c>
      <c r="V6" s="106">
        <f t="shared" si="4"/>
        <v>13335.421231608316</v>
      </c>
      <c r="W6" s="106">
        <f t="shared" si="4"/>
        <v>13499.200853831331</v>
      </c>
      <c r="X6" s="106">
        <f t="shared" si="4"/>
        <v>13665.894340728035</v>
      </c>
      <c r="Y6" s="106">
        <f t="shared" si="4"/>
        <v>13836.125150887478</v>
      </c>
      <c r="Z6" s="106">
        <f t="shared" si="4"/>
        <v>14009.482788119791</v>
      </c>
      <c r="AA6" s="106">
        <f t="shared" si="4"/>
        <v>14185.711806883901</v>
      </c>
      <c r="AB6" s="106">
        <f t="shared" si="4"/>
        <v>14365.067578752114</v>
      </c>
      <c r="AC6" s="106">
        <f t="shared" si="4"/>
        <v>14547.704946575854</v>
      </c>
      <c r="AD6" s="106">
        <f t="shared" si="4"/>
        <v>14733.702008567243</v>
      </c>
      <c r="AE6" s="106">
        <f t="shared" si="4"/>
        <v>14923.02523641408</v>
      </c>
      <c r="AF6" s="106">
        <f t="shared" si="4"/>
        <v>15115.717778721531</v>
      </c>
      <c r="AG6" s="106">
        <f t="shared" si="4"/>
        <v>15311.883306575754</v>
      </c>
      <c r="AH6" s="106">
        <f t="shared" si="4"/>
        <v>15511.593590054816</v>
      </c>
      <c r="AI6" s="106">
        <f t="shared" si="4"/>
        <v>15714.904731118952</v>
      </c>
      <c r="AJ6" s="106">
        <f t="shared" si="4"/>
        <v>15921.868199880528</v>
      </c>
      <c r="AK6" s="106">
        <f t="shared" si="4"/>
        <v>16132.552730694295</v>
      </c>
    </row>
    <row r="7" spans="1:37" s="99" customFormat="1" x14ac:dyDescent="0.2">
      <c r="A7" s="53" t="s">
        <v>151</v>
      </c>
      <c r="B7" s="105">
        <f t="shared" ref="B7:I7" si="5">B81</f>
        <v>7741.8246319999989</v>
      </c>
      <c r="C7" s="105">
        <f t="shared" si="5"/>
        <v>7632.7215960000012</v>
      </c>
      <c r="D7" s="105">
        <f t="shared" si="5"/>
        <v>8242.1664000000001</v>
      </c>
      <c r="E7" s="105">
        <f t="shared" si="5"/>
        <v>8978.9421080000011</v>
      </c>
      <c r="F7" s="113">
        <f t="shared" si="5"/>
        <v>8597.6230345999993</v>
      </c>
      <c r="G7" s="113">
        <f t="shared" si="5"/>
        <v>8197.7582942839999</v>
      </c>
      <c r="H7" s="113">
        <f t="shared" si="5"/>
        <v>8252.552850524</v>
      </c>
      <c r="I7" s="113">
        <f t="shared" si="5"/>
        <v>8605.4549418840015</v>
      </c>
      <c r="J7" s="113">
        <f>J81</f>
        <v>8490.2178320439998</v>
      </c>
      <c r="K7" s="113">
        <f>K81</f>
        <v>8622.0803425320009</v>
      </c>
      <c r="L7" s="114">
        <f>FORECAST(L16,$F7:K7,$F16:K16)</f>
        <v>8732.7203660604246</v>
      </c>
      <c r="M7" s="114">
        <f>FORECAST(M16,$F7:L7,$F16:L16)</f>
        <v>8834.5609047794242</v>
      </c>
      <c r="N7" s="114">
        <f>FORECAST(N16,$F7:M7,$F16:M16)</f>
        <v>8938.2345731953646</v>
      </c>
      <c r="O7" s="114">
        <f>FORECAST(O16,$F7:N7,$F16:N16)</f>
        <v>9043.7743676427926</v>
      </c>
      <c r="P7" s="114">
        <f>FORECAST(P16,$F7:O7,$F16:O16)</f>
        <v>9151.2138783902774</v>
      </c>
      <c r="Q7" s="114">
        <f>FORECAST(Q16,$F7:P7,$F16:P16)</f>
        <v>9260.5873003312136</v>
      </c>
      <c r="R7" s="114">
        <f>FORECAST(R16,$F7:Q7,$F16:Q16)</f>
        <v>9371.9294438670859</v>
      </c>
      <c r="S7" s="114">
        <f>FORECAST(S16,$F7:R7,$F16:R16)</f>
        <v>9485.2757459866043</v>
      </c>
      <c r="T7" s="114">
        <f>FORECAST(T16,$F7:S7,$F16:S16)</f>
        <v>9600.6622815442752</v>
      </c>
      <c r="U7" s="114">
        <f>FORECAST(U16,$F7:T7,$F16:T16)</f>
        <v>9718.1257747419841</v>
      </c>
      <c r="V7" s="114">
        <f>FORECAST(V16,$F7:U7,$F16:U16)</f>
        <v>9837.7036108172524</v>
      </c>
      <c r="W7" s="114">
        <f>FORECAST(W16,$F7:V7,$F16:V16)</f>
        <v>9959.433847941873</v>
      </c>
      <c r="X7" s="114">
        <f>FORECAST(X16,$F7:W7,$F16:W16)</f>
        <v>10083.355229334738</v>
      </c>
      <c r="Y7" s="114">
        <f>FORECAST(Y16,$F7:X7,$F16:X16)</f>
        <v>10209.507195592676</v>
      </c>
      <c r="Z7" s="114">
        <f>FORECAST(Z16,$F7:Y7,$F16:Y16)</f>
        <v>10337.929897243255</v>
      </c>
      <c r="AA7" s="114">
        <f>FORECAST(AA16,$F7:Z7,$F16:Z16)</f>
        <v>10468.664207523545</v>
      </c>
      <c r="AB7" s="114">
        <f>FORECAST(AB16,$F7:AA7,$F16:AA16)</f>
        <v>10601.75173538888</v>
      </c>
      <c r="AC7" s="114">
        <f>FORECAST(AC16,$F7:AB7,$F16:AB16)</f>
        <v>10737.234838755794</v>
      </c>
      <c r="AD7" s="114">
        <f>FORECAST(AD16,$F7:AC7,$F16:AC16)</f>
        <v>10875.156637983308</v>
      </c>
      <c r="AE7" s="114">
        <f>FORECAST(AE16,$F7:AD7,$F16:AD16)</f>
        <v>11015.56102959692</v>
      </c>
      <c r="AF7" s="114">
        <f>FORECAST(AF16,$F7:AE7,$F16:AE16)</f>
        <v>11158.492700259576</v>
      </c>
      <c r="AG7" s="114">
        <f>FORECAST(AG16,$F7:AF7,$F16:AF16)</f>
        <v>11303.997140994161</v>
      </c>
      <c r="AH7" s="114">
        <f>FORECAST(AH16,$F7:AG7,$F16:AG16)</f>
        <v>11452.120661661964</v>
      </c>
      <c r="AI7" s="114">
        <f>FORECAST(AI16,$F7:AH7,$F16:AH16)</f>
        <v>11602.910405701792</v>
      </c>
      <c r="AJ7" s="114">
        <f>FORECAST(AJ16,$F7:AI7,$F16:AI16)</f>
        <v>11756.414365134337</v>
      </c>
      <c r="AK7" s="114">
        <f>FORECAST(AK16,$F7:AJ7,$F16:AJ16)</f>
        <v>11912.681395836664</v>
      </c>
    </row>
    <row r="8" spans="1:37" hidden="1" x14ac:dyDescent="0.2">
      <c r="A8" s="53" t="s">
        <v>152</v>
      </c>
      <c r="B8" s="113"/>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row>
    <row r="9" spans="1:37" x14ac:dyDescent="0.2">
      <c r="A9" s="53" t="s">
        <v>48</v>
      </c>
      <c r="B9" s="113">
        <f>annual_data!$R5/B1</f>
        <v>0</v>
      </c>
      <c r="C9" s="113">
        <f>annual_data!$R6/B1</f>
        <v>0</v>
      </c>
      <c r="D9" s="113">
        <f>annual_data!$R7/B1</f>
        <v>1266.7049923958339</v>
      </c>
      <c r="E9" s="113">
        <f>annual_data!$R8/B1</f>
        <v>1106.5903112923688</v>
      </c>
      <c r="F9" s="113">
        <f t="shared" ref="F9:K9" si="6">F65</f>
        <v>2366.4226603920006</v>
      </c>
      <c r="G9" s="113">
        <f t="shared" si="6"/>
        <v>2302.58126984</v>
      </c>
      <c r="H9" s="113">
        <f t="shared" si="6"/>
        <v>2283.4538961800004</v>
      </c>
      <c r="I9" s="113">
        <f t="shared" si="6"/>
        <v>2374.4910016160002</v>
      </c>
      <c r="J9" s="113">
        <f t="shared" si="6"/>
        <v>2469.476950108</v>
      </c>
      <c r="K9" s="131">
        <f t="shared" si="6"/>
        <v>2850.3810092960002</v>
      </c>
      <c r="L9" s="132">
        <f t="shared" ref="L9:AK9" si="7">AVERAGE(G9:K9)</f>
        <v>2456.0768254080003</v>
      </c>
      <c r="M9" s="132">
        <f t="shared" si="7"/>
        <v>2486.7759365215998</v>
      </c>
      <c r="N9" s="132">
        <f t="shared" si="7"/>
        <v>2527.4403445899202</v>
      </c>
      <c r="O9" s="132">
        <f t="shared" si="7"/>
        <v>2558.0302131847043</v>
      </c>
      <c r="P9" s="132">
        <f>AVERAGE(K9:O9)</f>
        <v>2575.740865800045</v>
      </c>
      <c r="Q9" s="132">
        <f t="shared" si="7"/>
        <v>2520.8128371008543</v>
      </c>
      <c r="R9" s="132">
        <f t="shared" si="7"/>
        <v>2533.760039439424</v>
      </c>
      <c r="S9" s="132">
        <f t="shared" si="7"/>
        <v>2543.1568600229898</v>
      </c>
      <c r="T9" s="132">
        <f t="shared" si="7"/>
        <v>2546.3001631096035</v>
      </c>
      <c r="U9" s="132">
        <f t="shared" si="7"/>
        <v>2543.9541530945835</v>
      </c>
      <c r="V9" s="132">
        <f t="shared" si="7"/>
        <v>2537.5968105534907</v>
      </c>
      <c r="W9" s="132">
        <f t="shared" si="7"/>
        <v>2540.953605244018</v>
      </c>
      <c r="X9" s="132">
        <f t="shared" si="7"/>
        <v>2542.3923184049372</v>
      </c>
      <c r="Y9" s="132">
        <f t="shared" si="7"/>
        <v>2542.2394100813267</v>
      </c>
      <c r="Z9" s="132">
        <f t="shared" si="7"/>
        <v>2541.4272594756712</v>
      </c>
      <c r="AA9" s="132">
        <f t="shared" si="7"/>
        <v>2540.9218807518887</v>
      </c>
      <c r="AB9" s="132">
        <f t="shared" si="7"/>
        <v>2541.5868947915683</v>
      </c>
      <c r="AC9" s="132">
        <f t="shared" si="7"/>
        <v>2541.7135527010782</v>
      </c>
      <c r="AD9" s="132">
        <f t="shared" si="7"/>
        <v>2541.5777995603066</v>
      </c>
      <c r="AE9" s="132">
        <f t="shared" si="7"/>
        <v>2541.4454774561027</v>
      </c>
      <c r="AF9" s="132">
        <f t="shared" si="7"/>
        <v>2541.4491210521892</v>
      </c>
      <c r="AG9" s="132">
        <f t="shared" si="7"/>
        <v>2541.5545691122488</v>
      </c>
      <c r="AH9" s="132">
        <f t="shared" si="7"/>
        <v>2541.5481039763849</v>
      </c>
      <c r="AI9" s="132">
        <f t="shared" si="7"/>
        <v>2541.5150142314465</v>
      </c>
      <c r="AJ9" s="132">
        <f t="shared" si="7"/>
        <v>2541.5024571656745</v>
      </c>
      <c r="AK9" s="132">
        <f t="shared" si="7"/>
        <v>2541.5138531075891</v>
      </c>
    </row>
    <row r="10" spans="1:37" x14ac:dyDescent="0.2">
      <c r="A10" s="99" t="s">
        <v>126</v>
      </c>
      <c r="B10" s="105">
        <f>B9+B7</f>
        <v>7741.8246319999989</v>
      </c>
      <c r="C10" s="105">
        <f t="shared" ref="C10:AK10" si="8">C9+C7</f>
        <v>7632.7215960000012</v>
      </c>
      <c r="D10" s="105">
        <f t="shared" si="8"/>
        <v>9508.8713923958348</v>
      </c>
      <c r="E10" s="105">
        <f t="shared" si="8"/>
        <v>10085.532419292369</v>
      </c>
      <c r="F10" s="105">
        <f t="shared" si="8"/>
        <v>10964.045694992001</v>
      </c>
      <c r="G10" s="105">
        <f t="shared" si="8"/>
        <v>10500.339564124</v>
      </c>
      <c r="H10" s="105">
        <f t="shared" si="8"/>
        <v>10536.006746704001</v>
      </c>
      <c r="I10" s="105">
        <f t="shared" si="8"/>
        <v>10979.945943500003</v>
      </c>
      <c r="J10" s="105">
        <f t="shared" si="8"/>
        <v>10959.694782152001</v>
      </c>
      <c r="K10" s="105">
        <f t="shared" si="8"/>
        <v>11472.461351828002</v>
      </c>
      <c r="L10" s="106">
        <f t="shared" si="8"/>
        <v>11188.797191468424</v>
      </c>
      <c r="M10" s="106">
        <f t="shared" si="8"/>
        <v>11321.336841301025</v>
      </c>
      <c r="N10" s="106">
        <f t="shared" si="8"/>
        <v>11465.674917785285</v>
      </c>
      <c r="O10" s="106">
        <f t="shared" si="8"/>
        <v>11601.804580827496</v>
      </c>
      <c r="P10" s="106">
        <f t="shared" si="8"/>
        <v>11726.954744190323</v>
      </c>
      <c r="Q10" s="106">
        <f t="shared" si="8"/>
        <v>11781.400137432069</v>
      </c>
      <c r="R10" s="106">
        <f t="shared" si="8"/>
        <v>11905.689483306509</v>
      </c>
      <c r="S10" s="106">
        <f t="shared" si="8"/>
        <v>12028.432606009594</v>
      </c>
      <c r="T10" s="106">
        <f t="shared" si="8"/>
        <v>12146.962444653878</v>
      </c>
      <c r="U10" s="106">
        <f t="shared" si="8"/>
        <v>12262.079927836567</v>
      </c>
      <c r="V10" s="106">
        <f t="shared" si="8"/>
        <v>12375.300421370743</v>
      </c>
      <c r="W10" s="106">
        <f t="shared" si="8"/>
        <v>12500.387453185891</v>
      </c>
      <c r="X10" s="106">
        <f t="shared" si="8"/>
        <v>12625.747547739677</v>
      </c>
      <c r="Y10" s="106">
        <f t="shared" si="8"/>
        <v>12751.746605674003</v>
      </c>
      <c r="Z10" s="106">
        <f t="shared" si="8"/>
        <v>12879.357156718926</v>
      </c>
      <c r="AA10" s="106">
        <f t="shared" si="8"/>
        <v>13009.586088275433</v>
      </c>
      <c r="AB10" s="106">
        <f t="shared" si="8"/>
        <v>13143.338630180448</v>
      </c>
      <c r="AC10" s="106">
        <f t="shared" si="8"/>
        <v>13278.948391456872</v>
      </c>
      <c r="AD10" s="106">
        <f t="shared" si="8"/>
        <v>13416.734437543615</v>
      </c>
      <c r="AE10" s="106">
        <f t="shared" si="8"/>
        <v>13557.006507053022</v>
      </c>
      <c r="AF10" s="106">
        <f t="shared" si="8"/>
        <v>13699.941821311764</v>
      </c>
      <c r="AG10" s="106">
        <f t="shared" si="8"/>
        <v>13845.551710106411</v>
      </c>
      <c r="AH10" s="106">
        <f t="shared" si="8"/>
        <v>13993.668765638349</v>
      </c>
      <c r="AI10" s="106">
        <f t="shared" si="8"/>
        <v>14144.425419933239</v>
      </c>
      <c r="AJ10" s="106">
        <f t="shared" si="8"/>
        <v>14297.916822300011</v>
      </c>
      <c r="AK10" s="106">
        <f t="shared" si="8"/>
        <v>14454.195248944252</v>
      </c>
    </row>
    <row r="11" spans="1:37" x14ac:dyDescent="0.2">
      <c r="A11" s="152" t="s">
        <v>110</v>
      </c>
      <c r="B11" s="105">
        <f>B97</f>
        <v>545.77935200000002</v>
      </c>
      <c r="C11" s="105">
        <f t="shared" ref="C11:AK11" si="9">C97</f>
        <v>482.37807200000003</v>
      </c>
      <c r="D11" s="105">
        <f t="shared" si="9"/>
        <v>502.45514400000002</v>
      </c>
      <c r="E11" s="105">
        <f t="shared" si="9"/>
        <v>523.8530760000001</v>
      </c>
      <c r="F11" s="105">
        <f t="shared" si="9"/>
        <v>631.15789319600003</v>
      </c>
      <c r="G11" s="105">
        <f t="shared" si="9"/>
        <v>653.7852816840001</v>
      </c>
      <c r="H11" s="105">
        <f t="shared" si="9"/>
        <v>622.22491701600006</v>
      </c>
      <c r="I11" s="105">
        <f t="shared" si="9"/>
        <v>611.32227440400004</v>
      </c>
      <c r="J11" s="105">
        <f t="shared" si="9"/>
        <v>670.975217896</v>
      </c>
      <c r="K11" s="105">
        <f t="shared" si="9"/>
        <v>651.61167446800005</v>
      </c>
      <c r="L11" s="106">
        <f t="shared" si="9"/>
        <v>662.6003821547032</v>
      </c>
      <c r="M11" s="106">
        <f t="shared" si="9"/>
        <v>664.48967058106712</v>
      </c>
      <c r="N11" s="106">
        <f t="shared" si="9"/>
        <v>670.75997581828074</v>
      </c>
      <c r="O11" s="106">
        <f t="shared" si="9"/>
        <v>685.42875542087052</v>
      </c>
      <c r="P11" s="106">
        <f t="shared" si="9"/>
        <v>689.49549962279491</v>
      </c>
      <c r="Q11" s="106">
        <f t="shared" si="9"/>
        <v>699.11397991948775</v>
      </c>
      <c r="R11" s="106">
        <f t="shared" si="9"/>
        <v>706.82992414494743</v>
      </c>
      <c r="S11" s="106">
        <f t="shared" si="9"/>
        <v>715.75638322122143</v>
      </c>
      <c r="T11" s="106">
        <f t="shared" si="9"/>
        <v>725.23646416191673</v>
      </c>
      <c r="U11" s="106">
        <f t="shared" si="9"/>
        <v>733.64301895081746</v>
      </c>
      <c r="V11" s="106">
        <f t="shared" si="9"/>
        <v>742.95245841444091</v>
      </c>
      <c r="W11" s="106">
        <f t="shared" si="9"/>
        <v>752.20047231767182</v>
      </c>
      <c r="X11" s="106">
        <f t="shared" si="9"/>
        <v>761.76914601767646</v>
      </c>
      <c r="Y11" s="106">
        <f t="shared" si="9"/>
        <v>771.47386695296257</v>
      </c>
      <c r="Z11" s="106">
        <f t="shared" si="9"/>
        <v>781.22794792967966</v>
      </c>
      <c r="AA11" s="106">
        <f t="shared" si="9"/>
        <v>791.26458852644828</v>
      </c>
      <c r="AB11" s="106">
        <f t="shared" si="9"/>
        <v>801.4550313401146</v>
      </c>
      <c r="AC11" s="106">
        <f t="shared" si="9"/>
        <v>811.84402980924369</v>
      </c>
      <c r="AD11" s="106">
        <f t="shared" si="9"/>
        <v>822.4062653464224</v>
      </c>
      <c r="AE11" s="106">
        <f t="shared" si="9"/>
        <v>833.14950938611503</v>
      </c>
      <c r="AF11" s="106">
        <f t="shared" si="9"/>
        <v>844.10117568733062</v>
      </c>
      <c r="AG11" s="106">
        <f t="shared" si="9"/>
        <v>855.24590592649349</v>
      </c>
      <c r="AH11" s="106">
        <f t="shared" si="9"/>
        <v>866.59191305282661</v>
      </c>
      <c r="AI11" s="106">
        <f t="shared" si="9"/>
        <v>878.13981335063045</v>
      </c>
      <c r="AJ11" s="106">
        <f t="shared" si="9"/>
        <v>889.89561765895871</v>
      </c>
      <c r="AK11" s="106">
        <f t="shared" si="9"/>
        <v>901.86497305252283</v>
      </c>
    </row>
    <row r="12" spans="1:37" x14ac:dyDescent="0.2">
      <c r="A12" s="89" t="s">
        <v>153</v>
      </c>
      <c r="B12" s="153">
        <f>RD!B7/Diesel!B7</f>
        <v>7.6434281080729099E-3</v>
      </c>
      <c r="C12" s="153">
        <f>RD!C7/Diesel!C7</f>
        <v>9.0332614825271561E-3</v>
      </c>
      <c r="D12" s="153">
        <f>RD!D7/Diesel!D7</f>
        <v>1.3172977192015925E-2</v>
      </c>
      <c r="E12" s="153">
        <f>RD!E7/Diesel!E7</f>
        <v>1.0532739699450571E-2</v>
      </c>
      <c r="F12" s="153">
        <f>RD!F7/Diesel!F7</f>
        <v>1.1675855012020814E-2</v>
      </c>
      <c r="G12" s="153">
        <f>RD!G7/Diesel!G7</f>
        <v>1.6112331598273407E-2</v>
      </c>
      <c r="H12" s="153">
        <f>RD!H7/Diesel!H7</f>
        <v>1.5429157777755416E-2</v>
      </c>
      <c r="I12" s="153">
        <f>RD!I7/Diesel!I7</f>
        <v>1.1665228704111104E-2</v>
      </c>
      <c r="J12" s="153">
        <f>RD!J7/Diesel!J7</f>
        <v>2.6914156329130072E-2</v>
      </c>
      <c r="K12" s="153">
        <f>RD!K7/Diesel!K7</f>
        <v>4.7670928023073517E-2</v>
      </c>
      <c r="L12" s="153">
        <f>RD!L7/Diesel!L7</f>
        <v>4.2041287957858296E-2</v>
      </c>
      <c r="M12" s="153">
        <f>RD!M7/Diesel!M7</f>
        <v>4.7321934724574528E-2</v>
      </c>
      <c r="N12" s="153">
        <f>RD!N7/Diesel!N7</f>
        <v>4.7540125009093881E-2</v>
      </c>
      <c r="O12" s="153">
        <f>RD!O7/Diesel!O7</f>
        <v>4.7510560469931837E-2</v>
      </c>
      <c r="P12" s="153">
        <f>RD!P7/Diesel!P7</f>
        <v>5.064978390603489E-2</v>
      </c>
      <c r="Q12" s="153">
        <f>RD!Q7/Diesel!Q7</f>
        <v>5.493679454410566E-2</v>
      </c>
      <c r="R12" s="153">
        <f>RD!R7/Diesel!R7</f>
        <v>5.4520203669432603E-2</v>
      </c>
      <c r="S12" s="153">
        <f>RD!S7/Diesel!S7</f>
        <v>5.5561174002805781E-2</v>
      </c>
      <c r="T12" s="153">
        <f>RD!T7/Diesel!T7</f>
        <v>5.6104606229420526E-2</v>
      </c>
      <c r="U12" s="153">
        <f>RD!U7/Diesel!U7</f>
        <v>5.6680792597548456E-2</v>
      </c>
      <c r="V12" s="153">
        <f>RD!V7/Diesel!V7</f>
        <v>5.7384055105892305E-2</v>
      </c>
      <c r="W12" s="153">
        <f>RD!W7/Diesel!W7</f>
        <v>5.7081289971412159E-2</v>
      </c>
      <c r="X12" s="153">
        <f>RD!X7/Diesel!X7</f>
        <v>5.6653784593330814E-2</v>
      </c>
      <c r="Y12" s="153">
        <f>RD!Y7/Diesel!Y7</f>
        <v>5.6229241211351692E-2</v>
      </c>
      <c r="Z12" s="153">
        <f>RD!Z7/Diesel!Z7</f>
        <v>5.5870272732579877E-2</v>
      </c>
      <c r="AA12" s="153">
        <f>RD!AA7/Diesel!AA7</f>
        <v>5.5453563484473847E-2</v>
      </c>
      <c r="AB12" s="153">
        <f>RD!AB7/Diesel!AB7</f>
        <v>5.5033277342483387E-2</v>
      </c>
      <c r="AC12" s="153">
        <f>RD!AC7/Diesel!AC7</f>
        <v>5.460190820226643E-2</v>
      </c>
      <c r="AD12" s="153">
        <f>RD!AD7/Diesel!AD7</f>
        <v>5.419509147990742E-2</v>
      </c>
      <c r="AE12" s="153">
        <f>RD!AE7/Diesel!AE7</f>
        <v>5.377514238090883E-2</v>
      </c>
      <c r="AF12" s="153">
        <f>RD!AF7/Diesel!AF7</f>
        <v>5.3356498165481277E-2</v>
      </c>
      <c r="AG12" s="153">
        <f>RD!AG7/Diesel!AG7</f>
        <v>5.2938946757744215E-2</v>
      </c>
      <c r="AH12" s="153">
        <f>RD!AH7/Diesel!AH7</f>
        <v>5.2514174746666559E-2</v>
      </c>
      <c r="AI12" s="153">
        <f>RD!AI7/Diesel!AI7</f>
        <v>5.2088711760540918E-2</v>
      </c>
      <c r="AJ12" s="153">
        <f>RD!AJ7/Diesel!AJ7</f>
        <v>5.1662935046479556E-2</v>
      </c>
      <c r="AK12" s="153">
        <f>RD!AK7/Diesel!AK7</f>
        <v>5.1238235970292589E-2</v>
      </c>
    </row>
    <row r="13" spans="1:37" x14ac:dyDescent="0.2">
      <c r="A13" s="89" t="s">
        <v>154</v>
      </c>
      <c r="B13" s="153">
        <f>BD!B7/Diesel!B7</f>
        <v>1.8547979725692068E-2</v>
      </c>
      <c r="C13" s="153">
        <f>BD!C7/Diesel!C7</f>
        <v>1.476621630291482E-2</v>
      </c>
      <c r="D13" s="153">
        <f>BD!D7/Diesel!D7</f>
        <v>1.7516467863363038E-2</v>
      </c>
      <c r="E13" s="153">
        <f>BD!E7/Diesel!E7</f>
        <v>1.7509158487934506E-2</v>
      </c>
      <c r="F13" s="153">
        <f>BD!F7/Diesel!F7</f>
        <v>1.8179130269503629E-2</v>
      </c>
      <c r="G13" s="153">
        <f>BD!G7/Diesel!G7</f>
        <v>1.9158471311505696E-2</v>
      </c>
      <c r="H13" s="153">
        <f>BD!H7/Diesel!H7</f>
        <v>1.836710391189161E-2</v>
      </c>
      <c r="I13" s="153">
        <f>BD!I7/Diesel!I7</f>
        <v>2.3571276645975567E-2</v>
      </c>
      <c r="J13" s="153">
        <f>BD!J7/Diesel!J7</f>
        <v>2.7553084889652014E-2</v>
      </c>
      <c r="K13" s="153">
        <f>BD!K7/Diesel!K7</f>
        <v>2.3911902224160373E-2</v>
      </c>
      <c r="L13" s="153">
        <f>BD!L7/Diesel!L7</f>
        <v>2.8773145525088892E-2</v>
      </c>
      <c r="M13" s="153">
        <f>BD!M7/Diesel!M7</f>
        <v>2.4695338916841055E-2</v>
      </c>
      <c r="N13" s="153">
        <f>BD!N7/Diesel!N7</f>
        <v>2.5730597121283845E-2</v>
      </c>
      <c r="O13" s="153">
        <f>BD!O7/Diesel!O7</f>
        <v>2.4892073014839023E-2</v>
      </c>
      <c r="P13" s="153">
        <f>BD!P7/Diesel!P7</f>
        <v>2.5450763659863464E-2</v>
      </c>
      <c r="Q13" s="153">
        <f>BD!Q7/Diesel!Q7</f>
        <v>2.5560326798570177E-2</v>
      </c>
      <c r="R13" s="153">
        <f>BD!R7/Diesel!R7</f>
        <v>2.6631289339984692E-2</v>
      </c>
      <c r="S13" s="153">
        <f>BD!S7/Diesel!S7</f>
        <v>2.4864729054208889E-2</v>
      </c>
      <c r="T13" s="153">
        <f>BD!T7/Diesel!T7</f>
        <v>2.5373639725262735E-2</v>
      </c>
      <c r="U13" s="153">
        <f>BD!U7/Diesel!U7</f>
        <v>2.5727273014010718E-2</v>
      </c>
      <c r="V13" s="153">
        <f>BD!V7/Diesel!V7</f>
        <v>2.4702999975576356E-2</v>
      </c>
      <c r="W13" s="153">
        <f>BD!W7/Diesel!W7</f>
        <v>2.4325008523370391E-2</v>
      </c>
      <c r="X13" s="153">
        <f>BD!X7/Diesel!X7</f>
        <v>2.3890197008070845E-2</v>
      </c>
      <c r="Y13" s="153">
        <f>BD!Y7/Diesel!Y7</f>
        <v>2.3674825510728092E-2</v>
      </c>
      <c r="Z13" s="153">
        <f>BD!Z7/Diesel!Z7</f>
        <v>2.3382854860600162E-2</v>
      </c>
      <c r="AA13" s="153">
        <f>BD!AA7/Diesel!AA7</f>
        <v>2.3020539763160867E-2</v>
      </c>
      <c r="AB13" s="153">
        <f>BD!AB7/Diesel!AB7</f>
        <v>2.2700914926841346E-2</v>
      </c>
      <c r="AC13" s="153">
        <f>BD!AC7/Diesel!AC7</f>
        <v>2.2350540527693794E-2</v>
      </c>
      <c r="AD13" s="153">
        <f>BD!AD7/Diesel!AD7</f>
        <v>2.1994488573840232E-2</v>
      </c>
      <c r="AE13" s="153">
        <f>BD!AE7/Diesel!AE7</f>
        <v>2.1679742240030844E-2</v>
      </c>
      <c r="AF13" s="153">
        <f>BD!AF7/Diesel!AF7</f>
        <v>2.1356209266051328E-2</v>
      </c>
      <c r="AG13" s="153">
        <f>BD!AG7/Diesel!AG7</f>
        <v>2.1061018236401295E-2</v>
      </c>
      <c r="AH13" s="153">
        <f>BD!AH7/Diesel!AH7</f>
        <v>2.0744407357088799E-2</v>
      </c>
      <c r="AI13" s="153">
        <f>BD!AI7/Diesel!AI7</f>
        <v>2.043237800591019E-2</v>
      </c>
      <c r="AJ13" s="153">
        <f>BD!AJ7/Diesel!AJ7</f>
        <v>2.0118268029293569E-2</v>
      </c>
      <c r="AK13" s="153">
        <f>BD!AK7/Diesel!AK7</f>
        <v>1.9804761584098593E-2</v>
      </c>
    </row>
    <row r="14" spans="1:37" x14ac:dyDescent="0.2">
      <c r="A14" s="86" t="s">
        <v>155</v>
      </c>
      <c r="B14" s="154"/>
      <c r="C14" s="154"/>
      <c r="D14" s="154"/>
      <c r="E14" s="155"/>
      <c r="F14" s="155"/>
      <c r="G14" s="155"/>
      <c r="H14" s="155">
        <f>(H7/G7-1)</f>
        <v>6.6840902443057182E-3</v>
      </c>
      <c r="I14" s="155">
        <f t="shared" ref="I14:AK14" si="10">(I7/H7-1)</f>
        <v>4.2762778712479799E-2</v>
      </c>
      <c r="J14" s="155">
        <f t="shared" si="10"/>
        <v>-1.3391169975119577E-2</v>
      </c>
      <c r="K14" s="155">
        <f t="shared" si="10"/>
        <v>1.5531110402176251E-2</v>
      </c>
      <c r="L14" s="155">
        <f t="shared" si="10"/>
        <v>1.283217264662273E-2</v>
      </c>
      <c r="M14" s="155">
        <f t="shared" si="10"/>
        <v>1.1661948905956177E-2</v>
      </c>
      <c r="N14" s="155">
        <f t="shared" si="10"/>
        <v>1.1735010888866526E-2</v>
      </c>
      <c r="O14" s="155">
        <f t="shared" si="10"/>
        <v>1.1807677856646048E-2</v>
      </c>
      <c r="P14" s="155">
        <f t="shared" si="10"/>
        <v>1.1879941535459571E-2</v>
      </c>
      <c r="Q14" s="155">
        <f t="shared" si="10"/>
        <v>1.1951793870670135E-2</v>
      </c>
      <c r="R14" s="155">
        <f t="shared" si="10"/>
        <v>1.2023227029228423E-2</v>
      </c>
      <c r="S14" s="155">
        <f t="shared" si="10"/>
        <v>1.2094233401820143E-2</v>
      </c>
      <c r="T14" s="155">
        <f t="shared" si="10"/>
        <v>1.2164805604780948E-2</v>
      </c>
      <c r="U14" s="155">
        <f t="shared" si="10"/>
        <v>1.2234936481779313E-2</v>
      </c>
      <c r="V14" s="155">
        <f t="shared" si="10"/>
        <v>1.2304619105266035E-2</v>
      </c>
      <c r="W14" s="155">
        <f t="shared" si="10"/>
        <v>1.2373846777694153E-2</v>
      </c>
      <c r="X14" s="155">
        <f t="shared" si="10"/>
        <v>1.2442613032514371E-2</v>
      </c>
      <c r="Y14" s="155">
        <f t="shared" si="10"/>
        <v>1.2510911634942001E-2</v>
      </c>
      <c r="Z14" s="155">
        <f t="shared" si="10"/>
        <v>1.2578736582507855E-2</v>
      </c>
      <c r="AA14" s="155">
        <f t="shared" si="10"/>
        <v>1.2646082105388645E-2</v>
      </c>
      <c r="AB14" s="155">
        <f t="shared" si="10"/>
        <v>1.2712942666523563E-2</v>
      </c>
      <c r="AC14" s="155">
        <f t="shared" si="10"/>
        <v>1.2779312961523903E-2</v>
      </c>
      <c r="AD14" s="155">
        <f t="shared" si="10"/>
        <v>1.2845187918372414E-2</v>
      </c>
      <c r="AE14" s="155">
        <f t="shared" si="10"/>
        <v>1.2910562696929473E-2</v>
      </c>
      <c r="AF14" s="155">
        <f t="shared" si="10"/>
        <v>1.2975432688232758E-2</v>
      </c>
      <c r="AG14" s="155">
        <f t="shared" si="10"/>
        <v>1.3039793513616837E-2</v>
      </c>
      <c r="AH14" s="155">
        <f t="shared" si="10"/>
        <v>1.3103641023636703E-2</v>
      </c>
      <c r="AI14" s="155">
        <f t="shared" si="10"/>
        <v>1.316697129682054E-2</v>
      </c>
      <c r="AJ14" s="155">
        <f t="shared" si="10"/>
        <v>1.3229780638236432E-2</v>
      </c>
      <c r="AK14" s="155">
        <f t="shared" si="10"/>
        <v>1.3292065577899637E-2</v>
      </c>
    </row>
    <row r="16" spans="1:37" x14ac:dyDescent="0.2">
      <c r="A16" s="89" t="s">
        <v>156</v>
      </c>
      <c r="B16" s="113">
        <v>969781</v>
      </c>
      <c r="C16" s="113">
        <v>974905</v>
      </c>
      <c r="D16" s="113">
        <v>1011089</v>
      </c>
      <c r="E16" s="113">
        <v>1011573</v>
      </c>
      <c r="F16" s="113">
        <v>1028088</v>
      </c>
      <c r="G16" s="113">
        <v>951833</v>
      </c>
      <c r="H16" s="113">
        <v>982998</v>
      </c>
      <c r="I16" s="114">
        <f>AVERAGE(D16:H16)</f>
        <v>997116.2</v>
      </c>
      <c r="J16" s="114">
        <f t="shared" ref="J16:AK16" si="11">I16*1.018</f>
        <v>1015064.2916</v>
      </c>
      <c r="K16" s="114">
        <f t="shared" si="11"/>
        <v>1033335.4488488</v>
      </c>
      <c r="L16" s="114">
        <f t="shared" si="11"/>
        <v>1051935.4869280783</v>
      </c>
      <c r="M16" s="114">
        <f t="shared" si="11"/>
        <v>1070870.3256927838</v>
      </c>
      <c r="N16" s="114">
        <f t="shared" si="11"/>
        <v>1090145.991555254</v>
      </c>
      <c r="O16" s="114">
        <f t="shared" si="11"/>
        <v>1109768.6194032487</v>
      </c>
      <c r="P16" s="114">
        <f t="shared" si="11"/>
        <v>1129744.4545525073</v>
      </c>
      <c r="Q16" s="114">
        <f t="shared" si="11"/>
        <v>1150079.8547344524</v>
      </c>
      <c r="R16" s="114">
        <f t="shared" si="11"/>
        <v>1170781.2921196725</v>
      </c>
      <c r="S16" s="114">
        <f t="shared" si="11"/>
        <v>1191855.3553778266</v>
      </c>
      <c r="T16" s="114">
        <f t="shared" si="11"/>
        <v>1213308.7517746275</v>
      </c>
      <c r="U16" s="114">
        <f t="shared" si="11"/>
        <v>1235148.3093065708</v>
      </c>
      <c r="V16" s="114">
        <f t="shared" si="11"/>
        <v>1257380.9788740892</v>
      </c>
      <c r="W16" s="114">
        <f t="shared" si="11"/>
        <v>1280013.8364938227</v>
      </c>
      <c r="X16" s="114">
        <f t="shared" si="11"/>
        <v>1303054.0855507115</v>
      </c>
      <c r="Y16" s="114">
        <f t="shared" si="11"/>
        <v>1326509.0590906243</v>
      </c>
      <c r="Z16" s="114">
        <f t="shared" si="11"/>
        <v>1350386.2221542555</v>
      </c>
      <c r="AA16" s="114">
        <f t="shared" si="11"/>
        <v>1374693.174153032</v>
      </c>
      <c r="AB16" s="114">
        <f t="shared" si="11"/>
        <v>1399437.6512877867</v>
      </c>
      <c r="AC16" s="114">
        <f t="shared" si="11"/>
        <v>1424627.5290109669</v>
      </c>
      <c r="AD16" s="114">
        <f t="shared" si="11"/>
        <v>1450270.8245331643</v>
      </c>
      <c r="AE16" s="114">
        <f t="shared" si="11"/>
        <v>1476375.6993747612</v>
      </c>
      <c r="AF16" s="114">
        <f t="shared" si="11"/>
        <v>1502950.4619635069</v>
      </c>
      <c r="AG16" s="114">
        <f t="shared" si="11"/>
        <v>1530003.5702788499</v>
      </c>
      <c r="AH16" s="114">
        <f t="shared" si="11"/>
        <v>1557543.6345438692</v>
      </c>
      <c r="AI16" s="114">
        <f t="shared" si="11"/>
        <v>1585579.4199656588</v>
      </c>
      <c r="AJ16" s="114">
        <f t="shared" si="11"/>
        <v>1614119.8495250407</v>
      </c>
      <c r="AK16" s="114">
        <f t="shared" si="11"/>
        <v>1643174.0068164915</v>
      </c>
    </row>
    <row r="17" spans="1:37" x14ac:dyDescent="0.2">
      <c r="A17" s="89" t="s">
        <v>157</v>
      </c>
      <c r="B17" s="113"/>
      <c r="C17" s="156">
        <f t="shared" ref="C17:AK17" si="12">(C16-B16)/B16</f>
        <v>5.2836671372196407E-3</v>
      </c>
      <c r="D17" s="156">
        <f t="shared" si="12"/>
        <v>3.7115411245198252E-2</v>
      </c>
      <c r="E17" s="156">
        <f t="shared" si="12"/>
        <v>4.786917867764361E-4</v>
      </c>
      <c r="F17" s="156">
        <f t="shared" si="12"/>
        <v>1.632605852469372E-2</v>
      </c>
      <c r="G17" s="156">
        <f t="shared" si="12"/>
        <v>-7.4171666238687733E-2</v>
      </c>
      <c r="H17" s="156">
        <f t="shared" si="12"/>
        <v>3.2742088160423101E-2</v>
      </c>
      <c r="I17" s="157">
        <f t="shared" si="12"/>
        <v>1.4362389343620184E-2</v>
      </c>
      <c r="J17" s="157">
        <f t="shared" si="12"/>
        <v>1.8000000000000044E-2</v>
      </c>
      <c r="K17" s="157">
        <f t="shared" si="12"/>
        <v>1.8000000000000037E-2</v>
      </c>
      <c r="L17" s="157">
        <f t="shared" si="12"/>
        <v>1.7999999999999912E-2</v>
      </c>
      <c r="M17" s="157">
        <f t="shared" si="12"/>
        <v>1.8000000000000051E-2</v>
      </c>
      <c r="N17" s="157">
        <f t="shared" si="12"/>
        <v>1.8000000000000054E-2</v>
      </c>
      <c r="O17" s="157">
        <f t="shared" si="12"/>
        <v>1.8000000000000096E-2</v>
      </c>
      <c r="P17" s="157">
        <f t="shared" si="12"/>
        <v>1.800000000000012E-2</v>
      </c>
      <c r="Q17" s="157">
        <f t="shared" si="12"/>
        <v>1.8000000000000044E-2</v>
      </c>
      <c r="R17" s="157">
        <f t="shared" si="12"/>
        <v>1.7999999999999947E-2</v>
      </c>
      <c r="S17" s="157">
        <f t="shared" si="12"/>
        <v>1.7999999999999981E-2</v>
      </c>
      <c r="T17" s="157">
        <f t="shared" si="12"/>
        <v>1.7999999999999999E-2</v>
      </c>
      <c r="U17" s="157">
        <f t="shared" si="12"/>
        <v>1.8000000000000013E-2</v>
      </c>
      <c r="V17" s="157">
        <f t="shared" si="12"/>
        <v>1.8000000000000103E-2</v>
      </c>
      <c r="W17" s="157">
        <f t="shared" si="12"/>
        <v>1.7999999999999957E-2</v>
      </c>
      <c r="X17" s="157">
        <f t="shared" si="12"/>
        <v>1.799999999999995E-2</v>
      </c>
      <c r="Y17" s="157">
        <f t="shared" si="12"/>
        <v>1.8000000000000026E-2</v>
      </c>
      <c r="Z17" s="157">
        <f t="shared" si="12"/>
        <v>1.799999999999994E-2</v>
      </c>
      <c r="AA17" s="157">
        <f t="shared" si="12"/>
        <v>1.7999999999999943E-2</v>
      </c>
      <c r="AB17" s="157">
        <f t="shared" si="12"/>
        <v>1.8000000000000054E-2</v>
      </c>
      <c r="AC17" s="157">
        <f t="shared" si="12"/>
        <v>1.8000000000000044E-2</v>
      </c>
      <c r="AD17" s="157">
        <f t="shared" si="12"/>
        <v>1.7999999999999985E-2</v>
      </c>
      <c r="AE17" s="157">
        <f t="shared" si="12"/>
        <v>1.7999999999999981E-2</v>
      </c>
      <c r="AF17" s="157">
        <f t="shared" si="12"/>
        <v>1.7999999999999985E-2</v>
      </c>
      <c r="AG17" s="157">
        <f t="shared" si="12"/>
        <v>1.7999999999999943E-2</v>
      </c>
      <c r="AH17" s="157">
        <f t="shared" si="12"/>
        <v>1.7999999999999974E-2</v>
      </c>
      <c r="AI17" s="157">
        <f t="shared" si="12"/>
        <v>1.7999999999999985E-2</v>
      </c>
      <c r="AJ17" s="157">
        <f t="shared" si="12"/>
        <v>1.8000000000000033E-2</v>
      </c>
      <c r="AK17" s="157">
        <f t="shared" si="12"/>
        <v>1.8000000000000023E-2</v>
      </c>
    </row>
    <row r="18" spans="1:37" x14ac:dyDescent="0.2">
      <c r="A18" s="89"/>
      <c r="H18" s="157"/>
      <c r="I18" s="157"/>
      <c r="J18" s="157"/>
      <c r="K18" s="157"/>
      <c r="L18" s="157"/>
      <c r="M18" s="157"/>
      <c r="N18" s="157"/>
      <c r="O18" s="157"/>
      <c r="P18" s="157"/>
      <c r="Q18" s="157"/>
      <c r="R18" s="157"/>
      <c r="S18" s="157"/>
      <c r="T18" s="157"/>
      <c r="U18" s="157"/>
      <c r="V18" s="157"/>
      <c r="W18" s="157"/>
      <c r="X18" s="157"/>
      <c r="Y18" s="157"/>
      <c r="Z18" s="157"/>
      <c r="AA18" s="157"/>
      <c r="AB18" s="157"/>
      <c r="AC18" s="157"/>
      <c r="AD18" s="157"/>
      <c r="AE18" s="157"/>
      <c r="AF18" s="157"/>
      <c r="AG18" s="157"/>
      <c r="AH18" s="157"/>
      <c r="AI18" s="157"/>
      <c r="AJ18" s="157"/>
      <c r="AK18" s="157"/>
    </row>
    <row r="19" spans="1:37" ht="12" thickBot="1" x14ac:dyDescent="0.25">
      <c r="A19" s="81" t="s">
        <v>158</v>
      </c>
      <c r="E19" s="158"/>
    </row>
    <row r="20" spans="1:37" s="81" customFormat="1" ht="12" thickBot="1" x14ac:dyDescent="0.25">
      <c r="A20" s="128" t="s">
        <v>74</v>
      </c>
      <c r="B20" s="92">
        <f t="shared" ref="B20:AK20" si="13">B2</f>
        <v>2015</v>
      </c>
      <c r="C20" s="92">
        <f t="shared" si="13"/>
        <v>2016</v>
      </c>
      <c r="D20" s="92">
        <f t="shared" si="13"/>
        <v>2017</v>
      </c>
      <c r="E20" s="92">
        <f t="shared" si="13"/>
        <v>2018</v>
      </c>
      <c r="F20" s="92">
        <f t="shared" si="13"/>
        <v>2019</v>
      </c>
      <c r="G20" s="92">
        <f t="shared" si="13"/>
        <v>2020</v>
      </c>
      <c r="H20" s="92">
        <f t="shared" si="13"/>
        <v>2021</v>
      </c>
      <c r="I20" s="92">
        <f t="shared" si="13"/>
        <v>2022</v>
      </c>
      <c r="J20" s="92">
        <f t="shared" si="13"/>
        <v>2023</v>
      </c>
      <c r="K20" s="92">
        <f t="shared" si="13"/>
        <v>2024</v>
      </c>
      <c r="L20" s="92">
        <f t="shared" si="13"/>
        <v>2025</v>
      </c>
      <c r="M20" s="92">
        <f t="shared" si="13"/>
        <v>2026</v>
      </c>
      <c r="N20" s="92">
        <f t="shared" si="13"/>
        <v>2027</v>
      </c>
      <c r="O20" s="92">
        <f t="shared" si="13"/>
        <v>2028</v>
      </c>
      <c r="P20" s="92">
        <f t="shared" si="13"/>
        <v>2029</v>
      </c>
      <c r="Q20" s="92">
        <f t="shared" si="13"/>
        <v>2030</v>
      </c>
      <c r="R20" s="92">
        <f t="shared" si="13"/>
        <v>2031</v>
      </c>
      <c r="S20" s="92">
        <f t="shared" si="13"/>
        <v>2032</v>
      </c>
      <c r="T20" s="92">
        <f t="shared" si="13"/>
        <v>2033</v>
      </c>
      <c r="U20" s="92">
        <f t="shared" si="13"/>
        <v>2034</v>
      </c>
      <c r="V20" s="92">
        <f t="shared" si="13"/>
        <v>2035</v>
      </c>
      <c r="W20" s="92">
        <f t="shared" si="13"/>
        <v>2036</v>
      </c>
      <c r="X20" s="92">
        <f t="shared" si="13"/>
        <v>2037</v>
      </c>
      <c r="Y20" s="92">
        <f t="shared" si="13"/>
        <v>2038</v>
      </c>
      <c r="Z20" s="92">
        <f t="shared" si="13"/>
        <v>2039</v>
      </c>
      <c r="AA20" s="92">
        <f t="shared" si="13"/>
        <v>2040</v>
      </c>
      <c r="AB20" s="92">
        <f t="shared" si="13"/>
        <v>2041</v>
      </c>
      <c r="AC20" s="92">
        <f t="shared" si="13"/>
        <v>2042</v>
      </c>
      <c r="AD20" s="92">
        <f t="shared" si="13"/>
        <v>2043</v>
      </c>
      <c r="AE20" s="92">
        <f t="shared" si="13"/>
        <v>2044</v>
      </c>
      <c r="AF20" s="92">
        <f t="shared" si="13"/>
        <v>2045</v>
      </c>
      <c r="AG20" s="92">
        <f t="shared" si="13"/>
        <v>2046</v>
      </c>
      <c r="AH20" s="92">
        <f t="shared" si="13"/>
        <v>2047</v>
      </c>
      <c r="AI20" s="92">
        <f t="shared" si="13"/>
        <v>2048</v>
      </c>
      <c r="AJ20" s="92">
        <f t="shared" si="13"/>
        <v>2049</v>
      </c>
      <c r="AK20" s="92">
        <f t="shared" si="13"/>
        <v>2050</v>
      </c>
    </row>
    <row r="21" spans="1:37" x14ac:dyDescent="0.2">
      <c r="A21" s="53" t="s">
        <v>89</v>
      </c>
      <c r="B21" s="84">
        <f>monthly_data!$O$4*0.264172/1000</f>
        <v>636.65452000000005</v>
      </c>
      <c r="C21" s="84">
        <f>monthly_data!$O16*0.264172/1000</f>
        <v>626.351812</v>
      </c>
      <c r="D21" s="84">
        <f>monthly_data!$O28*0.264172/1000</f>
        <v>699.79162800000006</v>
      </c>
      <c r="E21" s="84">
        <f>monthly_data!$O40*0.264172/1000</f>
        <v>705.86758400000008</v>
      </c>
      <c r="F21" s="84">
        <f>monthly_data!$O$52*0.264172/1000</f>
        <v>860.60157790400001</v>
      </c>
      <c r="G21" s="84">
        <f>monthly_data!$O64*0.264172/1000</f>
        <v>978.35545438800011</v>
      </c>
      <c r="H21" s="84">
        <f>monthly_data!$O76*0.264172/1000</f>
        <v>895.51454942400005</v>
      </c>
      <c r="I21" s="84">
        <f>monthly_data!$O88*0.264172/1000</f>
        <v>936.14182547600012</v>
      </c>
      <c r="J21" s="84">
        <f>monthly_data!$O100*0.264172/1000</f>
        <v>991.2494255360001</v>
      </c>
      <c r="K21" s="84">
        <f>monthly_data!$O112*0.264172/1000</f>
        <v>916.95976821199997</v>
      </c>
      <c r="L21" s="85">
        <f>L$33*(SUM(G21:K21)/SUM(G$33:K$33))</f>
        <v>973.94815788408471</v>
      </c>
      <c r="M21" s="85">
        <f t="shared" ref="M21:V31" si="14">M$33*(SUM(H21:L21)/SUM(H$33:L$33))</f>
        <v>973.14039522993949</v>
      </c>
      <c r="N21" s="85">
        <f t="shared" si="14"/>
        <v>985.55862033149162</v>
      </c>
      <c r="O21" s="85">
        <f t="shared" si="14"/>
        <v>999.28480316357081</v>
      </c>
      <c r="P21" s="85">
        <f t="shared" si="14"/>
        <v>1002.5183968930905</v>
      </c>
      <c r="Q21" s="85">
        <f t="shared" si="14"/>
        <v>1022.8206660940533</v>
      </c>
      <c r="R21" s="85">
        <f t="shared" si="14"/>
        <v>1033.1664139382347</v>
      </c>
      <c r="S21" s="85">
        <f t="shared" si="14"/>
        <v>1045.8279476171467</v>
      </c>
      <c r="T21" s="85">
        <f t="shared" si="14"/>
        <v>1058.5437449993383</v>
      </c>
      <c r="U21" s="85">
        <f t="shared" si="14"/>
        <v>1071.0536846813686</v>
      </c>
      <c r="V21" s="85">
        <f t="shared" si="14"/>
        <v>1085.4920139709413</v>
      </c>
      <c r="W21" s="85">
        <f t="shared" ref="W21:W31" si="15">W$33*(SUM(R21:V21)/SUM(R$33:V$33))</f>
        <v>1098.7176604085269</v>
      </c>
      <c r="X21" s="85">
        <f t="shared" ref="X21:AK31" si="16">X$33*(SUM(S21:W21)/SUM(S$33:W$33))</f>
        <v>1112.5448471440016</v>
      </c>
      <c r="Y21" s="85">
        <f t="shared" si="16"/>
        <v>1126.6179465725081</v>
      </c>
      <c r="Z21" s="85">
        <f t="shared" si="16"/>
        <v>1140.9768242691855</v>
      </c>
      <c r="AA21" s="85">
        <f t="shared" si="16"/>
        <v>1155.7236825691252</v>
      </c>
      <c r="AB21" s="85">
        <f t="shared" si="16"/>
        <v>1170.5386598441721</v>
      </c>
      <c r="AC21" s="85">
        <f t="shared" si="16"/>
        <v>1185.6878407841584</v>
      </c>
      <c r="AD21" s="85">
        <f t="shared" si="16"/>
        <v>1201.1157764427237</v>
      </c>
      <c r="AE21" s="85">
        <f t="shared" si="16"/>
        <v>1216.8293682356898</v>
      </c>
      <c r="AF21" s="85">
        <f t="shared" si="16"/>
        <v>1232.8286670267685</v>
      </c>
      <c r="AG21" s="85">
        <f t="shared" si="16"/>
        <v>1249.0924798542385</v>
      </c>
      <c r="AH21" s="85">
        <f t="shared" si="16"/>
        <v>1265.6617120316275</v>
      </c>
      <c r="AI21" s="85">
        <f t="shared" si="16"/>
        <v>1282.5304556878766</v>
      </c>
      <c r="AJ21" s="85">
        <f t="shared" si="16"/>
        <v>1299.7031031996553</v>
      </c>
      <c r="AK21" s="85">
        <f t="shared" si="16"/>
        <v>1317.1835254140965</v>
      </c>
    </row>
    <row r="22" spans="1:37" x14ac:dyDescent="0.2">
      <c r="A22" s="53" t="s">
        <v>90</v>
      </c>
      <c r="B22" s="84">
        <f>monthly_data!$O5*0.264172/1000</f>
        <v>610.5014920000001</v>
      </c>
      <c r="C22" s="84">
        <f>monthly_data!$O17*0.264172/1000</f>
        <v>576.159132</v>
      </c>
      <c r="D22" s="84">
        <f>monthly_data!$O29*0.264172/1000</f>
        <v>645.63636800000006</v>
      </c>
      <c r="E22" s="84">
        <f>monthly_data!$O41*0.264172/1000</f>
        <v>648.27808800000003</v>
      </c>
      <c r="F22" s="84">
        <f>monthly_data!$O53*0.264172/1000</f>
        <v>813.12934116000008</v>
      </c>
      <c r="G22" s="84">
        <f>monthly_data!$O65*0.264172/1000</f>
        <v>898.42546069200012</v>
      </c>
      <c r="H22" s="84">
        <f>monthly_data!$O77*0.264172/1000</f>
        <v>819.40289781600006</v>
      </c>
      <c r="I22" s="84">
        <f>monthly_data!$O89*0.264172/1000</f>
        <v>879.93421320800007</v>
      </c>
      <c r="J22" s="84">
        <f>monthly_data!$O101*0.264172/1000</f>
        <v>850.12795061999998</v>
      </c>
      <c r="K22" s="84">
        <f>monthly_data!$O113*0.264172/1000</f>
        <v>917.74884997599997</v>
      </c>
      <c r="L22" s="85">
        <f t="shared" ref="L22:L31" si="17">L$33*(SUM(G22:K22)/SUM(G$33:K$33))</f>
        <v>901.16728400179079</v>
      </c>
      <c r="M22" s="85">
        <f t="shared" si="14"/>
        <v>901.82778740174911</v>
      </c>
      <c r="N22" s="85">
        <f t="shared" si="14"/>
        <v>915.49319123724342</v>
      </c>
      <c r="O22" s="85">
        <f t="shared" si="14"/>
        <v>926.10812820616661</v>
      </c>
      <c r="P22" s="85">
        <f t="shared" si="14"/>
        <v>943.27431454574742</v>
      </c>
      <c r="Q22" s="85">
        <f t="shared" si="14"/>
        <v>950.98108515632885</v>
      </c>
      <c r="R22" s="85">
        <f t="shared" si="14"/>
        <v>961.50700734046723</v>
      </c>
      <c r="S22" s="85">
        <f t="shared" si="14"/>
        <v>974.08177825501912</v>
      </c>
      <c r="T22" s="85">
        <f t="shared" si="14"/>
        <v>986.4342018461067</v>
      </c>
      <c r="U22" s="85">
        <f t="shared" si="14"/>
        <v>999.15077264160709</v>
      </c>
      <c r="V22" s="85">
        <f t="shared" si="14"/>
        <v>1010.9478498348847</v>
      </c>
      <c r="W22" s="85">
        <f t="shared" si="15"/>
        <v>1023.5971540098467</v>
      </c>
      <c r="X22" s="85">
        <f t="shared" si="16"/>
        <v>1036.6908384179092</v>
      </c>
      <c r="Y22" s="85">
        <f t="shared" si="16"/>
        <v>1049.8959772574533</v>
      </c>
      <c r="Z22" s="85">
        <f t="shared" si="16"/>
        <v>1063.2818803856976</v>
      </c>
      <c r="AA22" s="85">
        <f t="shared" si="16"/>
        <v>1076.810490929859</v>
      </c>
      <c r="AB22" s="85">
        <f t="shared" si="16"/>
        <v>1090.702480731748</v>
      </c>
      <c r="AC22" s="85">
        <f t="shared" si="16"/>
        <v>1104.8564107437201</v>
      </c>
      <c r="AD22" s="85">
        <f t="shared" si="16"/>
        <v>1119.2344390848696</v>
      </c>
      <c r="AE22" s="85">
        <f t="shared" si="16"/>
        <v>1133.8600292871231</v>
      </c>
      <c r="AF22" s="85">
        <f t="shared" si="16"/>
        <v>1148.7471291164406</v>
      </c>
      <c r="AG22" s="85">
        <f t="shared" si="16"/>
        <v>1163.9205084011767</v>
      </c>
      <c r="AH22" s="85">
        <f t="shared" si="16"/>
        <v>1179.3642097266918</v>
      </c>
      <c r="AI22" s="85">
        <f t="shared" si="16"/>
        <v>1195.0800429841852</v>
      </c>
      <c r="AJ22" s="85">
        <f t="shared" si="16"/>
        <v>1211.0780667508288</v>
      </c>
      <c r="AK22" s="85">
        <f t="shared" si="16"/>
        <v>1227.3655550655042</v>
      </c>
    </row>
    <row r="23" spans="1:37" x14ac:dyDescent="0.2">
      <c r="A23" s="53" t="s">
        <v>91</v>
      </c>
      <c r="B23" s="84">
        <f>monthly_data!$O6*0.264172/1000</f>
        <v>650.12729200000001</v>
      </c>
      <c r="C23" s="84">
        <f>monthly_data!$O18*0.264172/1000</f>
        <v>619.21916800000008</v>
      </c>
      <c r="D23" s="84">
        <f>monthly_data!$O30*0.264172/1000</f>
        <v>709.30182000000002</v>
      </c>
      <c r="E23" s="84">
        <f>monthly_data!$O42*0.264172/1000</f>
        <v>727.26551600000005</v>
      </c>
      <c r="F23" s="84">
        <f>monthly_data!$O54*0.264172/1000</f>
        <v>924.48021670800006</v>
      </c>
      <c r="G23" s="84">
        <f>monthly_data!$O66*0.264172/1000</f>
        <v>957.90748489999999</v>
      </c>
      <c r="H23" s="84">
        <f>monthly_data!$O78*0.264172/1000</f>
        <v>930.42620008400002</v>
      </c>
      <c r="I23" s="84">
        <f>monthly_data!$O90*0.264172/1000</f>
        <v>946.79297634400007</v>
      </c>
      <c r="J23" s="84">
        <f>monthly_data!$O102*0.264172/1000</f>
        <v>976.11791754800015</v>
      </c>
      <c r="K23" s="84">
        <f>monthly_data!$O114*0.264172/1000</f>
        <v>967.44224489600003</v>
      </c>
      <c r="L23" s="85">
        <f t="shared" si="17"/>
        <v>986.42967474272439</v>
      </c>
      <c r="M23" s="85">
        <f t="shared" si="14"/>
        <v>992.42132821900725</v>
      </c>
      <c r="N23" s="85">
        <f t="shared" si="14"/>
        <v>1001.5541349535569</v>
      </c>
      <c r="O23" s="85">
        <f t="shared" si="14"/>
        <v>1016.4407540160936</v>
      </c>
      <c r="P23" s="85">
        <f t="shared" si="14"/>
        <v>1026.3768396073372</v>
      </c>
      <c r="Q23" s="85">
        <f t="shared" si="14"/>
        <v>1041.2215406606026</v>
      </c>
      <c r="R23" s="85">
        <f t="shared" si="14"/>
        <v>1052.7983548554848</v>
      </c>
      <c r="S23" s="85">
        <f t="shared" si="14"/>
        <v>1065.5367440135667</v>
      </c>
      <c r="T23" s="85">
        <f t="shared" si="14"/>
        <v>1079.0267723699058</v>
      </c>
      <c r="U23" s="85">
        <f t="shared" si="14"/>
        <v>1092.231112981872</v>
      </c>
      <c r="V23" s="85">
        <f t="shared" si="14"/>
        <v>1106.1174476141898</v>
      </c>
      <c r="W23" s="85">
        <f t="shared" si="15"/>
        <v>1119.8089339040641</v>
      </c>
      <c r="X23" s="85">
        <f t="shared" si="16"/>
        <v>1133.9432728991185</v>
      </c>
      <c r="Y23" s="85">
        <f t="shared" si="16"/>
        <v>1148.3714302207263</v>
      </c>
      <c r="Z23" s="85">
        <f t="shared" si="16"/>
        <v>1162.9984287291315</v>
      </c>
      <c r="AA23" s="85">
        <f t="shared" si="16"/>
        <v>1177.9249415764702</v>
      </c>
      <c r="AB23" s="85">
        <f t="shared" si="16"/>
        <v>1193.0716044289879</v>
      </c>
      <c r="AC23" s="85">
        <f t="shared" si="16"/>
        <v>1208.5246905363529</v>
      </c>
      <c r="AD23" s="85">
        <f t="shared" si="16"/>
        <v>1224.2559385503266</v>
      </c>
      <c r="AE23" s="85">
        <f t="shared" si="16"/>
        <v>1240.2621669179746</v>
      </c>
      <c r="AF23" s="85">
        <f t="shared" si="16"/>
        <v>1256.559273557493</v>
      </c>
      <c r="AG23" s="85">
        <f t="shared" si="16"/>
        <v>1273.1455377289549</v>
      </c>
      <c r="AH23" s="85">
        <f t="shared" si="16"/>
        <v>1290.0353830097042</v>
      </c>
      <c r="AI23" s="85">
        <f t="shared" si="16"/>
        <v>1307.2282951537816</v>
      </c>
      <c r="AJ23" s="85">
        <f t="shared" si="16"/>
        <v>1324.7295297917074</v>
      </c>
      <c r="AK23" s="85">
        <f t="shared" si="16"/>
        <v>1342.5460994404675</v>
      </c>
    </row>
    <row r="24" spans="1:37" x14ac:dyDescent="0.2">
      <c r="A24" s="53" t="s">
        <v>92</v>
      </c>
      <c r="B24" s="84">
        <f>monthly_data!$O7*0.264172/1000</f>
        <v>534.68412799999999</v>
      </c>
      <c r="C24" s="84">
        <f>monthly_data!$O19*0.264172/1000</f>
        <v>602.31216000000006</v>
      </c>
      <c r="D24" s="84">
        <f>monthly_data!$O31*0.264172/1000</f>
        <v>582.76343200000008</v>
      </c>
      <c r="E24" s="84">
        <f>monthly_data!$O43*0.264172/1000</f>
        <v>410.78746000000001</v>
      </c>
      <c r="F24" s="84">
        <f>monthly_data!$O55*0.264172/1000</f>
        <v>753.32714048800005</v>
      </c>
      <c r="G24" s="84">
        <f>monthly_data!$O67*0.264172/1000</f>
        <v>721.74643457600007</v>
      </c>
      <c r="H24" s="84">
        <f>monthly_data!$O79*0.264172/1000</f>
        <v>781.2889541720001</v>
      </c>
      <c r="I24" s="84">
        <f>monthly_data!$O91*0.264172/1000</f>
        <v>827.01844823200008</v>
      </c>
      <c r="J24" s="84">
        <f>monthly_data!$O103*0.264172/1000</f>
        <v>821.05397281600005</v>
      </c>
      <c r="K24" s="84">
        <f>monthly_data!$O115*0.264172/1000</f>
        <v>721.63099141200007</v>
      </c>
      <c r="L24" s="85">
        <f t="shared" si="17"/>
        <v>799.42139272138354</v>
      </c>
      <c r="M24" s="85">
        <f t="shared" si="14"/>
        <v>815.54075534655647</v>
      </c>
      <c r="N24" s="85">
        <f t="shared" si="14"/>
        <v>819.61202536882968</v>
      </c>
      <c r="O24" s="85">
        <f t="shared" si="14"/>
        <v>821.01477776669049</v>
      </c>
      <c r="P24" s="85">
        <f t="shared" si="14"/>
        <v>822.29844896427983</v>
      </c>
      <c r="Q24" s="85">
        <f t="shared" si="14"/>
        <v>845.2709402639764</v>
      </c>
      <c r="R24" s="85">
        <f t="shared" si="14"/>
        <v>854.95293309725957</v>
      </c>
      <c r="S24" s="85">
        <f t="shared" si="14"/>
        <v>863.30289485664321</v>
      </c>
      <c r="T24" s="85">
        <f t="shared" si="14"/>
        <v>872.54256964037859</v>
      </c>
      <c r="U24" s="85">
        <f t="shared" si="14"/>
        <v>883.41061757420141</v>
      </c>
      <c r="V24" s="85">
        <f t="shared" si="14"/>
        <v>896.27056447436132</v>
      </c>
      <c r="W24" s="85">
        <f t="shared" si="15"/>
        <v>907.03571671560371</v>
      </c>
      <c r="X24" s="85">
        <f t="shared" si="16"/>
        <v>918.0287316166058</v>
      </c>
      <c r="Y24" s="85">
        <f t="shared" si="16"/>
        <v>929.57354839502807</v>
      </c>
      <c r="Z24" s="85">
        <f t="shared" si="16"/>
        <v>941.60026051261502</v>
      </c>
      <c r="AA24" s="85">
        <f t="shared" si="16"/>
        <v>953.87096114641724</v>
      </c>
      <c r="AB24" s="85">
        <f t="shared" si="16"/>
        <v>966.022611145209</v>
      </c>
      <c r="AC24" s="85">
        <f t="shared" si="16"/>
        <v>978.46559720081996</v>
      </c>
      <c r="AD24" s="85">
        <f t="shared" si="16"/>
        <v>991.21321006709047</v>
      </c>
      <c r="AE24" s="85">
        <f t="shared" si="16"/>
        <v>1004.2141761613002</v>
      </c>
      <c r="AF24" s="85">
        <f t="shared" si="16"/>
        <v>1017.4210542707801</v>
      </c>
      <c r="AG24" s="85">
        <f t="shared" si="16"/>
        <v>1030.8259707369493</v>
      </c>
      <c r="AH24" s="85">
        <f t="shared" si="16"/>
        <v>1044.4949108838136</v>
      </c>
      <c r="AI24" s="85">
        <f t="shared" si="16"/>
        <v>1058.4222657840023</v>
      </c>
      <c r="AJ24" s="85">
        <f t="shared" si="16"/>
        <v>1072.5984879375983</v>
      </c>
      <c r="AK24" s="85">
        <f t="shared" si="16"/>
        <v>1087.0227035466744</v>
      </c>
    </row>
    <row r="25" spans="1:37" x14ac:dyDescent="0.2">
      <c r="A25" s="53" t="s">
        <v>93</v>
      </c>
      <c r="B25" s="84">
        <f>monthly_data!$O8*0.264172/1000</f>
        <v>529.40068800000006</v>
      </c>
      <c r="C25" s="84">
        <f>monthly_data!$O20*0.264172/1000</f>
        <v>505.88938000000007</v>
      </c>
      <c r="D25" s="84">
        <f>monthly_data!$O32*0.264172/1000</f>
        <v>616.57744800000012</v>
      </c>
      <c r="E25" s="84">
        <f>monthly_data!$O44*0.264172/1000</f>
        <v>389.65370000000001</v>
      </c>
      <c r="F25" s="84">
        <f>monthly_data!$O56*0.264172/1000</f>
        <v>792.43569171200011</v>
      </c>
      <c r="G25" s="84">
        <f>monthly_data!$O68*0.264172/1000</f>
        <v>834.05995289200007</v>
      </c>
      <c r="H25" s="84">
        <f>monthly_data!$O80*0.264172/1000</f>
        <v>708.76898507600015</v>
      </c>
      <c r="I25" s="84">
        <f>monthly_data!$O92*0.264172/1000</f>
        <v>774.98950866000007</v>
      </c>
      <c r="J25" s="84">
        <f>monthly_data!$O104*0.264172/1000</f>
        <v>856.19677397600003</v>
      </c>
      <c r="K25" s="84">
        <f>monthly_data!$O116*0.264172/1000</f>
        <v>827.24748535599997</v>
      </c>
      <c r="L25" s="85">
        <f t="shared" si="17"/>
        <v>825.95165055926952</v>
      </c>
      <c r="M25" s="85">
        <f t="shared" si="14"/>
        <v>824.36432154455099</v>
      </c>
      <c r="N25" s="85">
        <f t="shared" si="14"/>
        <v>845.13509228297869</v>
      </c>
      <c r="O25" s="85">
        <f t="shared" si="14"/>
        <v>862.63798680407581</v>
      </c>
      <c r="P25" s="85">
        <f t="shared" si="14"/>
        <v>865.32698519378278</v>
      </c>
      <c r="Q25" s="85">
        <f t="shared" si="14"/>
        <v>875.43634580345963</v>
      </c>
      <c r="R25" s="85">
        <f t="shared" si="14"/>
        <v>885.87828459035825</v>
      </c>
      <c r="S25" s="85">
        <f t="shared" si="14"/>
        <v>898.81785174039749</v>
      </c>
      <c r="T25" s="85">
        <f t="shared" si="14"/>
        <v>910.13726052287325</v>
      </c>
      <c r="U25" s="85">
        <f t="shared" si="14"/>
        <v>920.17726998274964</v>
      </c>
      <c r="V25" s="85">
        <f t="shared" si="14"/>
        <v>931.74537682464495</v>
      </c>
      <c r="W25" s="85">
        <f t="shared" si="15"/>
        <v>943.61958490836787</v>
      </c>
      <c r="X25" s="85">
        <f t="shared" si="16"/>
        <v>955.79451666749958</v>
      </c>
      <c r="Y25" s="85">
        <f t="shared" si="16"/>
        <v>967.81416375867923</v>
      </c>
      <c r="Z25" s="85">
        <f t="shared" si="16"/>
        <v>979.98256255769172</v>
      </c>
      <c r="AA25" s="85">
        <f t="shared" si="16"/>
        <v>992.5963618657579</v>
      </c>
      <c r="AB25" s="85">
        <f t="shared" si="16"/>
        <v>1005.4308316895555</v>
      </c>
      <c r="AC25" s="85">
        <f t="shared" si="16"/>
        <v>1018.4682783828299</v>
      </c>
      <c r="AD25" s="85">
        <f t="shared" si="16"/>
        <v>1031.6884331919389</v>
      </c>
      <c r="AE25" s="85">
        <f t="shared" si="16"/>
        <v>1045.161583560289</v>
      </c>
      <c r="AF25" s="85">
        <f t="shared" si="16"/>
        <v>1058.9094718098875</v>
      </c>
      <c r="AG25" s="85">
        <f t="shared" si="16"/>
        <v>1072.8966903725691</v>
      </c>
      <c r="AH25" s="85">
        <f t="shared" si="16"/>
        <v>1087.1271778668922</v>
      </c>
      <c r="AI25" s="85">
        <f t="shared" si="16"/>
        <v>1101.6093735795325</v>
      </c>
      <c r="AJ25" s="85">
        <f t="shared" si="16"/>
        <v>1116.3576936714064</v>
      </c>
      <c r="AK25" s="85">
        <f t="shared" si="16"/>
        <v>1131.3749361947478</v>
      </c>
    </row>
    <row r="26" spans="1:37" x14ac:dyDescent="0.2">
      <c r="A26" s="53" t="s">
        <v>94</v>
      </c>
      <c r="B26" s="84">
        <f>monthly_data!$O9*0.264172/1000</f>
        <v>616.57744800000012</v>
      </c>
      <c r="C26" s="84">
        <f>monthly_data!$O21*0.264172/1000</f>
        <v>564.00722000000007</v>
      </c>
      <c r="D26" s="84">
        <f>monthly_data!$O33*0.264172/1000</f>
        <v>679.71455600000013</v>
      </c>
      <c r="E26" s="84">
        <f>monthly_data!$O45*0.264172/1000</f>
        <v>632.95611200000008</v>
      </c>
      <c r="F26" s="84">
        <f>monthly_data!$O57*0.264172/1000</f>
        <v>858.15534518400011</v>
      </c>
      <c r="G26" s="84">
        <f>monthly_data!$O69*0.264172/1000</f>
        <v>743.54273795200004</v>
      </c>
      <c r="H26" s="84">
        <f>monthly_data!$O81*0.264172/1000</f>
        <v>877.12289478399998</v>
      </c>
      <c r="I26" s="84">
        <f>monthly_data!$O93*0.264172/1000</f>
        <v>837.7419822280001</v>
      </c>
      <c r="J26" s="84">
        <f>monthly_data!$O105*0.264172/1000</f>
        <v>842.4896814120001</v>
      </c>
      <c r="K26" s="84">
        <f>monthly_data!$O117*0.264172/1000</f>
        <v>885.28026197200006</v>
      </c>
      <c r="L26" s="85">
        <f t="shared" si="17"/>
        <v>864.12228287373762</v>
      </c>
      <c r="M26" s="85">
        <f t="shared" si="14"/>
        <v>889.10583930065582</v>
      </c>
      <c r="N26" s="85">
        <f t="shared" si="14"/>
        <v>888.32832362942338</v>
      </c>
      <c r="O26" s="85">
        <f t="shared" si="14"/>
        <v>901.9481532992163</v>
      </c>
      <c r="P26" s="85">
        <f t="shared" si="14"/>
        <v>915.66042979851159</v>
      </c>
      <c r="Q26" s="85">
        <f t="shared" si="14"/>
        <v>924.30276927626971</v>
      </c>
      <c r="R26" s="85">
        <f t="shared" si="14"/>
        <v>936.9723997876539</v>
      </c>
      <c r="S26" s="85">
        <f t="shared" si="14"/>
        <v>947.09252242267678</v>
      </c>
      <c r="T26" s="85">
        <f t="shared" si="14"/>
        <v>959.47581333440121</v>
      </c>
      <c r="U26" s="85">
        <f t="shared" si="14"/>
        <v>971.60633144387702</v>
      </c>
      <c r="V26" s="85">
        <f t="shared" si="14"/>
        <v>983.4122218126505</v>
      </c>
      <c r="W26" s="85">
        <f t="shared" si="15"/>
        <v>995.87804596855062</v>
      </c>
      <c r="X26" s="85">
        <f t="shared" si="16"/>
        <v>1008.3051423260279</v>
      </c>
      <c r="Y26" s="85">
        <f t="shared" si="16"/>
        <v>1021.214704937757</v>
      </c>
      <c r="Z26" s="85">
        <f t="shared" si="16"/>
        <v>1034.2371673847049</v>
      </c>
      <c r="AA26" s="85">
        <f t="shared" si="16"/>
        <v>1047.4484742747834</v>
      </c>
      <c r="AB26" s="85">
        <f t="shared" si="16"/>
        <v>1060.9553324480837</v>
      </c>
      <c r="AC26" s="85">
        <f t="shared" si="16"/>
        <v>1074.6821270283306</v>
      </c>
      <c r="AD26" s="85">
        <f t="shared" si="16"/>
        <v>1088.6826652277141</v>
      </c>
      <c r="AE26" s="85">
        <f t="shared" si="16"/>
        <v>1102.9136415411499</v>
      </c>
      <c r="AF26" s="85">
        <f t="shared" si="16"/>
        <v>1117.3995451697622</v>
      </c>
      <c r="AG26" s="85">
        <f t="shared" si="16"/>
        <v>1132.1541819947922</v>
      </c>
      <c r="AH26" s="85">
        <f t="shared" si="16"/>
        <v>1147.1720445338431</v>
      </c>
      <c r="AI26" s="85">
        <f t="shared" si="16"/>
        <v>1162.4622023698184</v>
      </c>
      <c r="AJ26" s="85">
        <f t="shared" si="16"/>
        <v>1178.0244215556274</v>
      </c>
      <c r="AK26" s="85">
        <f t="shared" si="16"/>
        <v>1193.867428455939</v>
      </c>
    </row>
    <row r="27" spans="1:37" x14ac:dyDescent="0.2">
      <c r="A27" s="53" t="s">
        <v>95</v>
      </c>
      <c r="B27" s="84">
        <f>monthly_data!$O10*0.264172/1000</f>
        <v>643.52299200000004</v>
      </c>
      <c r="C27" s="84">
        <f>monthly_data!$O22*0.264172/1000</f>
        <v>650.39146400000004</v>
      </c>
      <c r="D27" s="84">
        <f>monthly_data!$O34*0.264172/1000</f>
        <v>703.22586400000012</v>
      </c>
      <c r="E27" s="84">
        <f>monthly_data!$O46*0.264172/1000</f>
        <v>708.77347600000007</v>
      </c>
      <c r="F27" s="84">
        <f>monthly_data!$O58*0.264172/1000</f>
        <v>905.97074135600008</v>
      </c>
      <c r="G27" s="84">
        <f>monthly_data!$O70*0.264172/1000</f>
        <v>801.07041770399996</v>
      </c>
      <c r="H27" s="84">
        <f>monthly_data!$O82*0.264172/1000</f>
        <v>910.29153858800009</v>
      </c>
      <c r="I27" s="84">
        <f>monthly_data!$O94*0.264172/1000</f>
        <v>959.80793826800004</v>
      </c>
      <c r="J27" s="84">
        <f>monthly_data!$O106*0.264172/1000</f>
        <v>910.96966811200014</v>
      </c>
      <c r="K27" s="84">
        <f>monthly_data!$O118*0.264172/1000</f>
        <v>953.52645645200005</v>
      </c>
      <c r="L27" s="85">
        <f t="shared" si="17"/>
        <v>936.26465198121639</v>
      </c>
      <c r="M27" s="85">
        <f t="shared" si="14"/>
        <v>964.27289170857637</v>
      </c>
      <c r="N27" s="85">
        <f t="shared" si="14"/>
        <v>971.85998168316985</v>
      </c>
      <c r="O27" s="85">
        <f t="shared" si="14"/>
        <v>977.8240624247801</v>
      </c>
      <c r="P27" s="85">
        <f t="shared" si="14"/>
        <v>993.18484343214891</v>
      </c>
      <c r="Q27" s="85">
        <f t="shared" si="14"/>
        <v>1003.9489339597455</v>
      </c>
      <c r="R27" s="85">
        <f t="shared" si="14"/>
        <v>1018.1908941344014</v>
      </c>
      <c r="S27" s="85">
        <f t="shared" si="14"/>
        <v>1029.5827192404101</v>
      </c>
      <c r="T27" s="85">
        <f t="shared" si="14"/>
        <v>1041.7669828287681</v>
      </c>
      <c r="U27" s="85">
        <f t="shared" si="14"/>
        <v>1055.2451959838454</v>
      </c>
      <c r="V27" s="85">
        <f t="shared" si="14"/>
        <v>1068.3367967778099</v>
      </c>
      <c r="W27" s="85">
        <f t="shared" si="15"/>
        <v>1081.9152218061154</v>
      </c>
      <c r="X27" s="85">
        <f t="shared" si="16"/>
        <v>1095.359812686291</v>
      </c>
      <c r="Y27" s="85">
        <f t="shared" si="16"/>
        <v>1109.2343706553686</v>
      </c>
      <c r="Z27" s="85">
        <f t="shared" si="16"/>
        <v>1123.4638032349369</v>
      </c>
      <c r="AA27" s="85">
        <f t="shared" si="16"/>
        <v>1137.8531937430175</v>
      </c>
      <c r="AB27" s="85">
        <f t="shared" si="16"/>
        <v>1152.5161013361485</v>
      </c>
      <c r="AC27" s="85">
        <f t="shared" si="16"/>
        <v>1167.4082825604951</v>
      </c>
      <c r="AD27" s="85">
        <f t="shared" si="16"/>
        <v>1182.6052491988471</v>
      </c>
      <c r="AE27" s="85">
        <f t="shared" si="16"/>
        <v>1198.0810718974531</v>
      </c>
      <c r="AF27" s="85">
        <f t="shared" si="16"/>
        <v>1213.8200200476183</v>
      </c>
      <c r="AG27" s="85">
        <f t="shared" si="16"/>
        <v>1229.8436086475187</v>
      </c>
      <c r="AH27" s="85">
        <f t="shared" si="16"/>
        <v>1246.1542231845506</v>
      </c>
      <c r="AI27" s="85">
        <f t="shared" si="16"/>
        <v>1262.7639479842449</v>
      </c>
      <c r="AJ27" s="85">
        <f t="shared" si="16"/>
        <v>1279.6716773354112</v>
      </c>
      <c r="AK27" s="85">
        <f t="shared" si="16"/>
        <v>1296.8814677289829</v>
      </c>
    </row>
    <row r="28" spans="1:37" x14ac:dyDescent="0.2">
      <c r="A28" s="53" t="s">
        <v>96</v>
      </c>
      <c r="B28" s="84">
        <f>monthly_data!$O11*0.264172/1000</f>
        <v>680.24290000000008</v>
      </c>
      <c r="C28" s="84">
        <f>monthly_data!$O23*0.264172/1000</f>
        <v>629.78604800000005</v>
      </c>
      <c r="D28" s="84">
        <f>monthly_data!$O35*0.264172/1000</f>
        <v>671.52522400000009</v>
      </c>
      <c r="E28" s="84">
        <f>monthly_data!$O47*0.264172/1000</f>
        <v>696.88573600000007</v>
      </c>
      <c r="F28" s="84">
        <f>monthly_data!$O59*0.264172/1000</f>
        <v>960.10935852</v>
      </c>
      <c r="G28" s="84">
        <f>monthly_data!$O71*0.264172/1000</f>
        <v>752.49684789200012</v>
      </c>
      <c r="H28" s="84">
        <f>monthly_data!$O83*0.264172/1000</f>
        <v>910.98287671200012</v>
      </c>
      <c r="I28" s="84">
        <f>monthly_data!$O95*0.264172/1000</f>
        <v>953.56159132800008</v>
      </c>
      <c r="J28" s="84">
        <f>monthly_data!$O107*0.264172/1000</f>
        <v>891.8280291640001</v>
      </c>
      <c r="K28" s="84">
        <f>monthly_data!$O119*0.264172/1000</f>
        <v>925.22597426400011</v>
      </c>
      <c r="L28" s="85">
        <f t="shared" si="17"/>
        <v>915.29814883370364</v>
      </c>
      <c r="M28" s="85">
        <f t="shared" si="14"/>
        <v>949.00351465577228</v>
      </c>
      <c r="N28" s="85">
        <f t="shared" si="14"/>
        <v>953.36330332932573</v>
      </c>
      <c r="O28" s="85">
        <f t="shared" si="14"/>
        <v>956.73242141381627</v>
      </c>
      <c r="P28" s="85">
        <f t="shared" si="14"/>
        <v>971.65685012529957</v>
      </c>
      <c r="Q28" s="85">
        <f t="shared" si="14"/>
        <v>983.76961767890168</v>
      </c>
      <c r="R28" s="85">
        <f t="shared" si="14"/>
        <v>998.17057369067618</v>
      </c>
      <c r="S28" s="85">
        <f t="shared" si="14"/>
        <v>1008.5730580985635</v>
      </c>
      <c r="T28" s="85">
        <f t="shared" si="14"/>
        <v>1020.2317774490003</v>
      </c>
      <c r="U28" s="85">
        <f t="shared" si="14"/>
        <v>1033.613567344119</v>
      </c>
      <c r="V28" s="85">
        <f t="shared" si="14"/>
        <v>1046.6792695735498</v>
      </c>
      <c r="W28" s="85">
        <f t="shared" si="15"/>
        <v>1059.9465412647999</v>
      </c>
      <c r="X28" s="85">
        <f t="shared" si="16"/>
        <v>1072.9822924874572</v>
      </c>
      <c r="Y28" s="85">
        <f t="shared" si="16"/>
        <v>1086.5684036388639</v>
      </c>
      <c r="Z28" s="85">
        <f t="shared" si="16"/>
        <v>1100.5585442660945</v>
      </c>
      <c r="AA28" s="85">
        <f t="shared" si="16"/>
        <v>1114.6789086895776</v>
      </c>
      <c r="AB28" s="85">
        <f t="shared" si="16"/>
        <v>1129.022212143266</v>
      </c>
      <c r="AC28" s="85">
        <f t="shared" si="16"/>
        <v>1143.5929450070446</v>
      </c>
      <c r="AD28" s="85">
        <f t="shared" si="16"/>
        <v>1158.4865378481875</v>
      </c>
      <c r="AE28" s="85">
        <f t="shared" si="16"/>
        <v>1173.6558053751132</v>
      </c>
      <c r="AF28" s="85">
        <f t="shared" si="16"/>
        <v>1189.0741361290586</v>
      </c>
      <c r="AG28" s="85">
        <f t="shared" si="16"/>
        <v>1204.7662977206878</v>
      </c>
      <c r="AH28" s="85">
        <f t="shared" si="16"/>
        <v>1220.7429423434046</v>
      </c>
      <c r="AI28" s="85">
        <f t="shared" si="16"/>
        <v>1237.0160093882978</v>
      </c>
      <c r="AJ28" s="85">
        <f t="shared" si="16"/>
        <v>1253.5800737810946</v>
      </c>
      <c r="AK28" s="85">
        <f t="shared" si="16"/>
        <v>1270.438393909003</v>
      </c>
    </row>
    <row r="29" spans="1:37" x14ac:dyDescent="0.2">
      <c r="A29" s="53" t="s">
        <v>97</v>
      </c>
      <c r="B29" s="84">
        <f>monthly_data!$O12*0.264172/1000</f>
        <v>623.18174799999997</v>
      </c>
      <c r="C29" s="84">
        <f>monthly_data!$O24*0.264172/1000</f>
        <v>593.06614000000002</v>
      </c>
      <c r="D29" s="84">
        <f>monthly_data!$O36*0.264172/1000</f>
        <v>719.34035600000004</v>
      </c>
      <c r="E29" s="84">
        <f>monthly_data!$O48*0.264172/1000</f>
        <v>711.94353999999998</v>
      </c>
      <c r="F29" s="84">
        <f>monthly_data!$O60*0.264172/1000</f>
        <v>863.96237408800005</v>
      </c>
      <c r="G29" s="84">
        <f>monthly_data!$O72*0.264172/1000</f>
        <v>837.66986327200016</v>
      </c>
      <c r="H29" s="84">
        <f>monthly_data!$O84*0.264172/1000</f>
        <v>767.31504788799998</v>
      </c>
      <c r="I29" s="84">
        <f>monthly_data!$O96*0.264172/1000</f>
        <v>891.74587167200002</v>
      </c>
      <c r="J29" s="84">
        <f>monthly_data!$O108*0.264172/1000</f>
        <v>822.78245021200007</v>
      </c>
      <c r="K29" s="84">
        <f>monthly_data!$O120*0.264172/1000</f>
        <v>892.60680822000006</v>
      </c>
      <c r="L29" s="85">
        <f t="shared" si="17"/>
        <v>869.47740153469385</v>
      </c>
      <c r="M29" s="85">
        <f t="shared" si="14"/>
        <v>876.13503665241535</v>
      </c>
      <c r="N29" s="85">
        <f t="shared" si="14"/>
        <v>895.32338314828269</v>
      </c>
      <c r="O29" s="85">
        <f t="shared" si="14"/>
        <v>899.26432838486721</v>
      </c>
      <c r="P29" s="85">
        <f t="shared" si="14"/>
        <v>916.49200664404145</v>
      </c>
      <c r="Q29" s="85">
        <f t="shared" si="14"/>
        <v>923.79018835149429</v>
      </c>
      <c r="R29" s="85">
        <f t="shared" si="14"/>
        <v>935.24319235016037</v>
      </c>
      <c r="S29" s="85">
        <f t="shared" si="14"/>
        <v>947.69410107245483</v>
      </c>
      <c r="T29" s="85">
        <f t="shared" si="14"/>
        <v>958.75144110001077</v>
      </c>
      <c r="U29" s="85">
        <f t="shared" si="14"/>
        <v>971.28830513635148</v>
      </c>
      <c r="V29" s="85">
        <f t="shared" si="14"/>
        <v>982.85559396873191</v>
      </c>
      <c r="W29" s="85">
        <f t="shared" si="15"/>
        <v>995.31216444811116</v>
      </c>
      <c r="X29" s="85">
        <f t="shared" si="16"/>
        <v>1007.9806288298785</v>
      </c>
      <c r="Y29" s="85">
        <f t="shared" si="16"/>
        <v>1020.6978518375946</v>
      </c>
      <c r="Z29" s="85">
        <f t="shared" si="16"/>
        <v>1033.7633057782584</v>
      </c>
      <c r="AA29" s="85">
        <f t="shared" si="16"/>
        <v>1046.9421525307353</v>
      </c>
      <c r="AB29" s="85">
        <f t="shared" si="16"/>
        <v>1060.4593628543375</v>
      </c>
      <c r="AC29" s="85">
        <f t="shared" si="16"/>
        <v>1074.2005880902952</v>
      </c>
      <c r="AD29" s="85">
        <f t="shared" si="16"/>
        <v>1088.1684006893186</v>
      </c>
      <c r="AE29" s="85">
        <f t="shared" si="16"/>
        <v>1102.3998172865784</v>
      </c>
      <c r="AF29" s="85">
        <f t="shared" si="16"/>
        <v>1116.8773157430965</v>
      </c>
      <c r="AG29" s="85">
        <f t="shared" si="16"/>
        <v>1131.628547032017</v>
      </c>
      <c r="AH29" s="85">
        <f t="shared" si="16"/>
        <v>1146.6401422969595</v>
      </c>
      <c r="AI29" s="85">
        <f t="shared" si="16"/>
        <v>1161.9197258783768</v>
      </c>
      <c r="AJ29" s="85">
        <f t="shared" si="16"/>
        <v>1177.4759764812898</v>
      </c>
      <c r="AK29" s="85">
        <f t="shared" si="16"/>
        <v>1193.3116798755748</v>
      </c>
    </row>
    <row r="30" spans="1:37" x14ac:dyDescent="0.2">
      <c r="A30" s="53" t="s">
        <v>98</v>
      </c>
      <c r="B30" s="84">
        <f>monthly_data!$O13*0.264172/1000</f>
        <v>635.06948799999998</v>
      </c>
      <c r="C30" s="84">
        <f>monthly_data!$O25*0.264172/1000</f>
        <v>600.19878399999993</v>
      </c>
      <c r="D30" s="84">
        <f>monthly_data!$O37*0.264172/1000</f>
        <v>714.84943199999998</v>
      </c>
      <c r="E30" s="84">
        <f>monthly_data!$O49*0.264172/1000</f>
        <v>749.19179199999996</v>
      </c>
      <c r="F30" s="84">
        <f>monthly_data!$O61*0.264172/1000</f>
        <v>934.19725538400007</v>
      </c>
      <c r="G30" s="84">
        <f>monthly_data!$O73*0.264172/1000</f>
        <v>922.5641771920001</v>
      </c>
      <c r="H30" s="84">
        <f>monthly_data!$O85*0.264172/1000</f>
        <v>812.20526750400006</v>
      </c>
      <c r="I30" s="84">
        <f>monthly_data!$O97*0.264172/1000</f>
        <v>878.0659888240001</v>
      </c>
      <c r="J30" s="84">
        <f>monthly_data!$O109*0.264172/1000</f>
        <v>848.18364470000006</v>
      </c>
      <c r="K30" s="84">
        <f>monthly_data!$O121*0.264172/1000</f>
        <v>966.81879897600004</v>
      </c>
      <c r="L30" s="85">
        <f t="shared" si="17"/>
        <v>914.00647041530408</v>
      </c>
      <c r="M30" s="85">
        <f t="shared" si="14"/>
        <v>912.33559516098603</v>
      </c>
      <c r="N30" s="85">
        <f t="shared" si="14"/>
        <v>929.60453908475154</v>
      </c>
      <c r="O30" s="85">
        <f t="shared" si="14"/>
        <v>943.56857001446269</v>
      </c>
      <c r="P30" s="85">
        <f t="shared" si="14"/>
        <v>964.77420013126755</v>
      </c>
      <c r="Q30" s="85">
        <f t="shared" si="14"/>
        <v>966.82126763579117</v>
      </c>
      <c r="R30" s="85">
        <f t="shared" si="14"/>
        <v>977.97267350897732</v>
      </c>
      <c r="S30" s="85">
        <f t="shared" si="14"/>
        <v>991.78632385453784</v>
      </c>
      <c r="T30" s="85">
        <f t="shared" si="14"/>
        <v>1004.8876591149539</v>
      </c>
      <c r="U30" s="85">
        <f t="shared" si="14"/>
        <v>1017.8140080714752</v>
      </c>
      <c r="V30" s="85">
        <f t="shared" si="14"/>
        <v>1029.0262861753688</v>
      </c>
      <c r="W30" s="85">
        <f t="shared" si="15"/>
        <v>1042.1437584434138</v>
      </c>
      <c r="X30" s="85">
        <f t="shared" si="16"/>
        <v>1055.673117172229</v>
      </c>
      <c r="Y30" s="85">
        <f t="shared" si="16"/>
        <v>1069.1473153926552</v>
      </c>
      <c r="Z30" s="85">
        <f t="shared" si="16"/>
        <v>1082.7027097160651</v>
      </c>
      <c r="AA30" s="85">
        <f t="shared" si="16"/>
        <v>1096.3924815947637</v>
      </c>
      <c r="AB30" s="85">
        <f t="shared" si="16"/>
        <v>1110.6006335131797</v>
      </c>
      <c r="AC30" s="85">
        <f t="shared" si="16"/>
        <v>1125.0392339458115</v>
      </c>
      <c r="AD30" s="85">
        <f t="shared" si="16"/>
        <v>1139.6706294600976</v>
      </c>
      <c r="AE30" s="85">
        <f t="shared" si="16"/>
        <v>1154.5463902503272</v>
      </c>
      <c r="AF30" s="85">
        <f t="shared" si="16"/>
        <v>1169.7004965749268</v>
      </c>
      <c r="AG30" s="85">
        <f t="shared" si="16"/>
        <v>1185.162959275287</v>
      </c>
      <c r="AH30" s="85">
        <f t="shared" si="16"/>
        <v>1200.8901865104463</v>
      </c>
      <c r="AI30" s="85">
        <f t="shared" si="16"/>
        <v>1216.8893782684679</v>
      </c>
      <c r="AJ30" s="85">
        <f t="shared" si="16"/>
        <v>1233.1770694388099</v>
      </c>
      <c r="AK30" s="85">
        <f t="shared" si="16"/>
        <v>1249.7625139636768</v>
      </c>
    </row>
    <row r="31" spans="1:37" x14ac:dyDescent="0.2">
      <c r="A31" s="53" t="s">
        <v>99</v>
      </c>
      <c r="B31" s="84">
        <f>monthly_data!$O14*0.264172/1000</f>
        <v>616.04910400000006</v>
      </c>
      <c r="C31" s="84">
        <f>monthly_data!$O26*0.264172/1000</f>
        <v>671.26105200000006</v>
      </c>
      <c r="D31" s="84">
        <f>monthly_data!$O38*0.264172/1000</f>
        <v>673.11025600000005</v>
      </c>
      <c r="E31" s="84">
        <f>monthly_data!$O50*0.264172/1000</f>
        <v>737.5682240000001</v>
      </c>
      <c r="F31" s="84">
        <f>monthly_data!$O62*0.264172/1000</f>
        <v>933.3740954320001</v>
      </c>
      <c r="G31" s="84">
        <f>monthly_data!$O74*0.264172/1000</f>
        <v>909.74602340800004</v>
      </c>
      <c r="H31" s="84">
        <f>monthly_data!$O86*0.264172/1000</f>
        <v>881.95829907200005</v>
      </c>
      <c r="I31" s="84">
        <f>monthly_data!$O98*0.264172/1000</f>
        <v>879.97410318000004</v>
      </c>
      <c r="J31" s="84">
        <f>monthly_data!$O110*0.264172/1000</f>
        <v>921.58806165200008</v>
      </c>
      <c r="K31" s="84">
        <f>monthly_data!$O122*0.264172/1000</f>
        <v>941.14999825200005</v>
      </c>
      <c r="L31" s="85">
        <f t="shared" si="17"/>
        <v>936.00671982775532</v>
      </c>
      <c r="M31" s="85">
        <f t="shared" si="14"/>
        <v>941.52621483771929</v>
      </c>
      <c r="N31" s="85">
        <f t="shared" si="14"/>
        <v>950.34536393190467</v>
      </c>
      <c r="O31" s="85">
        <f t="shared" si="14"/>
        <v>968.2711671196131</v>
      </c>
      <c r="P31" s="85">
        <f t="shared" si="14"/>
        <v>979.44646202777346</v>
      </c>
      <c r="Q31" s="85">
        <f t="shared" si="14"/>
        <v>989.89306570838369</v>
      </c>
      <c r="R31" s="85">
        <f t="shared" si="14"/>
        <v>1001.2714408153096</v>
      </c>
      <c r="S31" s="85">
        <f t="shared" si="14"/>
        <v>1013.8681384737893</v>
      </c>
      <c r="T31" s="85">
        <f t="shared" si="14"/>
        <v>1027.2521551041305</v>
      </c>
      <c r="U31" s="85">
        <f t="shared" si="14"/>
        <v>1039.6980324466656</v>
      </c>
      <c r="V31" s="85">
        <f t="shared" si="14"/>
        <v>1052.4111613517584</v>
      </c>
      <c r="W31" s="85">
        <f t="shared" si="15"/>
        <v>1065.5983272572191</v>
      </c>
      <c r="X31" s="85">
        <f t="shared" si="16"/>
        <v>1079.1647268127658</v>
      </c>
      <c r="Y31" s="85">
        <f t="shared" si="16"/>
        <v>1092.93630024552</v>
      </c>
      <c r="Z31" s="85">
        <f t="shared" si="16"/>
        <v>1106.7922039712635</v>
      </c>
      <c r="AA31" s="85">
        <f t="shared" si="16"/>
        <v>1120.9447786044263</v>
      </c>
      <c r="AB31" s="85">
        <f t="shared" si="16"/>
        <v>1135.4002311033394</v>
      </c>
      <c r="AC31" s="85">
        <f t="shared" si="16"/>
        <v>1150.1230939270952</v>
      </c>
      <c r="AD31" s="85">
        <f t="shared" si="16"/>
        <v>1165.0902008858532</v>
      </c>
      <c r="AE31" s="85">
        <f t="shared" si="16"/>
        <v>1180.3097307148207</v>
      </c>
      <c r="AF31" s="85">
        <f t="shared" si="16"/>
        <v>1195.8166899605924</v>
      </c>
      <c r="AG31" s="85">
        <f t="shared" si="16"/>
        <v>1211.6092343811911</v>
      </c>
      <c r="AH31" s="85">
        <f t="shared" si="16"/>
        <v>1227.6838413480718</v>
      </c>
      <c r="AI31" s="85">
        <f t="shared" si="16"/>
        <v>1244.0436281928112</v>
      </c>
      <c r="AJ31" s="85">
        <f t="shared" si="16"/>
        <v>1260.6971804626264</v>
      </c>
      <c r="AK31" s="85">
        <f t="shared" si="16"/>
        <v>1277.6531721029792</v>
      </c>
    </row>
    <row r="32" spans="1:37" x14ac:dyDescent="0.2">
      <c r="A32" s="53" t="s">
        <v>100</v>
      </c>
      <c r="B32" s="84">
        <f>monthly_data!$O15*0.264172/1000</f>
        <v>641.93796000000009</v>
      </c>
      <c r="C32" s="84">
        <f>monthly_data!$O27*0.264172/1000</f>
        <v>724.887968</v>
      </c>
      <c r="D32" s="84">
        <f>monthly_data!$O39*0.264172/1000</f>
        <v>702.16917600000011</v>
      </c>
      <c r="E32" s="84">
        <f>monthly_data!$O51*0.264172/1000</f>
        <v>761.343704</v>
      </c>
      <c r="F32" s="84">
        <f>monthly_data!$O63*0.264172/1000</f>
        <v>968.67672065200009</v>
      </c>
      <c r="G32" s="84">
        <f>monthly_data!$O75*0.264172/1000</f>
        <v>961.95988338000006</v>
      </c>
      <c r="H32" s="84">
        <f>monthly_data!$O87*0.264172/1000</f>
        <v>938.42374321200009</v>
      </c>
      <c r="I32" s="84">
        <f>monthly_data!$O99*0.264172/1000</f>
        <v>981.10310735999997</v>
      </c>
      <c r="J32" s="84">
        <f>monthly_data!$O111*0.264172/1000</f>
        <v>1030.1218069920001</v>
      </c>
      <c r="K32" s="84">
        <f>monthly_data!$O123*0.264172/1000</f>
        <v>1029.1525599240001</v>
      </c>
      <c r="L32" s="85">
        <f>L33-SUM(L21:L31)</f>
        <v>1019.8854926977037</v>
      </c>
      <c r="M32" s="85">
        <f t="shared" ref="M32:V32" si="18">M33-SUM(M21:M31)</f>
        <v>1031.9508243189503</v>
      </c>
      <c r="N32" s="85">
        <f t="shared" si="18"/>
        <v>1047.4253348728907</v>
      </c>
      <c r="O32" s="85">
        <f t="shared" si="18"/>
        <v>1064.8625489280548</v>
      </c>
      <c r="P32" s="85">
        <f t="shared" si="18"/>
        <v>1073.7207112040633</v>
      </c>
      <c r="Q32" s="85">
        <f t="shared" si="18"/>
        <v>1085.7087651707388</v>
      </c>
      <c r="R32" s="85">
        <f t="shared" si="18"/>
        <v>1099.5819393926267</v>
      </c>
      <c r="S32" s="85">
        <f t="shared" si="18"/>
        <v>1113.8342861896235</v>
      </c>
      <c r="T32" s="85">
        <f t="shared" si="18"/>
        <v>1127.8375065081764</v>
      </c>
      <c r="U32" s="85">
        <f t="shared" si="18"/>
        <v>1141.1325168548228</v>
      </c>
      <c r="V32" s="85">
        <f t="shared" si="18"/>
        <v>1155.3519666348293</v>
      </c>
      <c r="W32" s="85">
        <f t="shared" ref="W32:AK32" si="19">W33-SUM(W21:W31)</f>
        <v>1170.0386261595359</v>
      </c>
      <c r="X32" s="85">
        <f t="shared" si="19"/>
        <v>1184.8983678678524</v>
      </c>
      <c r="Y32" s="85">
        <f t="shared" si="19"/>
        <v>1199.888423722372</v>
      </c>
      <c r="Z32" s="85">
        <f t="shared" si="19"/>
        <v>1215.0875820864894</v>
      </c>
      <c r="AA32" s="85">
        <f t="shared" si="19"/>
        <v>1230.6864086774476</v>
      </c>
      <c r="AB32" s="85">
        <f t="shared" si="19"/>
        <v>1246.5760344141818</v>
      </c>
      <c r="AC32" s="85">
        <f t="shared" si="19"/>
        <v>1262.7198855651859</v>
      </c>
      <c r="AD32" s="85">
        <f t="shared" si="19"/>
        <v>1279.1348830512579</v>
      </c>
      <c r="AE32" s="85">
        <f t="shared" si="19"/>
        <v>1295.8503654151682</v>
      </c>
      <c r="AF32" s="85">
        <f t="shared" si="19"/>
        <v>1312.8854102743207</v>
      </c>
      <c r="AG32" s="85">
        <f t="shared" si="19"/>
        <v>1330.2234477078091</v>
      </c>
      <c r="AH32" s="85">
        <f t="shared" si="19"/>
        <v>1347.8670888647266</v>
      </c>
      <c r="AI32" s="85">
        <f t="shared" si="19"/>
        <v>1365.8270952543426</v>
      </c>
      <c r="AJ32" s="85">
        <f t="shared" si="19"/>
        <v>1384.112952087331</v>
      </c>
      <c r="AK32" s="85">
        <f t="shared" si="19"/>
        <v>1402.7300173788135</v>
      </c>
    </row>
    <row r="33" spans="1:37" x14ac:dyDescent="0.2">
      <c r="A33" s="86" t="s">
        <v>101</v>
      </c>
      <c r="B33" s="95">
        <f>SUM(B21:B32)</f>
        <v>7417.9497600000004</v>
      </c>
      <c r="C33" s="95">
        <f t="shared" ref="C33:K33" si="20">SUM(C21:C32)</f>
        <v>7363.5303279999998</v>
      </c>
      <c r="D33" s="95">
        <f t="shared" si="20"/>
        <v>8118.0055600000005</v>
      </c>
      <c r="E33" s="95">
        <f t="shared" si="20"/>
        <v>7880.514932000001</v>
      </c>
      <c r="F33" s="95">
        <f t="shared" si="20"/>
        <v>10568.419858588</v>
      </c>
      <c r="G33" s="95">
        <f t="shared" si="20"/>
        <v>10319.544738248002</v>
      </c>
      <c r="H33" s="95">
        <f t="shared" si="20"/>
        <v>10233.701254332</v>
      </c>
      <c r="I33" s="95">
        <f t="shared" si="20"/>
        <v>10746.877554780001</v>
      </c>
      <c r="J33" s="95">
        <f t="shared" si="20"/>
        <v>10762.709382740002</v>
      </c>
      <c r="K33" s="95">
        <f t="shared" si="20"/>
        <v>10944.790197912</v>
      </c>
      <c r="L33" s="95">
        <f t="shared" ref="L33:AK33" si="21">L4</f>
        <v>10941.979328073367</v>
      </c>
      <c r="M33" s="95">
        <f t="shared" si="21"/>
        <v>11071.624504376878</v>
      </c>
      <c r="N33" s="95">
        <f t="shared" si="21"/>
        <v>11203.60329385385</v>
      </c>
      <c r="O33" s="95">
        <f t="shared" si="21"/>
        <v>11337.957701541407</v>
      </c>
      <c r="P33" s="95">
        <f t="shared" si="21"/>
        <v>11474.730488567344</v>
      </c>
      <c r="Q33" s="95">
        <f t="shared" si="21"/>
        <v>11613.965185759746</v>
      </c>
      <c r="R33" s="95">
        <f t="shared" si="21"/>
        <v>11755.70610750161</v>
      </c>
      <c r="S33" s="95">
        <f t="shared" si="21"/>
        <v>11899.998365834828</v>
      </c>
      <c r="T33" s="95">
        <f t="shared" si="21"/>
        <v>12046.887884818043</v>
      </c>
      <c r="U33" s="95">
        <f t="shared" si="21"/>
        <v>12196.421415142955</v>
      </c>
      <c r="V33" s="95">
        <f t="shared" si="21"/>
        <v>12348.64654901372</v>
      </c>
      <c r="W33" s="95">
        <f t="shared" si="21"/>
        <v>12503.611735294155</v>
      </c>
      <c r="X33" s="95">
        <f t="shared" si="21"/>
        <v>12661.366294927637</v>
      </c>
      <c r="Y33" s="95">
        <f t="shared" si="21"/>
        <v>12821.960436634527</v>
      </c>
      <c r="Z33" s="95">
        <f t="shared" si="21"/>
        <v>12985.445272892133</v>
      </c>
      <c r="AA33" s="95">
        <f t="shared" si="21"/>
        <v>13151.872836202379</v>
      </c>
      <c r="AB33" s="95">
        <f t="shared" si="21"/>
        <v>13321.296095652211</v>
      </c>
      <c r="AC33" s="95">
        <f t="shared" si="21"/>
        <v>13493.768973772141</v>
      </c>
      <c r="AD33" s="95">
        <f t="shared" si="21"/>
        <v>13669.346363698227</v>
      </c>
      <c r="AE33" s="95">
        <f t="shared" si="21"/>
        <v>13848.084146642985</v>
      </c>
      <c r="AF33" s="95">
        <f t="shared" si="21"/>
        <v>14030.039209680748</v>
      </c>
      <c r="AG33" s="95">
        <f t="shared" si="21"/>
        <v>14215.26946385319</v>
      </c>
      <c r="AH33" s="95">
        <f t="shared" si="21"/>
        <v>14403.833862600733</v>
      </c>
      <c r="AI33" s="95">
        <f t="shared" si="21"/>
        <v>14595.792420525737</v>
      </c>
      <c r="AJ33" s="95">
        <f t="shared" si="21"/>
        <v>14791.206232493389</v>
      </c>
      <c r="AK33" s="95">
        <f t="shared" si="21"/>
        <v>14990.13749307646</v>
      </c>
    </row>
    <row r="34" spans="1:37" x14ac:dyDescent="0.2">
      <c r="J34" s="159"/>
      <c r="K34" s="159"/>
      <c r="L34" s="159"/>
    </row>
    <row r="35" spans="1:37" ht="12" thickBot="1" x14ac:dyDescent="0.25">
      <c r="A35" s="81" t="s">
        <v>159</v>
      </c>
    </row>
    <row r="36" spans="1:37" s="81" customFormat="1" ht="12" thickBot="1" x14ac:dyDescent="0.25">
      <c r="A36" s="128" t="s">
        <v>74</v>
      </c>
      <c r="B36" s="92">
        <f t="shared" ref="B36:AK36" si="22">B2</f>
        <v>2015</v>
      </c>
      <c r="C36" s="92">
        <f t="shared" si="22"/>
        <v>2016</v>
      </c>
      <c r="D36" s="92">
        <f t="shared" si="22"/>
        <v>2017</v>
      </c>
      <c r="E36" s="92">
        <f t="shared" si="22"/>
        <v>2018</v>
      </c>
      <c r="F36" s="92">
        <f t="shared" si="22"/>
        <v>2019</v>
      </c>
      <c r="G36" s="92">
        <f t="shared" si="22"/>
        <v>2020</v>
      </c>
      <c r="H36" s="92">
        <f t="shared" si="22"/>
        <v>2021</v>
      </c>
      <c r="I36" s="92">
        <f t="shared" si="22"/>
        <v>2022</v>
      </c>
      <c r="J36" s="92">
        <f t="shared" si="22"/>
        <v>2023</v>
      </c>
      <c r="K36" s="92">
        <f t="shared" si="22"/>
        <v>2024</v>
      </c>
      <c r="L36" s="92">
        <f t="shared" si="22"/>
        <v>2025</v>
      </c>
      <c r="M36" s="92">
        <f t="shared" si="22"/>
        <v>2026</v>
      </c>
      <c r="N36" s="92">
        <f t="shared" si="22"/>
        <v>2027</v>
      </c>
      <c r="O36" s="92">
        <f t="shared" si="22"/>
        <v>2028</v>
      </c>
      <c r="P36" s="92">
        <f t="shared" si="22"/>
        <v>2029</v>
      </c>
      <c r="Q36" s="92">
        <f t="shared" si="22"/>
        <v>2030</v>
      </c>
      <c r="R36" s="92">
        <f t="shared" si="22"/>
        <v>2031</v>
      </c>
      <c r="S36" s="92">
        <f t="shared" si="22"/>
        <v>2032</v>
      </c>
      <c r="T36" s="92">
        <f t="shared" si="22"/>
        <v>2033</v>
      </c>
      <c r="U36" s="92">
        <f t="shared" si="22"/>
        <v>2034</v>
      </c>
      <c r="V36" s="92">
        <f t="shared" si="22"/>
        <v>2035</v>
      </c>
      <c r="W36" s="92">
        <f t="shared" si="22"/>
        <v>2036</v>
      </c>
      <c r="X36" s="92">
        <f t="shared" si="22"/>
        <v>2037</v>
      </c>
      <c r="Y36" s="92">
        <f t="shared" si="22"/>
        <v>2038</v>
      </c>
      <c r="Z36" s="92">
        <f t="shared" si="22"/>
        <v>2039</v>
      </c>
      <c r="AA36" s="92">
        <f t="shared" si="22"/>
        <v>2040</v>
      </c>
      <c r="AB36" s="92">
        <f t="shared" si="22"/>
        <v>2041</v>
      </c>
      <c r="AC36" s="92">
        <f t="shared" si="22"/>
        <v>2042</v>
      </c>
      <c r="AD36" s="92">
        <f t="shared" si="22"/>
        <v>2043</v>
      </c>
      <c r="AE36" s="92">
        <f t="shared" si="22"/>
        <v>2044</v>
      </c>
      <c r="AF36" s="92">
        <f t="shared" si="22"/>
        <v>2045</v>
      </c>
      <c r="AG36" s="92">
        <f t="shared" si="22"/>
        <v>2046</v>
      </c>
      <c r="AH36" s="92">
        <f t="shared" si="22"/>
        <v>2047</v>
      </c>
      <c r="AI36" s="92">
        <f t="shared" si="22"/>
        <v>2048</v>
      </c>
      <c r="AJ36" s="92">
        <f t="shared" si="22"/>
        <v>2049</v>
      </c>
      <c r="AK36" s="92">
        <f t="shared" si="22"/>
        <v>2050</v>
      </c>
    </row>
    <row r="37" spans="1:37" x14ac:dyDescent="0.2">
      <c r="A37" s="53" t="s">
        <v>89</v>
      </c>
      <c r="B37" s="113"/>
      <c r="C37" s="113"/>
      <c r="D37" s="113"/>
      <c r="E37" s="113"/>
      <c r="F37" s="84">
        <f>monthly_data!$P52*0.264172/1000</f>
        <v>34.271033560000006</v>
      </c>
      <c r="G37" s="84">
        <f>monthly_data!$P64*0.264172/1000</f>
        <v>13.299475168000001</v>
      </c>
      <c r="H37" s="84">
        <f>monthly_data!$P76*0.264172/1000</f>
        <v>54.478078184000005</v>
      </c>
      <c r="I37" s="84">
        <f>monthly_data!$P88*0.264172/1000</f>
        <v>31.515191256000001</v>
      </c>
      <c r="J37" s="84">
        <f>monthly_data!$P100*0.264172/1000</f>
        <v>27.530156636000005</v>
      </c>
      <c r="K37" s="84">
        <f>monthly_data!$P112*0.264172/1000</f>
        <v>14.899300800000001</v>
      </c>
      <c r="L37" s="85">
        <f>L$33*(SUM(G37:K37)/SUM(G$33:K$33))</f>
        <v>29.254686657983779</v>
      </c>
      <c r="M37" s="85">
        <f t="shared" ref="M37:M47" si="23">M$33*(SUM(H37:L37)/SUM(H$33:L$33))</f>
        <v>32.551617316066881</v>
      </c>
      <c r="N37" s="85">
        <f t="shared" ref="N37:N47" si="24">N$33*(SUM(I37:M37)/SUM(I$33:M$33))</f>
        <v>27.922823526908072</v>
      </c>
      <c r="O37" s="85">
        <f t="shared" ref="O37:AD47" si="25">O$33*(SUM(J37:N37)/SUM(J$33:N$33))</f>
        <v>27.281136955457519</v>
      </c>
      <c r="P37" s="85">
        <f t="shared" si="25"/>
        <v>27.272575436844768</v>
      </c>
      <c r="Q37" s="85">
        <f t="shared" si="25"/>
        <v>29.907174910105876</v>
      </c>
      <c r="R37" s="85">
        <f t="shared" si="25"/>
        <v>30.048687750587625</v>
      </c>
      <c r="S37" s="85">
        <f t="shared" si="25"/>
        <v>29.535886971569663</v>
      </c>
      <c r="T37" s="85">
        <f t="shared" si="25"/>
        <v>29.876533866479537</v>
      </c>
      <c r="U37" s="85">
        <f t="shared" si="25"/>
        <v>30.421067000077159</v>
      </c>
      <c r="V37" s="85">
        <f t="shared" si="25"/>
        <v>31.080543748092051</v>
      </c>
      <c r="W37" s="85">
        <f t="shared" si="25"/>
        <v>31.330332480854697</v>
      </c>
      <c r="X37" s="85">
        <f t="shared" si="25"/>
        <v>31.60265225456531</v>
      </c>
      <c r="Y37" s="85">
        <f t="shared" si="25"/>
        <v>32.0380412558901</v>
      </c>
      <c r="Z37" s="85">
        <f t="shared" si="25"/>
        <v>32.493229900231178</v>
      </c>
      <c r="AA37" s="85">
        <f t="shared" si="25"/>
        <v>32.929992361032447</v>
      </c>
      <c r="AB37" s="85">
        <f t="shared" si="25"/>
        <v>33.320608878815676</v>
      </c>
      <c r="AC37" s="85">
        <f t="shared" si="25"/>
        <v>33.740587807486349</v>
      </c>
      <c r="AD37" s="85">
        <f t="shared" si="25"/>
        <v>34.191363524465167</v>
      </c>
      <c r="AE37" s="85">
        <f t="shared" ref="AE37:AK47" si="26">AE$33*(SUM(Z37:AD37)/SUM(Z$33:AD$33))</f>
        <v>34.645456921342969</v>
      </c>
      <c r="AF37" s="85">
        <f t="shared" si="26"/>
        <v>35.099440781321427</v>
      </c>
      <c r="AG37" s="85">
        <f t="shared" si="26"/>
        <v>35.5571212998466</v>
      </c>
      <c r="AH37" s="85">
        <f t="shared" si="26"/>
        <v>36.028864209793092</v>
      </c>
      <c r="AI37" s="85">
        <f t="shared" si="26"/>
        <v>36.511492115444788</v>
      </c>
      <c r="AJ37" s="85">
        <f t="shared" si="26"/>
        <v>37.000865676092786</v>
      </c>
      <c r="AK37" s="85">
        <f t="shared" si="26"/>
        <v>37.49769927641637</v>
      </c>
    </row>
    <row r="38" spans="1:37" x14ac:dyDescent="0.2">
      <c r="A38" s="53" t="s">
        <v>90</v>
      </c>
      <c r="B38" s="113"/>
      <c r="C38" s="113"/>
      <c r="D38" s="113"/>
      <c r="E38" s="113"/>
      <c r="F38" s="84">
        <f>monthly_data!$P53*0.264172/1000</f>
        <v>17.921164307999998</v>
      </c>
      <c r="G38" s="84">
        <f>monthly_data!$P65*0.264172/1000</f>
        <v>21.459748248</v>
      </c>
      <c r="H38" s="84">
        <f>monthly_data!$P77*0.264172/1000</f>
        <v>5.36004988</v>
      </c>
      <c r="I38" s="84">
        <f>monthly_data!$P89*0.264172/1000</f>
        <v>12.064735239999999</v>
      </c>
      <c r="J38" s="84">
        <f>monthly_data!$P101*0.264172/1000</f>
        <v>31.266869576000001</v>
      </c>
      <c r="K38" s="84">
        <f>monthly_data!$P113*0.264172/1000</f>
        <v>16.896441119999999</v>
      </c>
      <c r="L38" s="85">
        <f t="shared" ref="L38:L47" si="27">L$33*(SUM(G38:K38)/SUM(G$33:K$33))</f>
        <v>17.968655338524393</v>
      </c>
      <c r="M38" s="85">
        <f t="shared" si="23"/>
        <v>17.249822449489212</v>
      </c>
      <c r="N38" s="85">
        <f t="shared" si="24"/>
        <v>19.632543167183151</v>
      </c>
      <c r="O38" s="85">
        <f t="shared" si="25"/>
        <v>21.264968079764106</v>
      </c>
      <c r="P38" s="85">
        <f t="shared" si="25"/>
        <v>19.230512306172859</v>
      </c>
      <c r="Q38" s="85">
        <f t="shared" si="25"/>
        <v>19.763573372865924</v>
      </c>
      <c r="R38" s="85">
        <f t="shared" si="25"/>
        <v>20.139825229736587</v>
      </c>
      <c r="S38" s="85">
        <f t="shared" si="25"/>
        <v>20.74329160959347</v>
      </c>
      <c r="T38" s="85">
        <f t="shared" si="25"/>
        <v>20.977942954489173</v>
      </c>
      <c r="U38" s="85">
        <f t="shared" si="25"/>
        <v>20.922689351403939</v>
      </c>
      <c r="V38" s="85">
        <f t="shared" si="25"/>
        <v>21.278058374372108</v>
      </c>
      <c r="W38" s="85">
        <f t="shared" si="25"/>
        <v>21.59666335152415</v>
      </c>
      <c r="X38" s="85">
        <f t="shared" si="25"/>
        <v>21.903399084830468</v>
      </c>
      <c r="Y38" s="85">
        <f t="shared" si="25"/>
        <v>22.148618235588451</v>
      </c>
      <c r="Z38" s="85">
        <f t="shared" si="25"/>
        <v>22.396096496860689</v>
      </c>
      <c r="AA38" s="85">
        <f t="shared" si="25"/>
        <v>22.706516691218258</v>
      </c>
      <c r="AB38" s="85">
        <f t="shared" si="25"/>
        <v>23.007686283871209</v>
      </c>
      <c r="AC38" s="85">
        <f t="shared" si="25"/>
        <v>23.305315001958643</v>
      </c>
      <c r="AD38" s="85">
        <f t="shared" si="25"/>
        <v>23.601129956029059</v>
      </c>
      <c r="AE38" s="85">
        <f t="shared" si="26"/>
        <v>23.907538367484189</v>
      </c>
      <c r="AF38" s="85">
        <f t="shared" si="26"/>
        <v>24.226277302508105</v>
      </c>
      <c r="AG38" s="85">
        <f t="shared" si="26"/>
        <v>24.546827881309937</v>
      </c>
      <c r="AH38" s="85">
        <f t="shared" si="26"/>
        <v>24.87149007107055</v>
      </c>
      <c r="AI38" s="85">
        <f t="shared" si="26"/>
        <v>25.201856232715201</v>
      </c>
      <c r="AJ38" s="85">
        <f t="shared" si="26"/>
        <v>25.539491819438581</v>
      </c>
      <c r="AK38" s="85">
        <f t="shared" si="26"/>
        <v>25.883707283578353</v>
      </c>
    </row>
    <row r="39" spans="1:37" x14ac:dyDescent="0.2">
      <c r="A39" s="53" t="s">
        <v>91</v>
      </c>
      <c r="B39" s="113"/>
      <c r="C39" s="113"/>
      <c r="D39" s="113"/>
      <c r="E39" s="113"/>
      <c r="F39" s="84">
        <f>monthly_data!$P54*0.264172/1000</f>
        <v>11.879286496000001</v>
      </c>
      <c r="G39" s="84">
        <f>monthly_data!$P66*0.264172/1000</f>
        <v>29.092205672000002</v>
      </c>
      <c r="H39" s="84">
        <f>monthly_data!$P78*0.264172/1000</f>
        <v>12.288224752</v>
      </c>
      <c r="I39" s="84">
        <f>monthly_data!$P90*0.264172/1000</f>
        <v>19.828221976000002</v>
      </c>
      <c r="J39" s="84">
        <f>monthly_data!$P102*0.264172/1000</f>
        <v>17.439314580000001</v>
      </c>
      <c r="K39" s="84">
        <f>monthly_data!$P114*0.264172/1000</f>
        <v>12.761092632000002</v>
      </c>
      <c r="L39" s="85">
        <f t="shared" si="27"/>
        <v>18.868909444546933</v>
      </c>
      <c r="M39" s="85">
        <f t="shared" si="23"/>
        <v>16.760345327689858</v>
      </c>
      <c r="N39" s="85">
        <f t="shared" si="24"/>
        <v>17.619102706365155</v>
      </c>
      <c r="O39" s="85">
        <f t="shared" si="25"/>
        <v>17.22610134917845</v>
      </c>
      <c r="P39" s="85">
        <f t="shared" si="25"/>
        <v>17.209122415054104</v>
      </c>
      <c r="Q39" s="85">
        <f t="shared" si="25"/>
        <v>18.175191193311218</v>
      </c>
      <c r="R39" s="85">
        <f t="shared" si="25"/>
        <v>18.035155844673998</v>
      </c>
      <c r="S39" s="85">
        <f t="shared" si="25"/>
        <v>18.303247339259713</v>
      </c>
      <c r="T39" s="85">
        <f t="shared" si="25"/>
        <v>18.448914254126073</v>
      </c>
      <c r="U39" s="85">
        <f t="shared" si="25"/>
        <v>18.706363625259858</v>
      </c>
      <c r="V39" s="85">
        <f t="shared" si="25"/>
        <v>19.020834158252956</v>
      </c>
      <c r="W39" s="85">
        <f t="shared" si="25"/>
        <v>19.20017428097746</v>
      </c>
      <c r="X39" s="85">
        <f t="shared" si="25"/>
        <v>19.445854325716844</v>
      </c>
      <c r="Y39" s="85">
        <f t="shared" si="25"/>
        <v>19.686951075597236</v>
      </c>
      <c r="Z39" s="85">
        <f t="shared" si="25"/>
        <v>19.947931444717941</v>
      </c>
      <c r="AA39" s="85">
        <f t="shared" si="25"/>
        <v>20.209718238893522</v>
      </c>
      <c r="AB39" s="85">
        <f t="shared" si="25"/>
        <v>20.460632317449651</v>
      </c>
      <c r="AC39" s="85">
        <f t="shared" si="25"/>
        <v>20.72648443954418</v>
      </c>
      <c r="AD39" s="85">
        <f t="shared" si="25"/>
        <v>20.996599350785761</v>
      </c>
      <c r="AE39" s="85">
        <f t="shared" si="26"/>
        <v>21.272816765639153</v>
      </c>
      <c r="AF39" s="85">
        <f t="shared" si="26"/>
        <v>21.552273540759792</v>
      </c>
      <c r="AG39" s="85">
        <f t="shared" si="26"/>
        <v>21.835475876555531</v>
      </c>
      <c r="AH39" s="85">
        <f t="shared" si="26"/>
        <v>22.125464605062643</v>
      </c>
      <c r="AI39" s="85">
        <f t="shared" si="26"/>
        <v>22.420546247887202</v>
      </c>
      <c r="AJ39" s="85">
        <f t="shared" si="26"/>
        <v>22.720894727168528</v>
      </c>
      <c r="AK39" s="85">
        <f t="shared" si="26"/>
        <v>23.026337408953545</v>
      </c>
    </row>
    <row r="40" spans="1:37" x14ac:dyDescent="0.2">
      <c r="A40" s="53" t="s">
        <v>92</v>
      </c>
      <c r="B40" s="113"/>
      <c r="C40" s="113"/>
      <c r="D40" s="113"/>
      <c r="E40" s="113"/>
      <c r="F40" s="84">
        <f>monthly_data!$P55*0.264172/1000</f>
        <v>50.518139904000002</v>
      </c>
      <c r="G40" s="84">
        <f>monthly_data!$P67*0.264172/1000</f>
        <v>7.0338436720000006</v>
      </c>
      <c r="H40" s="84">
        <f>monthly_data!$P79*0.264172/1000</f>
        <v>44.669371824000002</v>
      </c>
      <c r="I40" s="84">
        <f>monthly_data!$P91*0.264172/1000</f>
        <v>22.734642320000003</v>
      </c>
      <c r="J40" s="84">
        <f>monthly_data!$P103*0.264172/1000</f>
        <v>5.3161973280000003</v>
      </c>
      <c r="K40" s="84">
        <f>monthly_data!$P115*0.264172/1000</f>
        <v>12.805473528</v>
      </c>
      <c r="L40" s="85">
        <f t="shared" si="27"/>
        <v>19.106392431507267</v>
      </c>
      <c r="M40" s="85">
        <f t="shared" si="23"/>
        <v>21.600705308382224</v>
      </c>
      <c r="N40" s="85">
        <f t="shared" si="24"/>
        <v>16.77690420972371</v>
      </c>
      <c r="O40" s="85">
        <f t="shared" si="25"/>
        <v>15.607073240102668</v>
      </c>
      <c r="P40" s="85">
        <f t="shared" si="25"/>
        <v>17.759289101701963</v>
      </c>
      <c r="Q40" s="85">
        <f t="shared" si="25"/>
        <v>18.831606984727614</v>
      </c>
      <c r="R40" s="85">
        <f t="shared" si="25"/>
        <v>18.77856366255422</v>
      </c>
      <c r="S40" s="85">
        <f t="shared" si="25"/>
        <v>18.197233412570558</v>
      </c>
      <c r="T40" s="85">
        <f t="shared" si="25"/>
        <v>18.495570873633557</v>
      </c>
      <c r="U40" s="85">
        <f t="shared" si="25"/>
        <v>19.098580864310357</v>
      </c>
      <c r="V40" s="85">
        <f t="shared" si="25"/>
        <v>19.380357358156381</v>
      </c>
      <c r="W40" s="85">
        <f t="shared" si="25"/>
        <v>19.49815386178544</v>
      </c>
      <c r="X40" s="85">
        <f t="shared" si="25"/>
        <v>19.651432302959879</v>
      </c>
      <c r="Y40" s="85">
        <f t="shared" si="25"/>
        <v>19.957262594233679</v>
      </c>
      <c r="Z40" s="85">
        <f t="shared" si="25"/>
        <v>20.264740707747432</v>
      </c>
      <c r="AA40" s="85">
        <f t="shared" si="25"/>
        <v>20.51092727085296</v>
      </c>
      <c r="AB40" s="85">
        <f t="shared" si="25"/>
        <v>20.749785670641959</v>
      </c>
      <c r="AC40" s="85">
        <f t="shared" si="25"/>
        <v>21.013859705596971</v>
      </c>
      <c r="AD40" s="85">
        <f t="shared" si="25"/>
        <v>21.301028953456516</v>
      </c>
      <c r="AE40" s="85">
        <f t="shared" si="26"/>
        <v>21.584396081915912</v>
      </c>
      <c r="AF40" s="85">
        <f t="shared" si="26"/>
        <v>21.862824316302063</v>
      </c>
      <c r="AG40" s="85">
        <f t="shared" si="26"/>
        <v>22.148027268535351</v>
      </c>
      <c r="AH40" s="85">
        <f t="shared" si="26"/>
        <v>22.442940267641685</v>
      </c>
      <c r="AI40" s="85">
        <f t="shared" si="26"/>
        <v>22.74434169758953</v>
      </c>
      <c r="AJ40" s="85">
        <f t="shared" si="26"/>
        <v>23.048778395006355</v>
      </c>
      <c r="AK40" s="85">
        <f t="shared" si="26"/>
        <v>23.357673182572729</v>
      </c>
    </row>
    <row r="41" spans="1:37" x14ac:dyDescent="0.2">
      <c r="A41" s="53" t="s">
        <v>93</v>
      </c>
      <c r="B41" s="113"/>
      <c r="C41" s="113"/>
      <c r="D41" s="113"/>
      <c r="E41" s="113"/>
      <c r="F41" s="84">
        <f>monthly_data!$P56*0.264172/1000</f>
        <v>35.466940204000004</v>
      </c>
      <c r="G41" s="84">
        <f>monthly_data!$P68*0.264172/1000</f>
        <v>16.320810332000001</v>
      </c>
      <c r="H41" s="84">
        <f>monthly_data!$P80*0.264172/1000</f>
        <v>16.331905556000002</v>
      </c>
      <c r="I41" s="84">
        <f>monthly_data!$P92*0.264172/1000</f>
        <v>41.090105396000006</v>
      </c>
      <c r="J41" s="84">
        <f>monthly_data!$P104*0.264172/1000</f>
        <v>24.198419372</v>
      </c>
      <c r="K41" s="84">
        <f>monthly_data!$P116*0.264172/1000</f>
        <v>16.313149344000003</v>
      </c>
      <c r="L41" s="85">
        <f t="shared" si="27"/>
        <v>23.584705364028622</v>
      </c>
      <c r="M41" s="85">
        <f t="shared" si="23"/>
        <v>25.08676812113481</v>
      </c>
      <c r="N41" s="85">
        <f t="shared" si="24"/>
        <v>26.796085325448708</v>
      </c>
      <c r="O41" s="85">
        <f t="shared" si="25"/>
        <v>23.941255602405743</v>
      </c>
      <c r="P41" s="85">
        <f t="shared" si="25"/>
        <v>23.925755347067771</v>
      </c>
      <c r="Q41" s="85">
        <f t="shared" si="25"/>
        <v>25.564984394584393</v>
      </c>
      <c r="R41" s="85">
        <f t="shared" si="25"/>
        <v>25.980875815487213</v>
      </c>
      <c r="S41" s="85">
        <f t="shared" si="25"/>
        <v>26.171668178776859</v>
      </c>
      <c r="T41" s="85">
        <f t="shared" si="25"/>
        <v>26.047545614507026</v>
      </c>
      <c r="U41" s="85">
        <f t="shared" si="25"/>
        <v>26.489828981913707</v>
      </c>
      <c r="V41" s="85">
        <f t="shared" si="25"/>
        <v>27.027243239625644</v>
      </c>
      <c r="W41" s="85">
        <f t="shared" si="25"/>
        <v>27.33616943115063</v>
      </c>
      <c r="X41" s="85">
        <f t="shared" si="25"/>
        <v>27.622976784004223</v>
      </c>
      <c r="Y41" s="85">
        <f t="shared" si="25"/>
        <v>27.929793014427773</v>
      </c>
      <c r="Z41" s="85">
        <f t="shared" si="25"/>
        <v>28.326178827256726</v>
      </c>
      <c r="AA41" s="85">
        <f t="shared" si="25"/>
        <v>28.71314550720642</v>
      </c>
      <c r="AB41" s="85">
        <f t="shared" si="25"/>
        <v>29.068965951742527</v>
      </c>
      <c r="AC41" s="85">
        <f t="shared" si="25"/>
        <v>29.434624062691299</v>
      </c>
      <c r="AD41" s="85">
        <f t="shared" si="25"/>
        <v>29.816764758029112</v>
      </c>
      <c r="AE41" s="85">
        <f t="shared" si="26"/>
        <v>30.214662417705011</v>
      </c>
      <c r="AF41" s="85">
        <f t="shared" si="26"/>
        <v>30.612978156120466</v>
      </c>
      <c r="AG41" s="85">
        <f t="shared" si="26"/>
        <v>31.013755566130953</v>
      </c>
      <c r="AH41" s="85">
        <f t="shared" si="26"/>
        <v>31.423983540396549</v>
      </c>
      <c r="AI41" s="85">
        <f t="shared" si="26"/>
        <v>31.84358458024742</v>
      </c>
      <c r="AJ41" s="85">
        <f t="shared" si="26"/>
        <v>32.271082418841644</v>
      </c>
      <c r="AK41" s="85">
        <f t="shared" si="26"/>
        <v>32.704843434761273</v>
      </c>
    </row>
    <row r="42" spans="1:37" x14ac:dyDescent="0.2">
      <c r="A42" s="53" t="s">
        <v>94</v>
      </c>
      <c r="B42" s="113"/>
      <c r="C42" s="113"/>
      <c r="D42" s="113"/>
      <c r="E42" s="113"/>
      <c r="F42" s="84">
        <f>monthly_data!$P57*0.264172/1000</f>
        <v>35.923957764000001</v>
      </c>
      <c r="G42" s="84">
        <f>monthly_data!$P69*0.264172/1000</f>
        <v>31.989115823999999</v>
      </c>
      <c r="H42" s="84">
        <f>monthly_data!$P81*0.264172/1000</f>
        <v>37.797993932000004</v>
      </c>
      <c r="I42" s="84">
        <f>monthly_data!$P93*0.264172/1000</f>
        <v>15.651926828000002</v>
      </c>
      <c r="J42" s="84">
        <f>monthly_data!$P105*0.264172/1000</f>
        <v>4.5905168440000006</v>
      </c>
      <c r="K42" s="84">
        <f>monthly_data!$P117*0.264172/1000</f>
        <v>16.921009116</v>
      </c>
      <c r="L42" s="85">
        <f t="shared" si="27"/>
        <v>22.077029216272177</v>
      </c>
      <c r="M42" s="85">
        <f t="shared" si="23"/>
        <v>20.033048886428478</v>
      </c>
      <c r="N42" s="85">
        <f t="shared" si="24"/>
        <v>16.305895243779783</v>
      </c>
      <c r="O42" s="85">
        <f t="shared" si="25"/>
        <v>16.49921612074963</v>
      </c>
      <c r="P42" s="85">
        <f t="shared" si="25"/>
        <v>18.987323995993314</v>
      </c>
      <c r="Q42" s="85">
        <f t="shared" si="25"/>
        <v>19.464261285131268</v>
      </c>
      <c r="R42" s="85">
        <f t="shared" si="25"/>
        <v>18.926628127357162</v>
      </c>
      <c r="S42" s="85">
        <f t="shared" si="25"/>
        <v>18.701113747808751</v>
      </c>
      <c r="T42" s="85">
        <f t="shared" si="25"/>
        <v>19.201757172010954</v>
      </c>
      <c r="U42" s="85">
        <f t="shared" si="25"/>
        <v>19.766334371134992</v>
      </c>
      <c r="V42" s="85">
        <f t="shared" si="25"/>
        <v>19.931990932157436</v>
      </c>
      <c r="W42" s="85">
        <f t="shared" si="25"/>
        <v>20.033083955029195</v>
      </c>
      <c r="X42" s="85">
        <f t="shared" si="25"/>
        <v>20.266774560109454</v>
      </c>
      <c r="Y42" s="85">
        <f t="shared" si="25"/>
        <v>20.595868978598912</v>
      </c>
      <c r="Z42" s="85">
        <f t="shared" si="25"/>
        <v>20.889439535501786</v>
      </c>
      <c r="AA42" s="85">
        <f t="shared" si="25"/>
        <v>21.126806065340045</v>
      </c>
      <c r="AB42" s="85">
        <f t="shared" si="25"/>
        <v>21.379130746832491</v>
      </c>
      <c r="AC42" s="85">
        <f t="shared" si="25"/>
        <v>21.662944065523487</v>
      </c>
      <c r="AD42" s="85">
        <f t="shared" si="25"/>
        <v>21.957250049083171</v>
      </c>
      <c r="AE42" s="85">
        <f t="shared" si="26"/>
        <v>22.244403364274326</v>
      </c>
      <c r="AF42" s="85">
        <f t="shared" si="26"/>
        <v>22.530296733395385</v>
      </c>
      <c r="AG42" s="85">
        <f t="shared" si="26"/>
        <v>22.826352909991577</v>
      </c>
      <c r="AH42" s="85">
        <f t="shared" si="26"/>
        <v>23.131578650973516</v>
      </c>
      <c r="AI42" s="85">
        <f t="shared" si="26"/>
        <v>23.441334668147398</v>
      </c>
      <c r="AJ42" s="85">
        <f t="shared" si="26"/>
        <v>23.754381282742866</v>
      </c>
      <c r="AK42" s="85">
        <f t="shared" si="26"/>
        <v>24.072891764485565</v>
      </c>
    </row>
    <row r="43" spans="1:37" x14ac:dyDescent="0.2">
      <c r="A43" s="53" t="s">
        <v>95</v>
      </c>
      <c r="B43" s="113"/>
      <c r="C43" s="113"/>
      <c r="D43" s="113"/>
      <c r="E43" s="113"/>
      <c r="F43" s="84">
        <f>monthly_data!$P58*0.264172/1000</f>
        <v>57.7744164</v>
      </c>
      <c r="G43" s="84">
        <f>monthly_data!$P70*0.264172/1000</f>
        <v>16.175779904000002</v>
      </c>
      <c r="H43" s="84">
        <f>monthly_data!$P82*0.264172/1000</f>
        <v>24.911947944000005</v>
      </c>
      <c r="I43" s="84">
        <f>monthly_data!$P94*0.264172/1000</f>
        <v>24.928326608000003</v>
      </c>
      <c r="J43" s="84">
        <f>monthly_data!$P106*0.264172/1000</f>
        <v>36.547667855999997</v>
      </c>
      <c r="K43" s="84">
        <f>monthly_data!$P118*0.264172/1000</f>
        <v>25.918971608000003</v>
      </c>
      <c r="L43" s="85">
        <f t="shared" si="27"/>
        <v>26.521750984621875</v>
      </c>
      <c r="M43" s="85">
        <f t="shared" si="23"/>
        <v>28.660398939298322</v>
      </c>
      <c r="N43" s="85">
        <f t="shared" si="24"/>
        <v>29.326907625637681</v>
      </c>
      <c r="O43" s="85">
        <f t="shared" si="25"/>
        <v>30.339793069541113</v>
      </c>
      <c r="P43" s="85">
        <f t="shared" si="25"/>
        <v>29.104038386497312</v>
      </c>
      <c r="Q43" s="85">
        <f t="shared" si="25"/>
        <v>29.838782169039554</v>
      </c>
      <c r="R43" s="85">
        <f t="shared" si="25"/>
        <v>30.532706576582555</v>
      </c>
      <c r="S43" s="85">
        <f t="shared" si="25"/>
        <v>30.927289210284286</v>
      </c>
      <c r="T43" s="85">
        <f t="shared" si="25"/>
        <v>31.265592209002829</v>
      </c>
      <c r="U43" s="85">
        <f t="shared" si="25"/>
        <v>31.464046595390531</v>
      </c>
      <c r="V43" s="85">
        <f t="shared" si="25"/>
        <v>31.96012887181568</v>
      </c>
      <c r="W43" s="85">
        <f t="shared" si="25"/>
        <v>32.406835459754575</v>
      </c>
      <c r="X43" s="85">
        <f t="shared" si="25"/>
        <v>32.802357895699714</v>
      </c>
      <c r="Y43" s="85">
        <f t="shared" si="25"/>
        <v>33.198185587021051</v>
      </c>
      <c r="Z43" s="85">
        <f t="shared" si="25"/>
        <v>33.606066927220176</v>
      </c>
      <c r="AA43" s="85">
        <f t="shared" si="25"/>
        <v>34.05755708116795</v>
      </c>
      <c r="AB43" s="85">
        <f t="shared" si="25"/>
        <v>34.499908791770359</v>
      </c>
      <c r="AC43" s="85">
        <f t="shared" si="25"/>
        <v>34.941474836337719</v>
      </c>
      <c r="AD43" s="85">
        <f t="shared" si="25"/>
        <v>35.392726206997253</v>
      </c>
      <c r="AE43" s="85">
        <f t="shared" si="26"/>
        <v>35.855615724539284</v>
      </c>
      <c r="AF43" s="85">
        <f t="shared" si="26"/>
        <v>36.330061090942174</v>
      </c>
      <c r="AG43" s="85">
        <f t="shared" si="26"/>
        <v>36.809401164281695</v>
      </c>
      <c r="AH43" s="85">
        <f t="shared" si="26"/>
        <v>37.296554655469706</v>
      </c>
      <c r="AI43" s="85">
        <f t="shared" si="26"/>
        <v>37.793312008568847</v>
      </c>
      <c r="AJ43" s="85">
        <f t="shared" si="26"/>
        <v>38.299658881656384</v>
      </c>
      <c r="AK43" s="85">
        <f t="shared" si="26"/>
        <v>38.815171487852425</v>
      </c>
    </row>
    <row r="44" spans="1:37" x14ac:dyDescent="0.2">
      <c r="A44" s="53" t="s">
        <v>96</v>
      </c>
      <c r="B44" s="113"/>
      <c r="C44" s="113"/>
      <c r="D44" s="113"/>
      <c r="E44" s="113"/>
      <c r="F44" s="84">
        <f>monthly_data!$P59*0.264172/1000</f>
        <v>22.012924416000001</v>
      </c>
      <c r="G44" s="84">
        <f>monthly_data!$P71*0.264172/1000</f>
        <v>30.128024084</v>
      </c>
      <c r="H44" s="84">
        <f>monthly_data!$P83*0.264172/1000</f>
        <v>17.618951540000001</v>
      </c>
      <c r="I44" s="84">
        <f>monthly_data!$P95*0.264172/1000</f>
        <v>25.498145612000002</v>
      </c>
      <c r="J44" s="84">
        <f>monthly_data!$P107*0.264172/1000</f>
        <v>29.394682612</v>
      </c>
      <c r="K44" s="84">
        <f>monthly_data!$P119*0.264172/1000</f>
        <v>20.055409896</v>
      </c>
      <c r="L44" s="85">
        <f t="shared" si="27"/>
        <v>25.32708341210132</v>
      </c>
      <c r="M44" s="85">
        <f t="shared" si="23"/>
        <v>24.338611185880545</v>
      </c>
      <c r="N44" s="85">
        <f t="shared" si="24"/>
        <v>25.632032659380322</v>
      </c>
      <c r="O44" s="85">
        <f t="shared" si="25"/>
        <v>25.751352873042443</v>
      </c>
      <c r="P44" s="85">
        <f t="shared" si="25"/>
        <v>25.03860378559682</v>
      </c>
      <c r="Q44" s="85">
        <f t="shared" si="25"/>
        <v>26.13565424464678</v>
      </c>
      <c r="R44" s="85">
        <f t="shared" si="25"/>
        <v>26.308740487572923</v>
      </c>
      <c r="S44" s="85">
        <f t="shared" si="25"/>
        <v>26.722732971512134</v>
      </c>
      <c r="T44" s="85">
        <f t="shared" si="25"/>
        <v>26.954457138532906</v>
      </c>
      <c r="U44" s="85">
        <f t="shared" si="25"/>
        <v>27.20955752000588</v>
      </c>
      <c r="V44" s="85">
        <f t="shared" si="25"/>
        <v>27.66554757980802</v>
      </c>
      <c r="W44" s="85">
        <f t="shared" si="25"/>
        <v>27.988639219503007</v>
      </c>
      <c r="X44" s="85">
        <f t="shared" si="25"/>
        <v>28.342958346776495</v>
      </c>
      <c r="Y44" s="85">
        <f t="shared" si="25"/>
        <v>28.684988285845055</v>
      </c>
      <c r="Z44" s="85">
        <f t="shared" si="25"/>
        <v>29.050017753593277</v>
      </c>
      <c r="AA44" s="85">
        <f t="shared" si="25"/>
        <v>29.4379800943363</v>
      </c>
      <c r="AB44" s="85">
        <f t="shared" si="25"/>
        <v>29.811917558646268</v>
      </c>
      <c r="AC44" s="85">
        <f t="shared" si="25"/>
        <v>30.196519653337887</v>
      </c>
      <c r="AD44" s="85">
        <f t="shared" si="25"/>
        <v>30.587517007950382</v>
      </c>
      <c r="AE44" s="85">
        <f t="shared" si="26"/>
        <v>30.988794907247414</v>
      </c>
      <c r="AF44" s="85">
        <f t="shared" si="26"/>
        <v>31.397712718750775</v>
      </c>
      <c r="AG44" s="85">
        <f t="shared" si="26"/>
        <v>31.811092509684091</v>
      </c>
      <c r="AH44" s="85">
        <f t="shared" si="26"/>
        <v>32.232779381485443</v>
      </c>
      <c r="AI44" s="85">
        <f t="shared" si="26"/>
        <v>32.662285251842135</v>
      </c>
      <c r="AJ44" s="85">
        <f t="shared" si="26"/>
        <v>33.099908322306959</v>
      </c>
      <c r="AK44" s="85">
        <f t="shared" si="26"/>
        <v>33.54520049925214</v>
      </c>
    </row>
    <row r="45" spans="1:37" x14ac:dyDescent="0.2">
      <c r="A45" s="53" t="s">
        <v>97</v>
      </c>
      <c r="B45" s="113"/>
      <c r="C45" s="113"/>
      <c r="D45" s="113"/>
      <c r="E45" s="113"/>
      <c r="F45" s="84">
        <f>monthly_data!$P60*0.264172/1000</f>
        <v>27.093744492000003</v>
      </c>
      <c r="G45" s="84">
        <f>monthly_data!$P72*0.264172/1000</f>
        <v>43.516525216000005</v>
      </c>
      <c r="H45" s="84">
        <f>monthly_data!$P84*0.264172/1000</f>
        <v>28.030762576000001</v>
      </c>
      <c r="I45" s="84">
        <f>monthly_data!$P96*0.264172/1000</f>
        <v>11.458460500000001</v>
      </c>
      <c r="J45" s="84">
        <f>monthly_data!$P108*0.264172/1000</f>
        <v>21.029412060000002</v>
      </c>
      <c r="K45" s="84">
        <f>monthly_data!$P120*0.264172/1000</f>
        <v>25.699973020000002</v>
      </c>
      <c r="L45" s="85">
        <f t="shared" si="27"/>
        <v>26.780282980300164</v>
      </c>
      <c r="M45" s="85">
        <f t="shared" si="23"/>
        <v>23.327987052603262</v>
      </c>
      <c r="N45" s="85">
        <f t="shared" si="24"/>
        <v>22.275595607403623</v>
      </c>
      <c r="O45" s="85">
        <f t="shared" si="25"/>
        <v>24.588224122258254</v>
      </c>
      <c r="P45" s="85">
        <f t="shared" si="25"/>
        <v>25.362702695043083</v>
      </c>
      <c r="Q45" s="85">
        <f t="shared" si="25"/>
        <v>25.357748976439996</v>
      </c>
      <c r="R45" s="85">
        <f t="shared" si="25"/>
        <v>25.068109659575537</v>
      </c>
      <c r="S45" s="85">
        <f t="shared" si="25"/>
        <v>25.434149111594476</v>
      </c>
      <c r="T45" s="85">
        <f t="shared" si="25"/>
        <v>26.094502349966373</v>
      </c>
      <c r="U45" s="85">
        <f t="shared" si="25"/>
        <v>26.412321154833403</v>
      </c>
      <c r="V45" s="85">
        <f t="shared" si="25"/>
        <v>26.635477764328151</v>
      </c>
      <c r="W45" s="85">
        <f t="shared" si="25"/>
        <v>26.906028112374887</v>
      </c>
      <c r="X45" s="85">
        <f t="shared" si="25"/>
        <v>27.29293179979453</v>
      </c>
      <c r="Y45" s="85">
        <f t="shared" si="25"/>
        <v>27.684282040003861</v>
      </c>
      <c r="Z45" s="85">
        <f t="shared" si="25"/>
        <v>28.019885285179488</v>
      </c>
      <c r="AA45" s="85">
        <f t="shared" si="25"/>
        <v>28.359272772813213</v>
      </c>
      <c r="AB45" s="85">
        <f t="shared" si="25"/>
        <v>28.722896260783944</v>
      </c>
      <c r="AC45" s="85">
        <f t="shared" si="25"/>
        <v>29.105956109329689</v>
      </c>
      <c r="AD45" s="85">
        <f t="shared" si="25"/>
        <v>29.488319996536141</v>
      </c>
      <c r="AE45" s="85">
        <f t="shared" si="26"/>
        <v>29.868916477517807</v>
      </c>
      <c r="AF45" s="85">
        <f t="shared" si="26"/>
        <v>30.258964827034387</v>
      </c>
      <c r="AG45" s="85">
        <f t="shared" si="26"/>
        <v>30.659646771494565</v>
      </c>
      <c r="AH45" s="85">
        <f t="shared" si="26"/>
        <v>31.068137085889692</v>
      </c>
      <c r="AI45" s="85">
        <f t="shared" si="26"/>
        <v>31.482019080581853</v>
      </c>
      <c r="AJ45" s="85">
        <f t="shared" si="26"/>
        <v>31.902560046695964</v>
      </c>
      <c r="AK45" s="85">
        <f t="shared" si="26"/>
        <v>32.331514819256562</v>
      </c>
    </row>
    <row r="46" spans="1:37" x14ac:dyDescent="0.2">
      <c r="A46" s="53" t="s">
        <v>98</v>
      </c>
      <c r="B46" s="113"/>
      <c r="C46" s="113"/>
      <c r="D46" s="113"/>
      <c r="E46" s="113"/>
      <c r="F46" s="84">
        <f>monthly_data!$P61*0.264172/1000</f>
        <v>38.708330644</v>
      </c>
      <c r="G46" s="84">
        <f>monthly_data!$P73*0.264172/1000</f>
        <v>12.665726540000001</v>
      </c>
      <c r="H46" s="84">
        <f>monthly_data!$P85*0.264172/1000</f>
        <v>33.497802115999995</v>
      </c>
      <c r="I46" s="84">
        <f>monthly_data!$P97*0.264172/1000</f>
        <v>18.910488447999999</v>
      </c>
      <c r="J46" s="84">
        <f>monthly_data!$P109*0.264172/1000</f>
        <v>21.379439959999999</v>
      </c>
      <c r="K46" s="84">
        <f>monthly_data!$P121*0.264172/1000</f>
        <v>28.888264888000002</v>
      </c>
      <c r="L46" s="85">
        <f t="shared" si="27"/>
        <v>23.809155415539237</v>
      </c>
      <c r="M46" s="85">
        <f t="shared" si="23"/>
        <v>26.112149696162202</v>
      </c>
      <c r="N46" s="85">
        <f t="shared" si="24"/>
        <v>24.497760132575468</v>
      </c>
      <c r="O46" s="85">
        <f t="shared" si="25"/>
        <v>25.738750555203463</v>
      </c>
      <c r="P46" s="85">
        <f t="shared" si="25"/>
        <v>26.68054407985607</v>
      </c>
      <c r="Q46" s="85">
        <f t="shared" si="25"/>
        <v>26.291255543823315</v>
      </c>
      <c r="R46" s="85">
        <f t="shared" si="25"/>
        <v>26.811338355224393</v>
      </c>
      <c r="S46" s="85">
        <f t="shared" si="25"/>
        <v>26.961882867878412</v>
      </c>
      <c r="T46" s="85">
        <f t="shared" si="25"/>
        <v>27.478518430350384</v>
      </c>
      <c r="U46" s="85">
        <f t="shared" si="25"/>
        <v>27.845058403065607</v>
      </c>
      <c r="V46" s="85">
        <f t="shared" si="25"/>
        <v>28.092346411019506</v>
      </c>
      <c r="W46" s="85">
        <f t="shared" si="25"/>
        <v>28.471807660953075</v>
      </c>
      <c r="X46" s="85">
        <f t="shared" si="25"/>
        <v>28.822190474151569</v>
      </c>
      <c r="Y46" s="85">
        <f t="shared" si="25"/>
        <v>29.214161578999239</v>
      </c>
      <c r="Z46" s="85">
        <f t="shared" si="25"/>
        <v>29.580357134193083</v>
      </c>
      <c r="AA46" s="85">
        <f t="shared" si="25"/>
        <v>29.946581259859077</v>
      </c>
      <c r="AB46" s="85">
        <f t="shared" si="25"/>
        <v>30.337611477057827</v>
      </c>
      <c r="AC46" s="85">
        <f t="shared" si="25"/>
        <v>30.731151129834689</v>
      </c>
      <c r="AD46" s="85">
        <f t="shared" si="25"/>
        <v>31.133764135830997</v>
      </c>
      <c r="AE46" s="85">
        <f t="shared" si="26"/>
        <v>31.538694884943364</v>
      </c>
      <c r="AF46" s="85">
        <f t="shared" si="26"/>
        <v>31.951783074722695</v>
      </c>
      <c r="AG46" s="85">
        <f t="shared" si="26"/>
        <v>32.374721363068922</v>
      </c>
      <c r="AH46" s="85">
        <f t="shared" si="26"/>
        <v>32.80440244675308</v>
      </c>
      <c r="AI46" s="85">
        <f t="shared" si="26"/>
        <v>33.241708346086945</v>
      </c>
      <c r="AJ46" s="85">
        <f t="shared" si="26"/>
        <v>33.686339523895441</v>
      </c>
      <c r="AK46" s="85">
        <f t="shared" si="26"/>
        <v>34.139339616806858</v>
      </c>
    </row>
    <row r="47" spans="1:37" x14ac:dyDescent="0.2">
      <c r="A47" s="53" t="s">
        <v>99</v>
      </c>
      <c r="B47" s="113"/>
      <c r="C47" s="113"/>
      <c r="D47" s="113"/>
      <c r="E47" s="113"/>
      <c r="F47" s="84">
        <f>monthly_data!$P62*0.264172/1000</f>
        <v>25.758883376</v>
      </c>
      <c r="G47" s="84">
        <f>monthly_data!$P74*0.264172/1000</f>
        <v>23.765705636000003</v>
      </c>
      <c r="H47" s="84">
        <f>monthly_data!$P86*0.264172/1000</f>
        <v>34.851419444000001</v>
      </c>
      <c r="I47" s="84">
        <f>monthly_data!$P98*0.264172/1000</f>
        <v>11.284371152000002</v>
      </c>
      <c r="J47" s="84">
        <f>monthly_data!$P110*0.264172/1000</f>
        <v>22.621576704000002</v>
      </c>
      <c r="K47" s="84">
        <f>monthly_data!$P122*0.264172/1000</f>
        <v>11.884569936000002</v>
      </c>
      <c r="L47" s="85">
        <f t="shared" si="27"/>
        <v>21.552112744979368</v>
      </c>
      <c r="M47" s="85">
        <f t="shared" si="23"/>
        <v>21.097388220684401</v>
      </c>
      <c r="N47" s="85">
        <f t="shared" si="24"/>
        <v>18.19136431816931</v>
      </c>
      <c r="O47" s="85">
        <f t="shared" si="25"/>
        <v>19.682224138738498</v>
      </c>
      <c r="P47" s="85">
        <f t="shared" si="25"/>
        <v>19.105474693210784</v>
      </c>
      <c r="Q47" s="85">
        <f t="shared" si="25"/>
        <v>20.651166107193937</v>
      </c>
      <c r="R47" s="85">
        <f t="shared" si="25"/>
        <v>20.468683432240802</v>
      </c>
      <c r="S47" s="85">
        <f t="shared" si="25"/>
        <v>20.342551456837818</v>
      </c>
      <c r="T47" s="85">
        <f t="shared" si="25"/>
        <v>20.792918156109888</v>
      </c>
      <c r="U47" s="85">
        <f t="shared" si="25"/>
        <v>21.027587557382223</v>
      </c>
      <c r="V47" s="85">
        <f t="shared" si="25"/>
        <v>21.430688428335507</v>
      </c>
      <c r="W47" s="85">
        <f t="shared" si="25"/>
        <v>21.59679233804545</v>
      </c>
      <c r="X47" s="85">
        <f t="shared" si="25"/>
        <v>21.835290989293849</v>
      </c>
      <c r="Y47" s="85">
        <f t="shared" si="25"/>
        <v>22.149557580625782</v>
      </c>
      <c r="Z47" s="85">
        <f t="shared" si="25"/>
        <v>22.435653486642892</v>
      </c>
      <c r="AA47" s="85">
        <f t="shared" si="25"/>
        <v>22.732509968677487</v>
      </c>
      <c r="AB47" s="85">
        <f t="shared" si="25"/>
        <v>23.007376852961272</v>
      </c>
      <c r="AC47" s="85">
        <f t="shared" si="25"/>
        <v>23.304914416019784</v>
      </c>
      <c r="AD47" s="85">
        <f t="shared" si="25"/>
        <v>23.614800393834674</v>
      </c>
      <c r="AE47" s="85">
        <f t="shared" si="26"/>
        <v>23.923857706895685</v>
      </c>
      <c r="AF47" s="85">
        <f t="shared" si="26"/>
        <v>24.237768599028488</v>
      </c>
      <c r="AG47" s="85">
        <f t="shared" si="26"/>
        <v>24.555305793397071</v>
      </c>
      <c r="AH47" s="85">
        <f t="shared" si="26"/>
        <v>24.881797130687616</v>
      </c>
      <c r="AI47" s="85">
        <f t="shared" si="26"/>
        <v>25.214392553802025</v>
      </c>
      <c r="AJ47" s="85">
        <f t="shared" si="26"/>
        <v>25.551794469736699</v>
      </c>
      <c r="AK47" s="85">
        <f t="shared" si="26"/>
        <v>25.895176318510991</v>
      </c>
    </row>
    <row r="48" spans="1:37" x14ac:dyDescent="0.2">
      <c r="A48" s="53" t="s">
        <v>100</v>
      </c>
      <c r="B48" s="113"/>
      <c r="C48" s="113"/>
      <c r="D48" s="113"/>
      <c r="E48" s="113"/>
      <c r="F48" s="84">
        <f>monthly_data!$P63*0.264172/1000</f>
        <v>12.03831804</v>
      </c>
      <c r="G48" s="84">
        <f>monthly_data!$P75*0.264172/1000</f>
        <v>5.1579583000000007</v>
      </c>
      <c r="H48" s="84">
        <f>monthly_data!$P87*0.264172/1000</f>
        <v>10.342069628000001</v>
      </c>
      <c r="I48" s="84">
        <f>monthly_data!$P99*0.264172/1000</f>
        <v>51.448289516000003</v>
      </c>
      <c r="J48" s="84">
        <f>monthly_data!$P111*0.264172/1000</f>
        <v>3.3568336040000002</v>
      </c>
      <c r="K48" s="84">
        <f>monthly_data!$P123*0.264172/1000</f>
        <v>8.7369605559999997</v>
      </c>
      <c r="L48" s="85">
        <f t="shared" ref="L48:V48" si="28">L49-SUM(L37:L47)</f>
        <v>7.8788568895948288</v>
      </c>
      <c r="M48" s="85">
        <f t="shared" si="28"/>
        <v>8.3357188329797509</v>
      </c>
      <c r="N48" s="85">
        <f t="shared" si="28"/>
        <v>9.1727436063849837</v>
      </c>
      <c r="O48" s="85">
        <f t="shared" si="28"/>
        <v>-0.22296732208991443</v>
      </c>
      <c r="P48" s="85">
        <f t="shared" si="28"/>
        <v>-1.3736051282164965</v>
      </c>
      <c r="Q48" s="85">
        <f t="shared" si="28"/>
        <v>-4.3747179328830725</v>
      </c>
      <c r="R48" s="85">
        <f t="shared" si="28"/>
        <v>-6.9172216188087816</v>
      </c>
      <c r="S48" s="85">
        <f t="shared" si="28"/>
        <v>-10.053447157705023</v>
      </c>
      <c r="T48" s="85">
        <f t="shared" si="28"/>
        <v>-14.079084981023385</v>
      </c>
      <c r="U48" s="85">
        <f t="shared" si="28"/>
        <v>-17.03665953582572</v>
      </c>
      <c r="V48" s="85">
        <f t="shared" si="28"/>
        <v>-20.371553222185526</v>
      </c>
      <c r="W48" s="85">
        <f t="shared" ref="W48:AK48" si="29">W49-SUM(W37:W47)</f>
        <v>-23.728020029216481</v>
      </c>
      <c r="X48" s="85">
        <f t="shared" si="29"/>
        <v>-27.261245335175914</v>
      </c>
      <c r="Y48" s="85">
        <f t="shared" si="29"/>
        <v>-30.892141991555548</v>
      </c>
      <c r="Z48" s="85">
        <f t="shared" si="29"/>
        <v>-34.445949224451056</v>
      </c>
      <c r="AA48" s="85">
        <f t="shared" si="29"/>
        <v>-38.119984559555775</v>
      </c>
      <c r="AB48" s="85">
        <f t="shared" si="29"/>
        <v>-41.859626217118432</v>
      </c>
      <c r="AC48" s="85">
        <f t="shared" si="29"/>
        <v>-45.682889764062253</v>
      </c>
      <c r="AD48" s="85">
        <f t="shared" si="29"/>
        <v>-49.569649273225423</v>
      </c>
      <c r="AE48" s="85">
        <f t="shared" si="29"/>
        <v>-53.510329194832735</v>
      </c>
      <c r="AF48" s="85">
        <f t="shared" si="29"/>
        <v>-57.531321486217678</v>
      </c>
      <c r="AG48" s="85">
        <f t="shared" si="29"/>
        <v>-61.625061369063019</v>
      </c>
      <c r="AH48" s="85">
        <f t="shared" si="29"/>
        <v>-65.794170517634598</v>
      </c>
      <c r="AI48" s="85">
        <f t="shared" si="29"/>
        <v>-70.036475242526222</v>
      </c>
      <c r="AJ48" s="85">
        <f t="shared" si="29"/>
        <v>-74.353601527072186</v>
      </c>
      <c r="AK48" s="85">
        <f t="shared" si="29"/>
        <v>-78.749935133569295</v>
      </c>
    </row>
    <row r="49" spans="1:37" x14ac:dyDescent="0.2">
      <c r="A49" s="86" t="s">
        <v>101</v>
      </c>
      <c r="B49" s="95"/>
      <c r="C49" s="95"/>
      <c r="D49" s="95"/>
      <c r="E49" s="95"/>
      <c r="F49" s="95">
        <f t="shared" ref="F49:K49" si="30">SUM(F37:F48)</f>
        <v>369.36713960399999</v>
      </c>
      <c r="G49" s="95">
        <f t="shared" si="30"/>
        <v>250.604918596</v>
      </c>
      <c r="H49" s="95">
        <f t="shared" si="30"/>
        <v>320.17857737599996</v>
      </c>
      <c r="I49" s="95">
        <f t="shared" si="30"/>
        <v>286.412904852</v>
      </c>
      <c r="J49" s="95">
        <f t="shared" si="30"/>
        <v>244.671087132</v>
      </c>
      <c r="K49" s="95">
        <f t="shared" si="30"/>
        <v>211.78061644400003</v>
      </c>
      <c r="L49" s="95">
        <f t="shared" ref="L49:AK49" si="31">L5</f>
        <v>262.72962087999997</v>
      </c>
      <c r="M49" s="95">
        <f t="shared" si="31"/>
        <v>265.15456133679999</v>
      </c>
      <c r="N49" s="95">
        <f t="shared" si="31"/>
        <v>254.14975812896</v>
      </c>
      <c r="O49" s="95">
        <f t="shared" si="31"/>
        <v>247.69712878435197</v>
      </c>
      <c r="P49" s="95">
        <f t="shared" si="31"/>
        <v>248.30233711482236</v>
      </c>
      <c r="Q49" s="95">
        <f t="shared" si="31"/>
        <v>255.60668124898683</v>
      </c>
      <c r="R49" s="95">
        <f t="shared" si="31"/>
        <v>254.18209332278425</v>
      </c>
      <c r="S49" s="95">
        <f t="shared" si="31"/>
        <v>251.98759971998112</v>
      </c>
      <c r="T49" s="95">
        <f t="shared" si="31"/>
        <v>251.55516803818531</v>
      </c>
      <c r="U49" s="95">
        <f t="shared" si="31"/>
        <v>252.32677588895194</v>
      </c>
      <c r="V49" s="95">
        <f t="shared" si="31"/>
        <v>253.13166364377793</v>
      </c>
      <c r="W49" s="95">
        <f t="shared" si="31"/>
        <v>252.63666012273612</v>
      </c>
      <c r="X49" s="95">
        <f t="shared" si="31"/>
        <v>252.32757348272648</v>
      </c>
      <c r="Y49" s="95">
        <f t="shared" si="31"/>
        <v>252.39556823527556</v>
      </c>
      <c r="Z49" s="95">
        <f t="shared" si="31"/>
        <v>252.56364827469361</v>
      </c>
      <c r="AA49" s="95">
        <f t="shared" si="31"/>
        <v>252.61102275184194</v>
      </c>
      <c r="AB49" s="95">
        <f t="shared" si="31"/>
        <v>252.50689457345476</v>
      </c>
      <c r="AC49" s="95">
        <f t="shared" si="31"/>
        <v>252.48094146359844</v>
      </c>
      <c r="AD49" s="95">
        <f t="shared" si="31"/>
        <v>252.51161505977285</v>
      </c>
      <c r="AE49" s="95">
        <f t="shared" si="31"/>
        <v>252.53482442467234</v>
      </c>
      <c r="AF49" s="95">
        <f t="shared" si="31"/>
        <v>252.52905965466806</v>
      </c>
      <c r="AG49" s="95">
        <f t="shared" si="31"/>
        <v>252.51266703523328</v>
      </c>
      <c r="AH49" s="95">
        <f t="shared" si="31"/>
        <v>252.51382152758902</v>
      </c>
      <c r="AI49" s="95">
        <f t="shared" si="31"/>
        <v>252.52039754038711</v>
      </c>
      <c r="AJ49" s="95">
        <f t="shared" si="31"/>
        <v>252.52215403650999</v>
      </c>
      <c r="AK49" s="95">
        <f t="shared" si="31"/>
        <v>252.51961995887751</v>
      </c>
    </row>
    <row r="51" spans="1:37" ht="12" thickBot="1" x14ac:dyDescent="0.25">
      <c r="A51" s="81" t="s">
        <v>160</v>
      </c>
    </row>
    <row r="52" spans="1:37" ht="12" thickBot="1" x14ac:dyDescent="0.25">
      <c r="A52" s="128" t="s">
        <v>74</v>
      </c>
      <c r="B52" s="92">
        <f t="shared" ref="B52:T52" si="32">B36</f>
        <v>2015</v>
      </c>
      <c r="C52" s="92">
        <f t="shared" si="32"/>
        <v>2016</v>
      </c>
      <c r="D52" s="92">
        <f t="shared" si="32"/>
        <v>2017</v>
      </c>
      <c r="E52" s="92">
        <f t="shared" si="32"/>
        <v>2018</v>
      </c>
      <c r="F52" s="92">
        <f t="shared" si="32"/>
        <v>2019</v>
      </c>
      <c r="G52" s="92">
        <f t="shared" si="32"/>
        <v>2020</v>
      </c>
      <c r="H52" s="92">
        <f t="shared" si="32"/>
        <v>2021</v>
      </c>
      <c r="I52" s="92">
        <f t="shared" si="32"/>
        <v>2022</v>
      </c>
      <c r="J52" s="92">
        <f t="shared" si="32"/>
        <v>2023</v>
      </c>
      <c r="K52" s="92">
        <f t="shared" si="32"/>
        <v>2024</v>
      </c>
      <c r="L52" s="92">
        <f t="shared" si="32"/>
        <v>2025</v>
      </c>
      <c r="M52" s="92">
        <f t="shared" si="32"/>
        <v>2026</v>
      </c>
      <c r="N52" s="92">
        <f t="shared" si="32"/>
        <v>2027</v>
      </c>
      <c r="O52" s="92">
        <f t="shared" si="32"/>
        <v>2028</v>
      </c>
      <c r="P52" s="92">
        <f t="shared" si="32"/>
        <v>2029</v>
      </c>
      <c r="Q52" s="92">
        <f t="shared" si="32"/>
        <v>2030</v>
      </c>
      <c r="R52" s="92">
        <f t="shared" si="32"/>
        <v>2031</v>
      </c>
      <c r="S52" s="92">
        <f t="shared" si="32"/>
        <v>2032</v>
      </c>
      <c r="T52" s="92">
        <f t="shared" si="32"/>
        <v>2033</v>
      </c>
      <c r="U52" s="92">
        <f>U36</f>
        <v>2034</v>
      </c>
      <c r="V52" s="92">
        <f>V36</f>
        <v>2035</v>
      </c>
      <c r="W52" s="92">
        <f t="shared" ref="W52:AK52" si="33">W36</f>
        <v>2036</v>
      </c>
      <c r="X52" s="92">
        <f t="shared" si="33"/>
        <v>2037</v>
      </c>
      <c r="Y52" s="92">
        <f t="shared" si="33"/>
        <v>2038</v>
      </c>
      <c r="Z52" s="92">
        <f t="shared" si="33"/>
        <v>2039</v>
      </c>
      <c r="AA52" s="92">
        <f t="shared" si="33"/>
        <v>2040</v>
      </c>
      <c r="AB52" s="92">
        <f t="shared" si="33"/>
        <v>2041</v>
      </c>
      <c r="AC52" s="92">
        <f t="shared" si="33"/>
        <v>2042</v>
      </c>
      <c r="AD52" s="92">
        <f t="shared" si="33"/>
        <v>2043</v>
      </c>
      <c r="AE52" s="92">
        <f t="shared" si="33"/>
        <v>2044</v>
      </c>
      <c r="AF52" s="92">
        <f t="shared" si="33"/>
        <v>2045</v>
      </c>
      <c r="AG52" s="92">
        <f t="shared" si="33"/>
        <v>2046</v>
      </c>
      <c r="AH52" s="92">
        <f t="shared" si="33"/>
        <v>2047</v>
      </c>
      <c r="AI52" s="92">
        <f t="shared" si="33"/>
        <v>2048</v>
      </c>
      <c r="AJ52" s="92">
        <f t="shared" si="33"/>
        <v>2049</v>
      </c>
      <c r="AK52" s="92">
        <f t="shared" si="33"/>
        <v>2050</v>
      </c>
    </row>
    <row r="53" spans="1:37" x14ac:dyDescent="0.2">
      <c r="A53" s="53" t="s">
        <v>89</v>
      </c>
      <c r="B53" s="113"/>
      <c r="C53" s="113"/>
      <c r="D53" s="113"/>
      <c r="E53" s="113"/>
      <c r="F53" s="84">
        <f>monthly_data!$R52*0.264172/1000</f>
        <v>160.77455085600002</v>
      </c>
      <c r="G53" s="84">
        <f>monthly_data!$R64*0.264172/1000</f>
        <v>277.44981306400007</v>
      </c>
      <c r="H53" s="84">
        <f>monthly_data!$R76*0.264172/1000</f>
        <v>216.21949856000001</v>
      </c>
      <c r="I53" s="84">
        <f>monthly_data!$R88*0.264172/1000</f>
        <v>246.22653186800002</v>
      </c>
      <c r="J53" s="84">
        <f>monthly_data!$R100*0.264172/1000</f>
        <v>250.32806634000002</v>
      </c>
      <c r="K53" s="84">
        <f>monthly_data!$R112*0.264172/1000</f>
        <v>306.27811090800003</v>
      </c>
      <c r="L53" s="85">
        <f>L$33*(SUM(G53:K53)/SUM(G$33:K$33))</f>
        <v>267.62751228220316</v>
      </c>
      <c r="M53" s="85">
        <f t="shared" ref="M53:M63" si="34">M$33*(SUM(H53:L53)/SUM(H$33:L$33))</f>
        <v>265.62780878820348</v>
      </c>
      <c r="N53" s="85">
        <f t="shared" ref="N53:N63" si="35">N$33*(SUM(I53:M53)/SUM(I$33:M$33))</f>
        <v>274.82201450980517</v>
      </c>
      <c r="O53" s="85">
        <f t="shared" ref="O53:AD63" si="36">O$33*(SUM(J53:N53)/SUM(J$33:N$33))</f>
        <v>281.70790291134352</v>
      </c>
      <c r="P53" s="85">
        <f t="shared" si="36"/>
        <v>288.63898487650852</v>
      </c>
      <c r="Q53" s="85">
        <f t="shared" si="36"/>
        <v>285.72194988047926</v>
      </c>
      <c r="R53" s="85">
        <f t="shared" si="36"/>
        <v>289.53295044223512</v>
      </c>
      <c r="S53" s="85">
        <f t="shared" si="36"/>
        <v>294.55009747930899</v>
      </c>
      <c r="T53" s="85">
        <f t="shared" si="36"/>
        <v>298.70254833409831</v>
      </c>
      <c r="U53" s="85">
        <f t="shared" si="36"/>
        <v>302.28922941822407</v>
      </c>
      <c r="V53" s="85">
        <f t="shared" si="36"/>
        <v>305.18300116088506</v>
      </c>
      <c r="W53" s="85">
        <f t="shared" si="36"/>
        <v>309.28346681911717</v>
      </c>
      <c r="X53" s="85">
        <f t="shared" si="36"/>
        <v>313.44522251730655</v>
      </c>
      <c r="Y53" s="85">
        <f t="shared" si="36"/>
        <v>317.43058714146667</v>
      </c>
      <c r="Z53" s="85">
        <f t="shared" si="36"/>
        <v>321.38236695896603</v>
      </c>
      <c r="AA53" s="85">
        <f t="shared" si="36"/>
        <v>325.41105539703727</v>
      </c>
      <c r="AB53" s="85">
        <f t="shared" si="36"/>
        <v>329.67659852588662</v>
      </c>
      <c r="AC53" s="85">
        <f t="shared" si="36"/>
        <v>333.97759576577818</v>
      </c>
      <c r="AD53" s="85">
        <f t="shared" si="36"/>
        <v>338.30867451457294</v>
      </c>
      <c r="AE53" s="85">
        <f t="shared" ref="AE53:AK63" si="37">AE$33*(SUM(Z53:AD53)/SUM(Z$33:AD$33))</f>
        <v>342.7127457394119</v>
      </c>
      <c r="AF53" s="85">
        <f t="shared" si="37"/>
        <v>347.21198423955002</v>
      </c>
      <c r="AG53" s="85">
        <f t="shared" si="37"/>
        <v>351.81021583471255</v>
      </c>
      <c r="AH53" s="85">
        <f t="shared" si="37"/>
        <v>356.47879874904027</v>
      </c>
      <c r="AI53" s="85">
        <f t="shared" si="37"/>
        <v>361.22500589636957</v>
      </c>
      <c r="AJ53" s="85">
        <f t="shared" si="37"/>
        <v>366.05874584768554</v>
      </c>
      <c r="AK53" s="85">
        <f t="shared" si="37"/>
        <v>370.98306614442129</v>
      </c>
    </row>
    <row r="54" spans="1:37" x14ac:dyDescent="0.2">
      <c r="A54" s="53" t="s">
        <v>90</v>
      </c>
      <c r="B54" s="113"/>
      <c r="C54" s="113"/>
      <c r="D54" s="113"/>
      <c r="E54" s="113"/>
      <c r="F54" s="84">
        <f>monthly_data!$R53*0.264172/1000</f>
        <v>212.21729276000002</v>
      </c>
      <c r="G54" s="84">
        <f>monthly_data!$R65*0.264172/1000</f>
        <v>221.45776514799999</v>
      </c>
      <c r="H54" s="84">
        <f>monthly_data!$R77*0.264172/1000</f>
        <v>239.26797721600002</v>
      </c>
      <c r="I54" s="84">
        <f>monthly_data!$R89*0.264172/1000</f>
        <v>209.85876514400002</v>
      </c>
      <c r="J54" s="84">
        <f>monthly_data!$R101*0.264172/1000</f>
        <v>228.50428907600002</v>
      </c>
      <c r="K54" s="84">
        <f>monthly_data!$R113*0.264172/1000</f>
        <v>265.35760393600003</v>
      </c>
      <c r="L54" s="85">
        <f t="shared" ref="L54:L63" si="38">L$33*(SUM(G54:K54)/SUM(G$33:K$33))</f>
        <v>240.36822802579283</v>
      </c>
      <c r="M54" s="85">
        <f t="shared" si="34"/>
        <v>244.29738478278651</v>
      </c>
      <c r="N54" s="85">
        <f t="shared" si="35"/>
        <v>244.44101108870461</v>
      </c>
      <c r="O54" s="85">
        <f t="shared" si="36"/>
        <v>252.4540620492416</v>
      </c>
      <c r="P54" s="85">
        <f t="shared" si="36"/>
        <v>257.80293535421623</v>
      </c>
      <c r="Q54" s="85">
        <f t="shared" si="36"/>
        <v>256.89724867409359</v>
      </c>
      <c r="R54" s="85">
        <f t="shared" si="36"/>
        <v>260.37768933970887</v>
      </c>
      <c r="S54" s="85">
        <f t="shared" si="36"/>
        <v>263.76617647015661</v>
      </c>
      <c r="T54" s="85">
        <f t="shared" si="36"/>
        <v>267.82872038652744</v>
      </c>
      <c r="U54" s="85">
        <f t="shared" si="36"/>
        <v>271.07301592963677</v>
      </c>
      <c r="V54" s="85">
        <f t="shared" si="36"/>
        <v>273.88156356013968</v>
      </c>
      <c r="W54" s="85">
        <f t="shared" si="36"/>
        <v>277.46169907143513</v>
      </c>
      <c r="X54" s="85">
        <f t="shared" si="36"/>
        <v>281.06356900459826</v>
      </c>
      <c r="Y54" s="85">
        <f t="shared" si="36"/>
        <v>284.71077011525341</v>
      </c>
      <c r="Z54" s="85">
        <f t="shared" si="36"/>
        <v>288.27274739899553</v>
      </c>
      <c r="AA54" s="85">
        <f t="shared" si="36"/>
        <v>291.90168057851002</v>
      </c>
      <c r="AB54" s="85">
        <f t="shared" si="36"/>
        <v>295.70202132520649</v>
      </c>
      <c r="AC54" s="85">
        <f t="shared" si="36"/>
        <v>299.54914188519791</v>
      </c>
      <c r="AD54" s="85">
        <f t="shared" si="36"/>
        <v>303.44825297936814</v>
      </c>
      <c r="AE54" s="85">
        <f t="shared" si="37"/>
        <v>307.40074712891209</v>
      </c>
      <c r="AF54" s="85">
        <f t="shared" si="37"/>
        <v>311.43544941407083</v>
      </c>
      <c r="AG54" s="85">
        <f t="shared" si="37"/>
        <v>315.5555557211427</v>
      </c>
      <c r="AH54" s="85">
        <f t="shared" si="37"/>
        <v>319.74320459530622</v>
      </c>
      <c r="AI54" s="85">
        <f t="shared" si="37"/>
        <v>324.00272981046106</v>
      </c>
      <c r="AJ54" s="85">
        <f t="shared" si="37"/>
        <v>328.33828526660204</v>
      </c>
      <c r="AK54" s="85">
        <f t="shared" si="37"/>
        <v>332.75460186985885</v>
      </c>
    </row>
    <row r="55" spans="1:37" x14ac:dyDescent="0.2">
      <c r="A55" s="53" t="s">
        <v>91</v>
      </c>
      <c r="B55" s="113"/>
      <c r="C55" s="113"/>
      <c r="D55" s="113"/>
      <c r="E55" s="113"/>
      <c r="F55" s="84">
        <f>monthly_data!$R54*0.264172/1000</f>
        <v>215.00826994000002</v>
      </c>
      <c r="G55" s="84">
        <f>monthly_data!$R66*0.264172/1000</f>
        <v>208.38732710400004</v>
      </c>
      <c r="H55" s="84">
        <f>monthly_data!$R78*0.264172/1000</f>
        <v>258.63970997600001</v>
      </c>
      <c r="I55" s="84">
        <f>monthly_data!$R90*0.264172/1000</f>
        <v>211.60414954800001</v>
      </c>
      <c r="J55" s="84">
        <f>monthly_data!$R102*0.264172/1000</f>
        <v>215.627224936</v>
      </c>
      <c r="K55" s="84">
        <f>monthly_data!$R114*0.264172/1000</f>
        <v>290.48115365199999</v>
      </c>
      <c r="L55" s="85">
        <f t="shared" si="38"/>
        <v>244.55719888510831</v>
      </c>
      <c r="M55" s="85">
        <f t="shared" si="34"/>
        <v>252.04990289962441</v>
      </c>
      <c r="N55" s="85">
        <f t="shared" si="35"/>
        <v>249.77528382396861</v>
      </c>
      <c r="O55" s="85">
        <f t="shared" si="36"/>
        <v>258.54825919780444</v>
      </c>
      <c r="P55" s="85">
        <f t="shared" si="36"/>
        <v>267.8290685483089</v>
      </c>
      <c r="Q55" s="85">
        <f t="shared" si="36"/>
        <v>263.81964337545963</v>
      </c>
      <c r="R55" s="85">
        <f t="shared" si="36"/>
        <v>267.8682339545698</v>
      </c>
      <c r="S55" s="85">
        <f t="shared" si="36"/>
        <v>271.20394827393051</v>
      </c>
      <c r="T55" s="85">
        <f t="shared" si="36"/>
        <v>275.70431112197934</v>
      </c>
      <c r="U55" s="85">
        <f t="shared" si="36"/>
        <v>279.31977265785281</v>
      </c>
      <c r="V55" s="85">
        <f t="shared" si="36"/>
        <v>281.76078397619904</v>
      </c>
      <c r="W55" s="85">
        <f t="shared" si="36"/>
        <v>285.54108598144234</v>
      </c>
      <c r="X55" s="85">
        <f t="shared" si="36"/>
        <v>289.26680583199027</v>
      </c>
      <c r="Y55" s="85">
        <f t="shared" si="36"/>
        <v>293.07456473217809</v>
      </c>
      <c r="Z55" s="85">
        <f t="shared" si="36"/>
        <v>296.73957487839004</v>
      </c>
      <c r="AA55" s="85">
        <f t="shared" si="36"/>
        <v>300.4158772190388</v>
      </c>
      <c r="AB55" s="85">
        <f t="shared" si="36"/>
        <v>304.34978609496056</v>
      </c>
      <c r="AC55" s="85">
        <f t="shared" si="36"/>
        <v>308.31667551657068</v>
      </c>
      <c r="AD55" s="85">
        <f t="shared" si="36"/>
        <v>312.33474001344973</v>
      </c>
      <c r="AE55" s="85">
        <f t="shared" si="37"/>
        <v>316.39757133238413</v>
      </c>
      <c r="AF55" s="85">
        <f t="shared" si="37"/>
        <v>320.54415716983613</v>
      </c>
      <c r="AG55" s="85">
        <f t="shared" si="37"/>
        <v>324.78958990189915</v>
      </c>
      <c r="AH55" s="85">
        <f t="shared" si="37"/>
        <v>329.10088326649992</v>
      </c>
      <c r="AI55" s="85">
        <f t="shared" si="37"/>
        <v>333.48489003119414</v>
      </c>
      <c r="AJ55" s="85">
        <f t="shared" si="37"/>
        <v>337.94610769609341</v>
      </c>
      <c r="AK55" s="85">
        <f t="shared" si="37"/>
        <v>342.49130578839998</v>
      </c>
    </row>
    <row r="56" spans="1:37" x14ac:dyDescent="0.2">
      <c r="A56" s="53" t="s">
        <v>92</v>
      </c>
      <c r="B56" s="113"/>
      <c r="C56" s="113"/>
      <c r="D56" s="113"/>
      <c r="E56" s="113"/>
      <c r="F56" s="84">
        <f>monthly_data!$R55*0.264172/1000</f>
        <v>167.01667104400002</v>
      </c>
      <c r="G56" s="84">
        <f>monthly_data!$R67*0.264172/1000</f>
        <v>245.65486365999999</v>
      </c>
      <c r="H56" s="84">
        <f>monthly_data!$R79*0.264172/1000</f>
        <v>166.53429297200003</v>
      </c>
      <c r="I56" s="84">
        <f>monthly_data!$R91*0.264172/1000</f>
        <v>182.28449178400001</v>
      </c>
      <c r="J56" s="84">
        <f>monthly_data!$R103*0.264172/1000</f>
        <v>216.00525506800003</v>
      </c>
      <c r="K56" s="84">
        <f>monthly_data!$R115*0.264172/1000</f>
        <v>187.46464053200003</v>
      </c>
      <c r="L56" s="85">
        <f t="shared" si="38"/>
        <v>205.99825053157161</v>
      </c>
      <c r="M56" s="85">
        <f t="shared" si="34"/>
        <v>197.83296005497544</v>
      </c>
      <c r="N56" s="85">
        <f t="shared" si="35"/>
        <v>203.54939301882149</v>
      </c>
      <c r="O56" s="85">
        <f t="shared" si="36"/>
        <v>208.66711703571062</v>
      </c>
      <c r="P56" s="85">
        <f t="shared" si="36"/>
        <v>207.47825617269086</v>
      </c>
      <c r="Q56" s="85">
        <f t="shared" si="36"/>
        <v>212.15808086569359</v>
      </c>
      <c r="R56" s="85">
        <f t="shared" si="36"/>
        <v>213.47940282139137</v>
      </c>
      <c r="S56" s="85">
        <f t="shared" si="36"/>
        <v>216.76820364634244</v>
      </c>
      <c r="T56" s="85">
        <f t="shared" si="36"/>
        <v>219.55455010642635</v>
      </c>
      <c r="U56" s="85">
        <f t="shared" si="36"/>
        <v>221.8580844574789</v>
      </c>
      <c r="V56" s="85">
        <f t="shared" si="36"/>
        <v>224.8869005475737</v>
      </c>
      <c r="W56" s="85">
        <f t="shared" si="36"/>
        <v>227.57397771803042</v>
      </c>
      <c r="X56" s="85">
        <f t="shared" si="36"/>
        <v>230.54530892018093</v>
      </c>
      <c r="Y56" s="85">
        <f t="shared" si="36"/>
        <v>233.4515776784435</v>
      </c>
      <c r="Z56" s="85">
        <f t="shared" si="36"/>
        <v>236.3835579294925</v>
      </c>
      <c r="AA56" s="85">
        <f t="shared" si="36"/>
        <v>239.44686952437698</v>
      </c>
      <c r="AB56" s="85">
        <f t="shared" si="36"/>
        <v>242.5181842334901</v>
      </c>
      <c r="AC56" s="85">
        <f t="shared" si="36"/>
        <v>245.67015969999383</v>
      </c>
      <c r="AD56" s="85">
        <f t="shared" si="36"/>
        <v>248.86051402370688</v>
      </c>
      <c r="AE56" s="85">
        <f t="shared" si="37"/>
        <v>252.11075304565898</v>
      </c>
      <c r="AF56" s="85">
        <f t="shared" si="37"/>
        <v>255.42799761887079</v>
      </c>
      <c r="AG56" s="85">
        <f t="shared" si="37"/>
        <v>258.79889156277585</v>
      </c>
      <c r="AH56" s="85">
        <f t="shared" si="37"/>
        <v>262.23293996046044</v>
      </c>
      <c r="AI56" s="85">
        <f t="shared" si="37"/>
        <v>265.72651766073034</v>
      </c>
      <c r="AJ56" s="85">
        <f t="shared" si="37"/>
        <v>269.2840390159721</v>
      </c>
      <c r="AK56" s="85">
        <f t="shared" si="37"/>
        <v>272.90636445809491</v>
      </c>
    </row>
    <row r="57" spans="1:37" x14ac:dyDescent="0.2">
      <c r="A57" s="53" t="s">
        <v>93</v>
      </c>
      <c r="B57" s="113"/>
      <c r="C57" s="113"/>
      <c r="D57" s="113"/>
      <c r="E57" s="113"/>
      <c r="F57" s="84">
        <f>monthly_data!$R56*0.264172/1000</f>
        <v>171.35543197200002</v>
      </c>
      <c r="G57" s="84">
        <f>monthly_data!$R68*0.264172/1000</f>
        <v>199.53096080399999</v>
      </c>
      <c r="H57" s="84">
        <f>monthly_data!$R80*0.264172/1000</f>
        <v>144.06303013600001</v>
      </c>
      <c r="I57" s="84">
        <f>monthly_data!$R92*0.264172/1000</f>
        <v>191.10651572400002</v>
      </c>
      <c r="J57" s="84">
        <f>monthly_data!$R104*0.264172/1000</f>
        <v>239.799755452</v>
      </c>
      <c r="K57" s="84">
        <f>monthly_data!$R116*0.264172/1000</f>
        <v>219.17822496000002</v>
      </c>
      <c r="L57" s="85">
        <f t="shared" si="38"/>
        <v>205.1178457498323</v>
      </c>
      <c r="M57" s="85">
        <f t="shared" si="34"/>
        <v>206.2927293022934</v>
      </c>
      <c r="N57" s="85">
        <f t="shared" si="35"/>
        <v>218.3405638440228</v>
      </c>
      <c r="O57" s="85">
        <f t="shared" si="36"/>
        <v>224.74338859944933</v>
      </c>
      <c r="P57" s="85">
        <f t="shared" si="36"/>
        <v>221.98406217858218</v>
      </c>
      <c r="Q57" s="85">
        <f t="shared" si="36"/>
        <v>223.13418208420981</v>
      </c>
      <c r="R57" s="85">
        <f t="shared" si="36"/>
        <v>226.91594035129862</v>
      </c>
      <c r="S57" s="85">
        <f t="shared" si="36"/>
        <v>231.23954651091947</v>
      </c>
      <c r="T57" s="85">
        <f t="shared" si="36"/>
        <v>233.96253658910217</v>
      </c>
      <c r="U57" s="85">
        <f t="shared" si="36"/>
        <v>235.92292725348182</v>
      </c>
      <c r="V57" s="85">
        <f t="shared" si="36"/>
        <v>238.86310313259855</v>
      </c>
      <c r="W57" s="85">
        <f t="shared" si="36"/>
        <v>242.17563210700195</v>
      </c>
      <c r="X57" s="85">
        <f t="shared" si="36"/>
        <v>245.39174234045268</v>
      </c>
      <c r="Y57" s="85">
        <f t="shared" si="36"/>
        <v>248.37884116205115</v>
      </c>
      <c r="Z57" s="85">
        <f t="shared" si="36"/>
        <v>251.42160339675459</v>
      </c>
      <c r="AA57" s="85">
        <f t="shared" si="36"/>
        <v>254.68999923476633</v>
      </c>
      <c r="AB57" s="85">
        <f t="shared" si="36"/>
        <v>258.02747428519643</v>
      </c>
      <c r="AC57" s="85">
        <f t="shared" si="36"/>
        <v>261.3710354641255</v>
      </c>
      <c r="AD57" s="85">
        <f t="shared" si="36"/>
        <v>264.74197046726829</v>
      </c>
      <c r="AE57" s="85">
        <f t="shared" si="37"/>
        <v>268.19356892167838</v>
      </c>
      <c r="AF57" s="85">
        <f t="shared" si="37"/>
        <v>271.7310553110305</v>
      </c>
      <c r="AG57" s="85">
        <f t="shared" si="37"/>
        <v>275.32540016841807</v>
      </c>
      <c r="AH57" s="85">
        <f t="shared" si="37"/>
        <v>278.97407409517075</v>
      </c>
      <c r="AI57" s="85">
        <f t="shared" si="37"/>
        <v>282.68712276986855</v>
      </c>
      <c r="AJ57" s="85">
        <f t="shared" si="37"/>
        <v>286.4722597866978</v>
      </c>
      <c r="AK57" s="85">
        <f t="shared" si="37"/>
        <v>290.3277197606011</v>
      </c>
    </row>
    <row r="58" spans="1:37" x14ac:dyDescent="0.2">
      <c r="A58" s="53" t="s">
        <v>94</v>
      </c>
      <c r="B58" s="113"/>
      <c r="C58" s="113"/>
      <c r="D58" s="113"/>
      <c r="E58" s="113"/>
      <c r="F58" s="84">
        <f>monthly_data!$R57*0.264172/1000</f>
        <v>169.48800010400001</v>
      </c>
      <c r="G58" s="84">
        <f>monthly_data!$R69*0.264172/1000</f>
        <v>143.737570232</v>
      </c>
      <c r="H58" s="84">
        <f>monthly_data!$R81*0.264172/1000</f>
        <v>179.83139059200002</v>
      </c>
      <c r="I58" s="84">
        <f>monthly_data!$R93*0.264172/1000</f>
        <v>153.46015652000003</v>
      </c>
      <c r="J58" s="84">
        <f>monthly_data!$R105*0.264172/1000</f>
        <v>190.96465535999999</v>
      </c>
      <c r="K58" s="84">
        <f>monthly_data!$R117*0.264172/1000</f>
        <v>180.298182516</v>
      </c>
      <c r="L58" s="85">
        <f t="shared" si="38"/>
        <v>175.10675805576895</v>
      </c>
      <c r="M58" s="85">
        <f t="shared" si="34"/>
        <v>181.6011073139733</v>
      </c>
      <c r="N58" s="85">
        <f t="shared" si="35"/>
        <v>181.30287754926957</v>
      </c>
      <c r="O58" s="85">
        <f t="shared" si="36"/>
        <v>187.69887025864242</v>
      </c>
      <c r="P58" s="85">
        <f t="shared" si="36"/>
        <v>187.31898559739008</v>
      </c>
      <c r="Q58" s="85">
        <f t="shared" si="36"/>
        <v>189.2540098441014</v>
      </c>
      <c r="R58" s="85">
        <f t="shared" si="36"/>
        <v>192.22654669479829</v>
      </c>
      <c r="S58" s="85">
        <f t="shared" si="36"/>
        <v>194.46974970406956</v>
      </c>
      <c r="T58" s="85">
        <f t="shared" si="36"/>
        <v>197.24073290173715</v>
      </c>
      <c r="U58" s="85">
        <f t="shared" si="36"/>
        <v>199.26056099930486</v>
      </c>
      <c r="V58" s="85">
        <f t="shared" si="36"/>
        <v>201.7788607836722</v>
      </c>
      <c r="W58" s="85">
        <f t="shared" si="36"/>
        <v>204.41894418589138</v>
      </c>
      <c r="X58" s="85">
        <f t="shared" si="36"/>
        <v>206.99078454363826</v>
      </c>
      <c r="Y58" s="85">
        <f t="shared" si="36"/>
        <v>209.63158183551974</v>
      </c>
      <c r="Z58" s="85">
        <f t="shared" si="36"/>
        <v>212.24608279641612</v>
      </c>
      <c r="AA58" s="85">
        <f t="shared" si="36"/>
        <v>214.98481135701215</v>
      </c>
      <c r="AB58" s="85">
        <f t="shared" si="36"/>
        <v>217.77007911752042</v>
      </c>
      <c r="AC58" s="85">
        <f t="shared" si="36"/>
        <v>220.58626329712502</v>
      </c>
      <c r="AD58" s="85">
        <f t="shared" si="36"/>
        <v>223.45397365757944</v>
      </c>
      <c r="AE58" s="85">
        <f t="shared" si="37"/>
        <v>226.36960075931515</v>
      </c>
      <c r="AF58" s="85">
        <f t="shared" si="37"/>
        <v>229.34858478367215</v>
      </c>
      <c r="AG58" s="85">
        <f t="shared" si="37"/>
        <v>232.3782877993691</v>
      </c>
      <c r="AH58" s="85">
        <f t="shared" si="37"/>
        <v>235.45959099974593</v>
      </c>
      <c r="AI58" s="85">
        <f t="shared" si="37"/>
        <v>238.59680887954573</v>
      </c>
      <c r="AJ58" s="85">
        <f t="shared" si="37"/>
        <v>241.79086833446084</v>
      </c>
      <c r="AK58" s="85">
        <f t="shared" si="37"/>
        <v>245.0436404204992</v>
      </c>
    </row>
    <row r="59" spans="1:37" x14ac:dyDescent="0.2">
      <c r="A59" s="53" t="s">
        <v>95</v>
      </c>
      <c r="B59" s="113"/>
      <c r="C59" s="113"/>
      <c r="D59" s="113"/>
      <c r="E59" s="113"/>
      <c r="F59" s="84">
        <f>monthly_data!$R58*0.264172/1000</f>
        <v>158.22925363600001</v>
      </c>
      <c r="G59" s="84">
        <f>monthly_data!$R70*0.264172/1000</f>
        <v>131.078712164</v>
      </c>
      <c r="H59" s="84">
        <f>monthly_data!$R82*0.264172/1000</f>
        <v>191.57251513200001</v>
      </c>
      <c r="I59" s="84">
        <f>monthly_data!$R94*0.264172/1000</f>
        <v>220.25604672</v>
      </c>
      <c r="J59" s="84">
        <f>monthly_data!$R106*0.264172/1000</f>
        <v>192.08474464000003</v>
      </c>
      <c r="K59" s="84">
        <f>monthly_data!$R118*0.264172/1000</f>
        <v>199.309320496</v>
      </c>
      <c r="L59" s="85">
        <f t="shared" si="38"/>
        <v>192.8610515982563</v>
      </c>
      <c r="M59" s="85">
        <f t="shared" si="34"/>
        <v>205.63588654459818</v>
      </c>
      <c r="N59" s="85">
        <f t="shared" si="35"/>
        <v>207.77870990513307</v>
      </c>
      <c r="O59" s="85">
        <f t="shared" si="36"/>
        <v>205.94624325515818</v>
      </c>
      <c r="P59" s="85">
        <f t="shared" si="36"/>
        <v>209.13617012450376</v>
      </c>
      <c r="Q59" s="85">
        <f t="shared" si="36"/>
        <v>211.70871194080286</v>
      </c>
      <c r="R59" s="85">
        <f t="shared" si="36"/>
        <v>215.66044200413208</v>
      </c>
      <c r="S59" s="85">
        <f t="shared" si="36"/>
        <v>217.78389658288179</v>
      </c>
      <c r="T59" s="85">
        <f t="shared" si="36"/>
        <v>219.90391296375859</v>
      </c>
      <c r="U59" s="85">
        <f t="shared" si="36"/>
        <v>222.84444817055765</v>
      </c>
      <c r="V59" s="85">
        <f t="shared" si="36"/>
        <v>225.73412132555057</v>
      </c>
      <c r="W59" s="85">
        <f t="shared" si="36"/>
        <v>228.69045963557215</v>
      </c>
      <c r="X59" s="85">
        <f t="shared" si="36"/>
        <v>231.4410353875364</v>
      </c>
      <c r="Y59" s="85">
        <f t="shared" si="36"/>
        <v>234.32257494885397</v>
      </c>
      <c r="Z59" s="85">
        <f t="shared" si="36"/>
        <v>237.36305025358561</v>
      </c>
      <c r="AA59" s="85">
        <f t="shared" si="36"/>
        <v>240.4251267050229</v>
      </c>
      <c r="AB59" s="85">
        <f t="shared" si="36"/>
        <v>243.52385354673007</v>
      </c>
      <c r="AC59" s="85">
        <f t="shared" si="36"/>
        <v>246.65299837004264</v>
      </c>
      <c r="AD59" s="85">
        <f t="shared" si="36"/>
        <v>249.86164486281567</v>
      </c>
      <c r="AE59" s="85">
        <f t="shared" si="37"/>
        <v>253.1391239740494</v>
      </c>
      <c r="AF59" s="85">
        <f t="shared" si="37"/>
        <v>256.4667244025012</v>
      </c>
      <c r="AG59" s="85">
        <f t="shared" si="37"/>
        <v>259.85038669334506</v>
      </c>
      <c r="AH59" s="85">
        <f t="shared" si="37"/>
        <v>263.29416095388444</v>
      </c>
      <c r="AI59" s="85">
        <f t="shared" si="37"/>
        <v>266.80423871417605</v>
      </c>
      <c r="AJ59" s="85">
        <f t="shared" si="37"/>
        <v>270.37789160241982</v>
      </c>
      <c r="AK59" s="85">
        <f t="shared" si="37"/>
        <v>274.01404108552106</v>
      </c>
    </row>
    <row r="60" spans="1:37" x14ac:dyDescent="0.2">
      <c r="A60" s="53" t="s">
        <v>96</v>
      </c>
      <c r="B60" s="113"/>
      <c r="C60" s="113"/>
      <c r="D60" s="113"/>
      <c r="E60" s="113"/>
      <c r="F60" s="84">
        <f>monthly_data!$R59*0.264172/1000</f>
        <v>219.47119170800002</v>
      </c>
      <c r="G60" s="84">
        <f>monthly_data!$R71*0.264172/1000</f>
        <v>115.00701602800001</v>
      </c>
      <c r="H60" s="84">
        <f>monthly_data!$R83*0.264172/1000</f>
        <v>182.65882350800001</v>
      </c>
      <c r="I60" s="84">
        <f>monthly_data!$R95*0.264172/1000</f>
        <v>233.32806979600002</v>
      </c>
      <c r="J60" s="84">
        <f>monthly_data!$R107*0.264172/1000</f>
        <v>196.49509618000002</v>
      </c>
      <c r="K60" s="84">
        <f>monthly_data!$R119*0.264172/1000</f>
        <v>217.99473440000003</v>
      </c>
      <c r="L60" s="85">
        <f t="shared" si="38"/>
        <v>195.16935351284437</v>
      </c>
      <c r="M60" s="85">
        <f t="shared" si="34"/>
        <v>211.73887790816343</v>
      </c>
      <c r="N60" s="85">
        <f t="shared" si="35"/>
        <v>216.94825022580838</v>
      </c>
      <c r="O60" s="85">
        <f t="shared" si="36"/>
        <v>214.34300287466368</v>
      </c>
      <c r="P60" s="85">
        <f t="shared" si="36"/>
        <v>218.37033922067508</v>
      </c>
      <c r="Q60" s="85">
        <f t="shared" si="36"/>
        <v>219.00746164112792</v>
      </c>
      <c r="R60" s="85">
        <f t="shared" si="36"/>
        <v>223.99535712554365</v>
      </c>
      <c r="S60" s="85">
        <f t="shared" si="36"/>
        <v>226.5833677275445</v>
      </c>
      <c r="T60" s="85">
        <f t="shared" si="36"/>
        <v>228.62843948040452</v>
      </c>
      <c r="U60" s="85">
        <f t="shared" si="36"/>
        <v>231.6387552831053</v>
      </c>
      <c r="V60" s="85">
        <f t="shared" si="36"/>
        <v>234.43894594754346</v>
      </c>
      <c r="W60" s="85">
        <f t="shared" si="36"/>
        <v>237.68885312247514</v>
      </c>
      <c r="X60" s="85">
        <f t="shared" si="36"/>
        <v>240.57895578219282</v>
      </c>
      <c r="Y60" s="85">
        <f t="shared" si="36"/>
        <v>243.53258218089823</v>
      </c>
      <c r="Z60" s="85">
        <f t="shared" si="36"/>
        <v>246.67569200193716</v>
      </c>
      <c r="AA60" s="85">
        <f t="shared" si="36"/>
        <v>249.8472533134599</v>
      </c>
      <c r="AB60" s="85">
        <f t="shared" si="36"/>
        <v>253.09682748863082</v>
      </c>
      <c r="AC60" s="85">
        <f t="shared" si="36"/>
        <v>256.34720864791558</v>
      </c>
      <c r="AD60" s="85">
        <f t="shared" si="36"/>
        <v>259.67332211662199</v>
      </c>
      <c r="AE60" s="85">
        <f t="shared" si="37"/>
        <v>263.07773069886878</v>
      </c>
      <c r="AF60" s="85">
        <f t="shared" si="37"/>
        <v>266.53734416813211</v>
      </c>
      <c r="AG60" s="85">
        <f t="shared" si="37"/>
        <v>270.05773784003992</v>
      </c>
      <c r="AH60" s="85">
        <f t="shared" si="37"/>
        <v>273.63534254941681</v>
      </c>
      <c r="AI60" s="85">
        <f t="shared" si="37"/>
        <v>277.281903610374</v>
      </c>
      <c r="AJ60" s="85">
        <f t="shared" si="37"/>
        <v>280.99602954302514</v>
      </c>
      <c r="AK60" s="85">
        <f t="shared" si="37"/>
        <v>284.77550440473487</v>
      </c>
    </row>
    <row r="61" spans="1:37" x14ac:dyDescent="0.2">
      <c r="A61" s="53" t="s">
        <v>97</v>
      </c>
      <c r="B61" s="113"/>
      <c r="C61" s="113"/>
      <c r="D61" s="113"/>
      <c r="E61" s="113"/>
      <c r="F61" s="84">
        <f>monthly_data!$R60*0.264172/1000</f>
        <v>182.37457443600002</v>
      </c>
      <c r="G61" s="84">
        <f>monthly_data!$R72*0.264172/1000</f>
        <v>178.11163087200001</v>
      </c>
      <c r="H61" s="84">
        <f>monthly_data!$R84*0.264172/1000</f>
        <v>142.71469624800002</v>
      </c>
      <c r="I61" s="84">
        <f>monthly_data!$R96*0.264172/1000</f>
        <v>181.43068788000002</v>
      </c>
      <c r="J61" s="84">
        <f>monthly_data!$R108*0.264172/1000</f>
        <v>141.01844783600001</v>
      </c>
      <c r="K61" s="84">
        <f>monthly_data!$R120*0.264172/1000</f>
        <v>250.33361395200001</v>
      </c>
      <c r="L61" s="85">
        <f t="shared" si="38"/>
        <v>184.46124290424734</v>
      </c>
      <c r="M61" s="85">
        <f t="shared" si="34"/>
        <v>185.79142175256518</v>
      </c>
      <c r="N61" s="85">
        <f t="shared" si="35"/>
        <v>193.97441370885991</v>
      </c>
      <c r="O61" s="85">
        <f t="shared" si="36"/>
        <v>197.25760083422534</v>
      </c>
      <c r="P61" s="85">
        <f t="shared" si="36"/>
        <v>209.19552478793713</v>
      </c>
      <c r="Q61" s="85">
        <f t="shared" si="36"/>
        <v>201.20412561824921</v>
      </c>
      <c r="R61" s="85">
        <f t="shared" si="36"/>
        <v>204.71729280705438</v>
      </c>
      <c r="S61" s="85">
        <f t="shared" si="36"/>
        <v>208.68432580367661</v>
      </c>
      <c r="T61" s="85">
        <f t="shared" si="36"/>
        <v>211.77827802429877</v>
      </c>
      <c r="U61" s="85">
        <f t="shared" si="36"/>
        <v>214.83394882655722</v>
      </c>
      <c r="V61" s="85">
        <f t="shared" si="36"/>
        <v>216.04754005326606</v>
      </c>
      <c r="W61" s="85">
        <f t="shared" si="36"/>
        <v>219.17169002867567</v>
      </c>
      <c r="X61" s="85">
        <f t="shared" si="36"/>
        <v>222.21602896209592</v>
      </c>
      <c r="Y61" s="85">
        <f t="shared" si="36"/>
        <v>225.06969019489634</v>
      </c>
      <c r="Z61" s="85">
        <f t="shared" si="36"/>
        <v>227.87425224177889</v>
      </c>
      <c r="AA61" s="85">
        <f t="shared" si="36"/>
        <v>230.62742332589667</v>
      </c>
      <c r="AB61" s="85">
        <f t="shared" si="36"/>
        <v>233.70115871430659</v>
      </c>
      <c r="AC61" s="85">
        <f t="shared" si="36"/>
        <v>236.76525626856721</v>
      </c>
      <c r="AD61" s="85">
        <f t="shared" si="36"/>
        <v>239.83427693482639</v>
      </c>
      <c r="AE61" s="85">
        <f t="shared" si="37"/>
        <v>242.9488643863024</v>
      </c>
      <c r="AF61" s="85">
        <f t="shared" si="37"/>
        <v>246.12870852201286</v>
      </c>
      <c r="AG61" s="85">
        <f t="shared" si="37"/>
        <v>249.39808443472978</v>
      </c>
      <c r="AH61" s="85">
        <f t="shared" si="37"/>
        <v>252.7089748065257</v>
      </c>
      <c r="AI61" s="85">
        <f t="shared" si="37"/>
        <v>256.07202521971152</v>
      </c>
      <c r="AJ61" s="85">
        <f t="shared" si="37"/>
        <v>259.49707406844647</v>
      </c>
      <c r="AK61" s="85">
        <f t="shared" si="37"/>
        <v>262.98755609042132</v>
      </c>
    </row>
    <row r="62" spans="1:37" x14ac:dyDescent="0.2">
      <c r="A62" s="53" t="s">
        <v>98</v>
      </c>
      <c r="B62" s="113"/>
      <c r="C62" s="113"/>
      <c r="D62" s="113"/>
      <c r="E62" s="113"/>
      <c r="F62" s="84">
        <f>monthly_data!$R61*0.264172/1000</f>
        <v>223.30406325600003</v>
      </c>
      <c r="G62" s="84">
        <f>monthly_data!$R73*0.264172/1000</f>
        <v>167.42587347200001</v>
      </c>
      <c r="H62" s="84">
        <f>monthly_data!$R85*0.264172/1000</f>
        <v>117.163187892</v>
      </c>
      <c r="I62" s="84">
        <f>monthly_data!$R97*0.264172/1000</f>
        <v>164.49937605600002</v>
      </c>
      <c r="J62" s="84">
        <f>monthly_data!$R109*0.264172/1000</f>
        <v>154.847323692</v>
      </c>
      <c r="K62" s="84">
        <f>monthly_data!$R121*0.264172/1000</f>
        <v>232.99362804400002</v>
      </c>
      <c r="L62" s="85">
        <f t="shared" si="38"/>
        <v>172.76126592370511</v>
      </c>
      <c r="M62" s="85">
        <f t="shared" si="34"/>
        <v>173.88083832175198</v>
      </c>
      <c r="N62" s="85">
        <f t="shared" si="35"/>
        <v>184.91308761069354</v>
      </c>
      <c r="O62" s="85">
        <f t="shared" si="36"/>
        <v>189.78844334343816</v>
      </c>
      <c r="P62" s="85">
        <f t="shared" si="36"/>
        <v>197.31120297007237</v>
      </c>
      <c r="Q62" s="85">
        <f t="shared" si="36"/>
        <v>190.42022563099204</v>
      </c>
      <c r="R62" s="85">
        <f t="shared" si="36"/>
        <v>194.12106978327117</v>
      </c>
      <c r="S62" s="85">
        <f t="shared" si="36"/>
        <v>198.35846320379767</v>
      </c>
      <c r="T62" s="85">
        <f t="shared" si="36"/>
        <v>201.1880115109827</v>
      </c>
      <c r="U62" s="85">
        <f t="shared" si="36"/>
        <v>203.59403328078662</v>
      </c>
      <c r="V62" s="85">
        <f t="shared" si="36"/>
        <v>204.93905206108457</v>
      </c>
      <c r="W62" s="85">
        <f t="shared" si="36"/>
        <v>207.99359658693794</v>
      </c>
      <c r="X62" s="85">
        <f t="shared" si="36"/>
        <v>210.91491190083795</v>
      </c>
      <c r="Y62" s="85">
        <f t="shared" si="36"/>
        <v>213.56384255455106</v>
      </c>
      <c r="Z62" s="85">
        <f t="shared" si="36"/>
        <v>216.17600161068768</v>
      </c>
      <c r="AA62" s="85">
        <f t="shared" si="36"/>
        <v>218.83168207203852</v>
      </c>
      <c r="AB62" s="85">
        <f t="shared" si="36"/>
        <v>221.76035057695606</v>
      </c>
      <c r="AC62" s="85">
        <f t="shared" si="36"/>
        <v>224.66366357702898</v>
      </c>
      <c r="AD62" s="85">
        <f t="shared" si="36"/>
        <v>227.56400878571003</v>
      </c>
      <c r="AE62" s="85">
        <f t="shared" si="37"/>
        <v>230.51736976959313</v>
      </c>
      <c r="AF62" s="85">
        <f t="shared" si="37"/>
        <v>233.54242730292631</v>
      </c>
      <c r="AG62" s="85">
        <f t="shared" si="37"/>
        <v>236.6450640551995</v>
      </c>
      <c r="AH62" s="85">
        <f t="shared" si="37"/>
        <v>239.784665859597</v>
      </c>
      <c r="AI62" s="85">
        <f t="shared" si="37"/>
        <v>242.97419987879101</v>
      </c>
      <c r="AJ62" s="85">
        <f t="shared" si="37"/>
        <v>246.22468244478364</v>
      </c>
      <c r="AK62" s="85">
        <f t="shared" si="37"/>
        <v>249.53778011565689</v>
      </c>
    </row>
    <row r="63" spans="1:37" x14ac:dyDescent="0.2">
      <c r="A63" s="53" t="s">
        <v>99</v>
      </c>
      <c r="B63" s="113"/>
      <c r="C63" s="113"/>
      <c r="D63" s="113"/>
      <c r="E63" s="113"/>
      <c r="F63" s="84">
        <f>monthly_data!$R62*0.264172/1000</f>
        <v>243.40015564000001</v>
      </c>
      <c r="G63" s="84">
        <f>monthly_data!$R74*0.264172/1000</f>
        <v>158.03508721600002</v>
      </c>
      <c r="H63" s="84">
        <f>monthly_data!$R86*0.264172/1000</f>
        <v>179.232512668</v>
      </c>
      <c r="I63" s="84">
        <f>monthly_data!$R98*0.264172/1000</f>
        <v>160.19231576800001</v>
      </c>
      <c r="J63" s="84">
        <f>monthly_data!$R110*0.264172/1000</f>
        <v>182.42793718000001</v>
      </c>
      <c r="K63" s="84">
        <f>monthly_data!$R122*0.264172/1000</f>
        <v>215.543482412</v>
      </c>
      <c r="L63" s="85">
        <f t="shared" si="38"/>
        <v>184.83739850563711</v>
      </c>
      <c r="M63" s="85">
        <f t="shared" si="34"/>
        <v>190.38996179052413</v>
      </c>
      <c r="N63" s="85">
        <f t="shared" si="35"/>
        <v>191.99065887743353</v>
      </c>
      <c r="O63" s="85">
        <f t="shared" si="36"/>
        <v>199.24142861763997</v>
      </c>
      <c r="P63" s="85">
        <f t="shared" si="36"/>
        <v>203.03113683310104</v>
      </c>
      <c r="Q63" s="85">
        <f t="shared" si="36"/>
        <v>200.95753943789029</v>
      </c>
      <c r="R63" s="85">
        <f t="shared" si="36"/>
        <v>204.34154539721499</v>
      </c>
      <c r="S63" s="85">
        <f t="shared" si="36"/>
        <v>207.27699370958479</v>
      </c>
      <c r="T63" s="85">
        <f t="shared" si="36"/>
        <v>210.49021229498746</v>
      </c>
      <c r="U63" s="85">
        <f t="shared" si="36"/>
        <v>212.86685595282637</v>
      </c>
      <c r="V63" s="85">
        <f t="shared" si="36"/>
        <v>214.95096535074936</v>
      </c>
      <c r="W63" s="85">
        <f t="shared" si="36"/>
        <v>217.89849008981983</v>
      </c>
      <c r="X63" s="85">
        <f t="shared" si="36"/>
        <v>220.75628207808813</v>
      </c>
      <c r="Y63" s="85">
        <f t="shared" si="36"/>
        <v>223.59877053281369</v>
      </c>
      <c r="Z63" s="85">
        <f t="shared" si="36"/>
        <v>226.36507044501977</v>
      </c>
      <c r="AA63" s="85">
        <f t="shared" si="36"/>
        <v>229.21305443229915</v>
      </c>
      <c r="AB63" s="85">
        <f t="shared" si="36"/>
        <v>232.22049539500571</v>
      </c>
      <c r="AC63" s="85">
        <f t="shared" si="36"/>
        <v>235.2411998230331</v>
      </c>
      <c r="AD63" s="85">
        <f t="shared" si="36"/>
        <v>238.29656348966211</v>
      </c>
      <c r="AE63" s="85">
        <f t="shared" si="37"/>
        <v>241.39697472507567</v>
      </c>
      <c r="AF63" s="85">
        <f t="shared" si="37"/>
        <v>244.5676471629655</v>
      </c>
      <c r="AG63" s="85">
        <f t="shared" si="37"/>
        <v>247.8062278715137</v>
      </c>
      <c r="AH63" s="85">
        <f t="shared" si="37"/>
        <v>251.09369712945042</v>
      </c>
      <c r="AI63" s="85">
        <f t="shared" si="37"/>
        <v>254.43747483750687</v>
      </c>
      <c r="AJ63" s="85">
        <f t="shared" si="37"/>
        <v>257.84207815210209</v>
      </c>
      <c r="AK63" s="85">
        <f t="shared" si="37"/>
        <v>261.31080526869289</v>
      </c>
    </row>
    <row r="64" spans="1:37" x14ac:dyDescent="0.2">
      <c r="A64" s="53" t="s">
        <v>100</v>
      </c>
      <c r="B64" s="113"/>
      <c r="C64" s="113"/>
      <c r="D64" s="113"/>
      <c r="E64" s="113"/>
      <c r="F64" s="84">
        <f>monthly_data!$R63*0.264172/1000</f>
        <v>243.78320504000004</v>
      </c>
      <c r="G64" s="84">
        <f>monthly_data!$R75*0.264172/1000</f>
        <v>256.70465007600001</v>
      </c>
      <c r="H64" s="84">
        <f>monthly_data!$R87*0.264172/1000</f>
        <v>265.55626128000006</v>
      </c>
      <c r="I64" s="84">
        <f>monthly_data!$R99*0.264172/1000</f>
        <v>220.24389480800002</v>
      </c>
      <c r="J64" s="84">
        <f>monthly_data!$R111*0.264172/1000</f>
        <v>261.37415434799999</v>
      </c>
      <c r="K64" s="84">
        <f>monthly_data!$R123*0.264172/1000</f>
        <v>285.14831348800004</v>
      </c>
      <c r="L64" s="85">
        <f t="shared" ref="L64:V64" si="39">L65-SUM(L53:L63)</f>
        <v>187.21071943303286</v>
      </c>
      <c r="M64" s="85">
        <f t="shared" si="39"/>
        <v>171.63705706214068</v>
      </c>
      <c r="N64" s="85">
        <f t="shared" si="39"/>
        <v>159.60408042739982</v>
      </c>
      <c r="O64" s="85">
        <f t="shared" si="39"/>
        <v>137.63389420738713</v>
      </c>
      <c r="P64" s="85">
        <f t="shared" si="39"/>
        <v>107.64419913605889</v>
      </c>
      <c r="Q64" s="85">
        <f t="shared" si="39"/>
        <v>66.52965810775413</v>
      </c>
      <c r="R64" s="85">
        <f t="shared" si="39"/>
        <v>40.523568718205752</v>
      </c>
      <c r="S64" s="85">
        <f t="shared" si="39"/>
        <v>12.472090910776387</v>
      </c>
      <c r="T64" s="85">
        <f t="shared" si="39"/>
        <v>-18.682090604699169</v>
      </c>
      <c r="U64" s="85">
        <f t="shared" si="39"/>
        <v>-51.547479135229423</v>
      </c>
      <c r="V64" s="85">
        <f t="shared" si="39"/>
        <v>-84.868027345771679</v>
      </c>
      <c r="W64" s="85">
        <f t="shared" ref="W64:AK64" si="40">W65-SUM(W53:W63)</f>
        <v>-116.94429010238127</v>
      </c>
      <c r="X64" s="85">
        <f t="shared" si="40"/>
        <v>-150.21832886398124</v>
      </c>
      <c r="Y64" s="85">
        <f t="shared" si="40"/>
        <v>-184.52597299559966</v>
      </c>
      <c r="Z64" s="85">
        <f t="shared" si="40"/>
        <v>-219.47274043635252</v>
      </c>
      <c r="AA64" s="85">
        <f t="shared" si="40"/>
        <v>-254.87295240757021</v>
      </c>
      <c r="AB64" s="85">
        <f t="shared" si="40"/>
        <v>-290.75993451232171</v>
      </c>
      <c r="AC64" s="85">
        <f t="shared" si="40"/>
        <v>-327.42764561430067</v>
      </c>
      <c r="AD64" s="85">
        <f t="shared" si="40"/>
        <v>-364.80014228527534</v>
      </c>
      <c r="AE64" s="85">
        <f t="shared" si="40"/>
        <v>-402.81957302514729</v>
      </c>
      <c r="AF64" s="85">
        <f t="shared" si="40"/>
        <v>-441.49295904337896</v>
      </c>
      <c r="AG64" s="85">
        <f t="shared" si="40"/>
        <v>-480.86087277089655</v>
      </c>
      <c r="AH64" s="85">
        <f t="shared" si="40"/>
        <v>-520.95822898871347</v>
      </c>
      <c r="AI64" s="85">
        <f t="shared" si="40"/>
        <v>-561.77790307728174</v>
      </c>
      <c r="AJ64" s="85">
        <f t="shared" si="40"/>
        <v>-603.32560459261458</v>
      </c>
      <c r="AK64" s="85">
        <f t="shared" si="40"/>
        <v>-645.61853229931376</v>
      </c>
    </row>
    <row r="65" spans="1:37" x14ac:dyDescent="0.2">
      <c r="A65" s="86" t="s">
        <v>101</v>
      </c>
      <c r="B65" s="95"/>
      <c r="C65" s="95"/>
      <c r="D65" s="95"/>
      <c r="E65" s="95"/>
      <c r="F65" s="95">
        <f t="shared" ref="F65:K65" si="41">SUM(F53:F64)</f>
        <v>2366.4226603920006</v>
      </c>
      <c r="G65" s="95">
        <f t="shared" si="41"/>
        <v>2302.58126984</v>
      </c>
      <c r="H65" s="95">
        <f t="shared" si="41"/>
        <v>2283.4538961800004</v>
      </c>
      <c r="I65" s="95">
        <f t="shared" si="41"/>
        <v>2374.4910016160002</v>
      </c>
      <c r="J65" s="95">
        <f t="shared" si="41"/>
        <v>2469.476950108</v>
      </c>
      <c r="K65" s="95">
        <f t="shared" si="41"/>
        <v>2850.3810092960002</v>
      </c>
      <c r="L65" s="95">
        <f t="shared" ref="L65:AK65" si="42">L9</f>
        <v>2456.0768254080003</v>
      </c>
      <c r="M65" s="95">
        <f t="shared" si="42"/>
        <v>2486.7759365215998</v>
      </c>
      <c r="N65" s="95">
        <f t="shared" si="42"/>
        <v>2527.4403445899202</v>
      </c>
      <c r="O65" s="95">
        <f t="shared" si="42"/>
        <v>2558.0302131847043</v>
      </c>
      <c r="P65" s="95">
        <f t="shared" si="42"/>
        <v>2575.740865800045</v>
      </c>
      <c r="Q65" s="95">
        <f t="shared" si="42"/>
        <v>2520.8128371008543</v>
      </c>
      <c r="R65" s="95">
        <f t="shared" si="42"/>
        <v>2533.760039439424</v>
      </c>
      <c r="S65" s="95">
        <f t="shared" si="42"/>
        <v>2543.1568600229898</v>
      </c>
      <c r="T65" s="95">
        <f t="shared" si="42"/>
        <v>2546.3001631096035</v>
      </c>
      <c r="U65" s="95">
        <f t="shared" si="42"/>
        <v>2543.9541530945835</v>
      </c>
      <c r="V65" s="95">
        <f t="shared" si="42"/>
        <v>2537.5968105534907</v>
      </c>
      <c r="W65" s="95">
        <f t="shared" si="42"/>
        <v>2540.953605244018</v>
      </c>
      <c r="X65" s="95">
        <f t="shared" si="42"/>
        <v>2542.3923184049372</v>
      </c>
      <c r="Y65" s="95">
        <f t="shared" si="42"/>
        <v>2542.2394100813267</v>
      </c>
      <c r="Z65" s="95">
        <f t="shared" si="42"/>
        <v>2541.4272594756712</v>
      </c>
      <c r="AA65" s="95">
        <f t="shared" si="42"/>
        <v>2540.9218807518887</v>
      </c>
      <c r="AB65" s="95">
        <f t="shared" si="42"/>
        <v>2541.5868947915683</v>
      </c>
      <c r="AC65" s="95">
        <f t="shared" si="42"/>
        <v>2541.7135527010782</v>
      </c>
      <c r="AD65" s="95">
        <f t="shared" si="42"/>
        <v>2541.5777995603066</v>
      </c>
      <c r="AE65" s="95">
        <f t="shared" si="42"/>
        <v>2541.4454774561027</v>
      </c>
      <c r="AF65" s="95">
        <f t="shared" si="42"/>
        <v>2541.4491210521892</v>
      </c>
      <c r="AG65" s="95">
        <f t="shared" si="42"/>
        <v>2541.5545691122488</v>
      </c>
      <c r="AH65" s="95">
        <f t="shared" si="42"/>
        <v>2541.5481039763849</v>
      </c>
      <c r="AI65" s="95">
        <f t="shared" si="42"/>
        <v>2541.5150142314465</v>
      </c>
      <c r="AJ65" s="95">
        <f t="shared" si="42"/>
        <v>2541.5024571656745</v>
      </c>
      <c r="AK65" s="95">
        <f t="shared" si="42"/>
        <v>2541.5138531075891</v>
      </c>
    </row>
    <row r="66" spans="1:37" x14ac:dyDescent="0.2">
      <c r="B66" s="113"/>
      <c r="C66" s="113"/>
      <c r="D66" s="113"/>
      <c r="E66" s="113"/>
      <c r="F66" s="113"/>
      <c r="G66" s="113"/>
      <c r="H66" s="113"/>
      <c r="I66" s="113"/>
      <c r="J66" s="113"/>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row>
    <row r="67" spans="1:37" ht="12" thickBot="1" x14ac:dyDescent="0.25">
      <c r="A67" s="81" t="s">
        <v>161</v>
      </c>
    </row>
    <row r="68" spans="1:37" s="81" customFormat="1" ht="12" thickBot="1" x14ac:dyDescent="0.25">
      <c r="A68" s="128" t="s">
        <v>74</v>
      </c>
      <c r="B68" s="92">
        <f t="shared" ref="B68:AK68" si="43">B$2</f>
        <v>2015</v>
      </c>
      <c r="C68" s="92">
        <f t="shared" si="43"/>
        <v>2016</v>
      </c>
      <c r="D68" s="92">
        <f t="shared" si="43"/>
        <v>2017</v>
      </c>
      <c r="E68" s="92">
        <f t="shared" si="43"/>
        <v>2018</v>
      </c>
      <c r="F68" s="92">
        <f t="shared" si="43"/>
        <v>2019</v>
      </c>
      <c r="G68" s="92">
        <f t="shared" si="43"/>
        <v>2020</v>
      </c>
      <c r="H68" s="92">
        <f t="shared" si="43"/>
        <v>2021</v>
      </c>
      <c r="I68" s="92">
        <f t="shared" si="43"/>
        <v>2022</v>
      </c>
      <c r="J68" s="92">
        <f t="shared" si="43"/>
        <v>2023</v>
      </c>
      <c r="K68" s="92">
        <f t="shared" si="43"/>
        <v>2024</v>
      </c>
      <c r="L68" s="92">
        <f t="shared" si="43"/>
        <v>2025</v>
      </c>
      <c r="M68" s="92">
        <f t="shared" si="43"/>
        <v>2026</v>
      </c>
      <c r="N68" s="92">
        <f t="shared" si="43"/>
        <v>2027</v>
      </c>
      <c r="O68" s="92">
        <f t="shared" si="43"/>
        <v>2028</v>
      </c>
      <c r="P68" s="92">
        <f t="shared" si="43"/>
        <v>2029</v>
      </c>
      <c r="Q68" s="92">
        <f t="shared" si="43"/>
        <v>2030</v>
      </c>
      <c r="R68" s="92">
        <f t="shared" si="43"/>
        <v>2031</v>
      </c>
      <c r="S68" s="92">
        <f t="shared" si="43"/>
        <v>2032</v>
      </c>
      <c r="T68" s="92">
        <f t="shared" si="43"/>
        <v>2033</v>
      </c>
      <c r="U68" s="92">
        <f t="shared" si="43"/>
        <v>2034</v>
      </c>
      <c r="V68" s="92">
        <f t="shared" si="43"/>
        <v>2035</v>
      </c>
      <c r="W68" s="92">
        <f t="shared" si="43"/>
        <v>2036</v>
      </c>
      <c r="X68" s="92">
        <f t="shared" si="43"/>
        <v>2037</v>
      </c>
      <c r="Y68" s="92">
        <f t="shared" si="43"/>
        <v>2038</v>
      </c>
      <c r="Z68" s="92">
        <f t="shared" si="43"/>
        <v>2039</v>
      </c>
      <c r="AA68" s="92">
        <f t="shared" si="43"/>
        <v>2040</v>
      </c>
      <c r="AB68" s="92">
        <f t="shared" si="43"/>
        <v>2041</v>
      </c>
      <c r="AC68" s="92">
        <f t="shared" si="43"/>
        <v>2042</v>
      </c>
      <c r="AD68" s="92">
        <f t="shared" si="43"/>
        <v>2043</v>
      </c>
      <c r="AE68" s="92">
        <f t="shared" si="43"/>
        <v>2044</v>
      </c>
      <c r="AF68" s="92">
        <f t="shared" si="43"/>
        <v>2045</v>
      </c>
      <c r="AG68" s="92">
        <f t="shared" si="43"/>
        <v>2046</v>
      </c>
      <c r="AH68" s="92">
        <f t="shared" si="43"/>
        <v>2047</v>
      </c>
      <c r="AI68" s="92">
        <f t="shared" si="43"/>
        <v>2048</v>
      </c>
      <c r="AJ68" s="92">
        <f t="shared" si="43"/>
        <v>2049</v>
      </c>
      <c r="AK68" s="92">
        <f t="shared" si="43"/>
        <v>2050</v>
      </c>
    </row>
    <row r="69" spans="1:37" x14ac:dyDescent="0.2">
      <c r="A69" s="53" t="s">
        <v>89</v>
      </c>
      <c r="B69" s="84">
        <f>monthly_data!$S4*0.264172/1000</f>
        <v>640.35292800000002</v>
      </c>
      <c r="C69" s="84">
        <f>monthly_data!$S16*0.264172/1000</f>
        <v>577.74416399999996</v>
      </c>
      <c r="D69" s="84">
        <f>monthly_data!$S28*0.264172/1000</f>
        <v>609.70897600000001</v>
      </c>
      <c r="E69" s="84">
        <f>monthly_data!$S40*0.264172/1000</f>
        <v>709.83016400000008</v>
      </c>
      <c r="F69" s="84">
        <f>monthly_data!$S52*0.264172/1000</f>
        <v>761.05152976800002</v>
      </c>
      <c r="G69" s="84">
        <f>monthly_data!$S64*0.264172/1000</f>
        <v>703.42293631200005</v>
      </c>
      <c r="H69" s="84">
        <f>monthly_data!$S76*0.264172/1000</f>
        <v>690.46662057200001</v>
      </c>
      <c r="I69" s="84">
        <f>monthly_data!$S88*0.264172/1000</f>
        <v>714.93766544800008</v>
      </c>
      <c r="J69" s="84">
        <f>monthly_data!$S100*0.264172/1000</f>
        <v>671.82453087600004</v>
      </c>
      <c r="K69" s="84">
        <f>monthly_data!$S112*0.264172/1000</f>
        <v>654.02488568800004</v>
      </c>
      <c r="L69" s="85">
        <f>L$33*(SUM(G69:K69)/SUM(G$33:K$33))</f>
        <v>708.99539658016033</v>
      </c>
      <c r="M69" s="85">
        <f t="shared" ref="M69:M79" si="44">M$33*(SUM(H69:L69)/SUM(H$33:L$33))</f>
        <v>710.2201237198733</v>
      </c>
      <c r="N69" s="85">
        <f t="shared" ref="N69:N79" si="45">N$33*(SUM(I69:M69)/SUM(I$33:M$33))</f>
        <v>711.69328958354413</v>
      </c>
      <c r="O69" s="85">
        <f t="shared" ref="O69:AD79" si="46">O$33*(SUM(J69:N69)/SUM(J$33:N$33))</f>
        <v>713.56919145740801</v>
      </c>
      <c r="P69" s="85">
        <f t="shared" si="46"/>
        <v>723.32270762204041</v>
      </c>
      <c r="Q69" s="85">
        <f t="shared" si="46"/>
        <v>739.53936536246897</v>
      </c>
      <c r="R69" s="85">
        <f t="shared" si="46"/>
        <v>746.02608642179223</v>
      </c>
      <c r="S69" s="85">
        <f t="shared" si="46"/>
        <v>753.60566573406106</v>
      </c>
      <c r="T69" s="85">
        <f t="shared" si="46"/>
        <v>762.45387856763034</v>
      </c>
      <c r="U69" s="85">
        <f t="shared" si="46"/>
        <v>772.75109058150895</v>
      </c>
      <c r="V69" s="85">
        <f t="shared" si="46"/>
        <v>783.16422824962285</v>
      </c>
      <c r="W69" s="85">
        <f t="shared" si="46"/>
        <v>792.37602294966609</v>
      </c>
      <c r="X69" s="85">
        <f t="shared" si="46"/>
        <v>802.15604689762517</v>
      </c>
      <c r="Y69" s="85">
        <f t="shared" si="46"/>
        <v>812.39566295869281</v>
      </c>
      <c r="Z69" s="85">
        <f t="shared" si="46"/>
        <v>822.92708181155024</v>
      </c>
      <c r="AA69" s="85">
        <f t="shared" si="46"/>
        <v>833.51006609275396</v>
      </c>
      <c r="AB69" s="85">
        <f t="shared" si="46"/>
        <v>844.13121665595929</v>
      </c>
      <c r="AC69" s="85">
        <f t="shared" si="46"/>
        <v>855.04804419024583</v>
      </c>
      <c r="AD69" s="85">
        <f t="shared" si="46"/>
        <v>866.20401701952596</v>
      </c>
      <c r="AE69" s="85">
        <f t="shared" ref="AE69:AK79" si="47">AE$33*(SUM(Z69:AD69)/SUM(Z$33:AD$33))</f>
        <v>877.55338850865166</v>
      </c>
      <c r="AF69" s="85">
        <f t="shared" si="47"/>
        <v>889.07574810210906</v>
      </c>
      <c r="AG69" s="85">
        <f t="shared" si="47"/>
        <v>900.7963789260682</v>
      </c>
      <c r="AH69" s="85">
        <f t="shared" si="47"/>
        <v>912.74862642636936</v>
      </c>
      <c r="AI69" s="85">
        <f t="shared" si="47"/>
        <v>924.91922882830272</v>
      </c>
      <c r="AJ69" s="85">
        <f t="shared" si="47"/>
        <v>937.30391513109362</v>
      </c>
      <c r="AK69" s="85">
        <f t="shared" si="47"/>
        <v>949.90704009238209</v>
      </c>
    </row>
    <row r="70" spans="1:37" x14ac:dyDescent="0.2">
      <c r="A70" s="53" t="s">
        <v>90</v>
      </c>
      <c r="B70" s="84">
        <f>monthly_data!$S5*0.264172/1000</f>
        <v>636.39034800000002</v>
      </c>
      <c r="C70" s="84">
        <f>monthly_data!$S17*0.264172/1000</f>
        <v>578.27250800000002</v>
      </c>
      <c r="D70" s="84">
        <f>monthly_data!$S29*0.264172/1000</f>
        <v>589.89607599999999</v>
      </c>
      <c r="E70" s="84">
        <f>monthly_data!$S41*0.264172/1000</f>
        <v>678.39369599999998</v>
      </c>
      <c r="F70" s="84">
        <f>monthly_data!$S53*0.264172/1000</f>
        <v>636.46114609600011</v>
      </c>
      <c r="G70" s="84">
        <f>monthly_data!$S65*0.264172/1000</f>
        <v>710.16619078400004</v>
      </c>
      <c r="H70" s="84">
        <f>monthly_data!$S77*0.264172/1000</f>
        <v>606.20103601200003</v>
      </c>
      <c r="I70" s="84">
        <f>monthly_data!$S89*0.264172/1000</f>
        <v>712.93973261200006</v>
      </c>
      <c r="J70" s="84">
        <f>monthly_data!$S101*0.264172/1000</f>
        <v>686.72488836399998</v>
      </c>
      <c r="K70" s="84">
        <f>monthly_data!$S113*0.264172/1000</f>
        <v>656.15807458800009</v>
      </c>
      <c r="L70" s="85">
        <f t="shared" ref="L70:L79" si="48">L$33*(SUM(G70:K70)/SUM(G$33:K$33))</f>
        <v>696.09671672490799</v>
      </c>
      <c r="M70" s="85">
        <f t="shared" si="44"/>
        <v>693.26512456262697</v>
      </c>
      <c r="N70" s="85">
        <f t="shared" si="45"/>
        <v>708.64533876818939</v>
      </c>
      <c r="O70" s="85">
        <f t="shared" si="46"/>
        <v>710.29358618553124</v>
      </c>
      <c r="P70" s="85">
        <f t="shared" si="46"/>
        <v>716.2840306591321</v>
      </c>
      <c r="Q70" s="85">
        <f t="shared" si="46"/>
        <v>730.58150286188857</v>
      </c>
      <c r="R70" s="85">
        <f t="shared" si="46"/>
        <v>737.88338531257307</v>
      </c>
      <c r="S70" s="85">
        <f t="shared" si="46"/>
        <v>747.28866392859663</v>
      </c>
      <c r="T70" s="85">
        <f t="shared" si="46"/>
        <v>755.45754092164645</v>
      </c>
      <c r="U70" s="85">
        <f t="shared" si="46"/>
        <v>764.981445378182</v>
      </c>
      <c r="V70" s="85">
        <f t="shared" si="46"/>
        <v>775.24133227375785</v>
      </c>
      <c r="W70" s="85">
        <f t="shared" si="46"/>
        <v>784.66632202340418</v>
      </c>
      <c r="X70" s="85">
        <f t="shared" si="46"/>
        <v>794.53468262987644</v>
      </c>
      <c r="Y70" s="85">
        <f t="shared" si="46"/>
        <v>804.50197090832876</v>
      </c>
      <c r="Z70" s="85">
        <f t="shared" si="46"/>
        <v>814.84548523899241</v>
      </c>
      <c r="AA70" s="85">
        <f t="shared" si="46"/>
        <v>825.36209215136898</v>
      </c>
      <c r="AB70" s="85">
        <f t="shared" si="46"/>
        <v>835.93489890682588</v>
      </c>
      <c r="AC70" s="85">
        <f t="shared" si="46"/>
        <v>846.74903324289244</v>
      </c>
      <c r="AD70" s="85">
        <f t="shared" si="46"/>
        <v>857.76258587430755</v>
      </c>
      <c r="AE70" s="85">
        <f t="shared" si="47"/>
        <v>868.99649857663235</v>
      </c>
      <c r="AF70" s="85">
        <f t="shared" si="47"/>
        <v>880.41843045668656</v>
      </c>
      <c r="AG70" s="85">
        <f t="shared" si="47"/>
        <v>892.03152897030327</v>
      </c>
      <c r="AH70" s="85">
        <f t="shared" si="47"/>
        <v>903.86390798369973</v>
      </c>
      <c r="AI70" s="85">
        <f t="shared" si="47"/>
        <v>915.9110389392406</v>
      </c>
      <c r="AJ70" s="85">
        <f t="shared" si="47"/>
        <v>928.17616527438406</v>
      </c>
      <c r="AK70" s="85">
        <f t="shared" si="47"/>
        <v>940.65884802976109</v>
      </c>
    </row>
    <row r="71" spans="1:37" x14ac:dyDescent="0.2">
      <c r="A71" s="53" t="s">
        <v>91</v>
      </c>
      <c r="B71" s="84">
        <f>monthly_data!$S6*0.264172/1000</f>
        <v>621.59671600000001</v>
      </c>
      <c r="C71" s="84">
        <f>monthly_data!$S18*0.264172/1000</f>
        <v>572.46072400000003</v>
      </c>
      <c r="D71" s="84">
        <f>monthly_data!$S30*0.264172/1000</f>
        <v>683.41296399999999</v>
      </c>
      <c r="E71" s="84">
        <f>monthly_data!$S42*0.264172/1000</f>
        <v>718.019496</v>
      </c>
      <c r="F71" s="84">
        <f>monthly_data!$S54*0.264172/1000</f>
        <v>705.74844242800009</v>
      </c>
      <c r="G71" s="84">
        <f>monthly_data!$S66*0.264172/1000</f>
        <v>716.27596080000001</v>
      </c>
      <c r="H71" s="84">
        <f>monthly_data!$S78*0.264172/1000</f>
        <v>684.379305176</v>
      </c>
      <c r="I71" s="84">
        <f>monthly_data!$S90*0.264172/1000</f>
        <v>731.47615350800004</v>
      </c>
      <c r="J71" s="84">
        <f>monthly_data!$S102*0.264172/1000</f>
        <v>754.835034264</v>
      </c>
      <c r="K71" s="84">
        <f>monthly_data!$S114*0.264172/1000</f>
        <v>692.03527390800014</v>
      </c>
      <c r="L71" s="85">
        <f t="shared" si="48"/>
        <v>738.78737827155851</v>
      </c>
      <c r="M71" s="85">
        <f t="shared" si="44"/>
        <v>743.51218117685187</v>
      </c>
      <c r="N71" s="85">
        <f t="shared" si="45"/>
        <v>752.96394489325314</v>
      </c>
      <c r="O71" s="85">
        <f t="shared" si="46"/>
        <v>760.0928602211003</v>
      </c>
      <c r="P71" s="85">
        <f t="shared" si="46"/>
        <v>762.37584764909934</v>
      </c>
      <c r="Q71" s="85">
        <f t="shared" si="46"/>
        <v>778.90866730305004</v>
      </c>
      <c r="R71" s="85">
        <f t="shared" si="46"/>
        <v>787.38921311762169</v>
      </c>
      <c r="S71" s="85">
        <f t="shared" si="46"/>
        <v>796.65104242205734</v>
      </c>
      <c r="T71" s="85">
        <f t="shared" si="46"/>
        <v>805.87621295292729</v>
      </c>
      <c r="U71" s="85">
        <f t="shared" si="46"/>
        <v>815.53892534599163</v>
      </c>
      <c r="V71" s="85">
        <f t="shared" si="46"/>
        <v>826.73568647067714</v>
      </c>
      <c r="W71" s="85">
        <f t="shared" si="46"/>
        <v>836.82837542544132</v>
      </c>
      <c r="X71" s="85">
        <f t="shared" si="46"/>
        <v>847.2585634258146</v>
      </c>
      <c r="Y71" s="85">
        <f t="shared" si="46"/>
        <v>857.93425599067405</v>
      </c>
      <c r="Z71" s="85">
        <f t="shared" si="46"/>
        <v>868.91413380283973</v>
      </c>
      <c r="AA71" s="85">
        <f t="shared" si="46"/>
        <v>880.17061722304641</v>
      </c>
      <c r="AB71" s="85">
        <f t="shared" si="46"/>
        <v>891.44258249626853</v>
      </c>
      <c r="AC71" s="85">
        <f t="shared" si="46"/>
        <v>902.96259894557932</v>
      </c>
      <c r="AD71" s="85">
        <f t="shared" si="46"/>
        <v>914.71215703224993</v>
      </c>
      <c r="AE71" s="85">
        <f t="shared" si="47"/>
        <v>926.68800558552414</v>
      </c>
      <c r="AF71" s="85">
        <f t="shared" si="47"/>
        <v>938.8740132563745</v>
      </c>
      <c r="AG71" s="85">
        <f t="shared" si="47"/>
        <v>951.25641515874406</v>
      </c>
      <c r="AH71" s="85">
        <f t="shared" si="47"/>
        <v>963.87287955454588</v>
      </c>
      <c r="AI71" s="85">
        <f t="shared" si="47"/>
        <v>976.72055811983898</v>
      </c>
      <c r="AJ71" s="85">
        <f t="shared" si="47"/>
        <v>989.79985678492585</v>
      </c>
      <c r="AK71" s="85">
        <f t="shared" si="47"/>
        <v>1003.1119407795882</v>
      </c>
    </row>
    <row r="72" spans="1:37" x14ac:dyDescent="0.2">
      <c r="A72" s="53" t="s">
        <v>92</v>
      </c>
      <c r="B72" s="84">
        <f>monthly_data!$S7*0.264172/1000</f>
        <v>575.63078800000005</v>
      </c>
      <c r="C72" s="84">
        <f>monthly_data!$S19*0.264172/1000</f>
        <v>621.59671600000001</v>
      </c>
      <c r="D72" s="84">
        <f>monthly_data!$S31*0.264172/1000</f>
        <v>558.98795200000006</v>
      </c>
      <c r="E72" s="84">
        <f>monthly_data!$S43*0.264172/1000</f>
        <v>657.52410799999996</v>
      </c>
      <c r="F72" s="84">
        <f>monthly_data!$S55*0.264172/1000</f>
        <v>636.01231786799997</v>
      </c>
      <c r="G72" s="84">
        <f>monthly_data!$S67*0.264172/1000</f>
        <v>527.60854515200003</v>
      </c>
      <c r="H72" s="84">
        <f>monthly_data!$S79*0.264172/1000</f>
        <v>634.37867821999998</v>
      </c>
      <c r="I72" s="84">
        <f>monthly_data!$S91*0.264172/1000</f>
        <v>658.20250169600001</v>
      </c>
      <c r="J72" s="84">
        <f>monthly_data!$S103*0.264172/1000</f>
        <v>595.50101332400004</v>
      </c>
      <c r="K72" s="84">
        <f>monthly_data!$S115*0.264172/1000</f>
        <v>643.71715842000003</v>
      </c>
      <c r="L72" s="85">
        <f t="shared" si="48"/>
        <v>631.53139091367518</v>
      </c>
      <c r="M72" s="85">
        <f t="shared" si="44"/>
        <v>653.05188275564126</v>
      </c>
      <c r="N72" s="85">
        <f t="shared" si="45"/>
        <v>654.51131599519579</v>
      </c>
      <c r="O72" s="85">
        <f t="shared" si="46"/>
        <v>656.09045203249389</v>
      </c>
      <c r="P72" s="85">
        <f t="shared" si="46"/>
        <v>669.64972868756297</v>
      </c>
      <c r="Q72" s="85">
        <f t="shared" si="46"/>
        <v>676.7401071584203</v>
      </c>
      <c r="R72" s="85">
        <f t="shared" si="46"/>
        <v>686.2540999722363</v>
      </c>
      <c r="S72" s="85">
        <f t="shared" si="46"/>
        <v>693.28136162491705</v>
      </c>
      <c r="T72" s="85">
        <f t="shared" si="46"/>
        <v>701.46540304715768</v>
      </c>
      <c r="U72" s="85">
        <f t="shared" si="46"/>
        <v>711.02203636747208</v>
      </c>
      <c r="V72" s="85">
        <f t="shared" si="46"/>
        <v>719.75103749479695</v>
      </c>
      <c r="W72" s="85">
        <f t="shared" si="46"/>
        <v>728.82262305794757</v>
      </c>
      <c r="X72" s="85">
        <f t="shared" si="46"/>
        <v>737.80497226058208</v>
      </c>
      <c r="Y72" s="85">
        <f t="shared" si="46"/>
        <v>747.19574785103509</v>
      </c>
      <c r="Z72" s="85">
        <f t="shared" si="46"/>
        <v>756.83973722093401</v>
      </c>
      <c r="AA72" s="85">
        <f t="shared" si="46"/>
        <v>766.50453996114504</v>
      </c>
      <c r="AB72" s="85">
        <f t="shared" si="46"/>
        <v>776.3663719176617</v>
      </c>
      <c r="AC72" s="85">
        <f t="shared" si="46"/>
        <v>786.39504936622188</v>
      </c>
      <c r="AD72" s="85">
        <f t="shared" si="46"/>
        <v>796.64383262808485</v>
      </c>
      <c r="AE72" s="85">
        <f t="shared" si="47"/>
        <v>807.07364693762042</v>
      </c>
      <c r="AF72" s="85">
        <f t="shared" si="47"/>
        <v>817.66953119388177</v>
      </c>
      <c r="AG72" s="85">
        <f t="shared" si="47"/>
        <v>828.46172570870579</v>
      </c>
      <c r="AH72" s="85">
        <f t="shared" si="47"/>
        <v>839.45013207679938</v>
      </c>
      <c r="AI72" s="85">
        <f t="shared" si="47"/>
        <v>850.6409083316729</v>
      </c>
      <c r="AJ72" s="85">
        <f t="shared" si="47"/>
        <v>862.03041545591111</v>
      </c>
      <c r="AK72" s="85">
        <f t="shared" si="47"/>
        <v>873.62238393376924</v>
      </c>
    </row>
    <row r="73" spans="1:37" x14ac:dyDescent="0.2">
      <c r="A73" s="53" t="s">
        <v>93</v>
      </c>
      <c r="B73" s="84">
        <f>monthly_data!$S8*0.264172/1000</f>
        <v>679.18621200000007</v>
      </c>
      <c r="C73" s="84">
        <f>monthly_data!$S20*0.264172/1000</f>
        <v>680.77124400000002</v>
      </c>
      <c r="D73" s="84">
        <f>monthly_data!$S32*0.264172/1000</f>
        <v>697.94242399999996</v>
      </c>
      <c r="E73" s="84">
        <f>monthly_data!$S44*0.264172/1000</f>
        <v>771.11806800000011</v>
      </c>
      <c r="F73" s="84">
        <f>monthly_data!$S56*0.264172/1000</f>
        <v>722.32682046000002</v>
      </c>
      <c r="G73" s="84">
        <f>monthly_data!$S68*0.264172/1000</f>
        <v>634.76410516800013</v>
      </c>
      <c r="H73" s="84">
        <f>monthly_data!$S80*0.264172/1000</f>
        <v>678.67979427600005</v>
      </c>
      <c r="I73" s="84">
        <f>monthly_data!$S92*0.264172/1000</f>
        <v>689.16398844000014</v>
      </c>
      <c r="J73" s="84">
        <f>monthly_data!$S104*0.264172/1000</f>
        <v>759.71112103999997</v>
      </c>
      <c r="K73" s="84">
        <f>monthly_data!$S116*0.264172/1000</f>
        <v>717.55164738799999</v>
      </c>
      <c r="L73" s="85">
        <f t="shared" si="48"/>
        <v>718.32446993106737</v>
      </c>
      <c r="M73" s="85">
        <f t="shared" si="44"/>
        <v>735.65034034019629</v>
      </c>
      <c r="N73" s="85">
        <f t="shared" si="45"/>
        <v>744.6860008743987</v>
      </c>
      <c r="O73" s="85">
        <f t="shared" si="46"/>
        <v>758.81089873942835</v>
      </c>
      <c r="P73" s="85">
        <f t="shared" si="46"/>
        <v>759.81867993095887</v>
      </c>
      <c r="Q73" s="85">
        <f t="shared" si="46"/>
        <v>770.52582248955878</v>
      </c>
      <c r="R73" s="85">
        <f t="shared" si="46"/>
        <v>781.50911716578048</v>
      </c>
      <c r="S73" s="85">
        <f t="shared" si="46"/>
        <v>791.18067810110028</v>
      </c>
      <c r="T73" s="85">
        <f t="shared" si="46"/>
        <v>800.98704378809805</v>
      </c>
      <c r="U73" s="85">
        <f t="shared" si="46"/>
        <v>809.90043062230643</v>
      </c>
      <c r="V73" s="85">
        <f t="shared" si="46"/>
        <v>820.45668621499169</v>
      </c>
      <c r="W73" s="85">
        <f t="shared" si="46"/>
        <v>830.98473354110854</v>
      </c>
      <c r="X73" s="85">
        <f t="shared" si="46"/>
        <v>841.42131768167235</v>
      </c>
      <c r="Y73" s="85">
        <f t="shared" si="46"/>
        <v>852.01967703051514</v>
      </c>
      <c r="Z73" s="85">
        <f t="shared" si="46"/>
        <v>862.78544916347721</v>
      </c>
      <c r="AA73" s="85">
        <f t="shared" si="46"/>
        <v>873.93891771974984</v>
      </c>
      <c r="AB73" s="85">
        <f t="shared" si="46"/>
        <v>885.21949658936092</v>
      </c>
      <c r="AC73" s="85">
        <f t="shared" si="46"/>
        <v>896.65946951553326</v>
      </c>
      <c r="AD73" s="85">
        <f t="shared" si="46"/>
        <v>908.31099886993093</v>
      </c>
      <c r="AE73" s="85">
        <f t="shared" si="47"/>
        <v>920.18448933695993</v>
      </c>
      <c r="AF73" s="85">
        <f t="shared" si="47"/>
        <v>932.29134264537845</v>
      </c>
      <c r="AG73" s="85">
        <f t="shared" si="47"/>
        <v>944.59953228569418</v>
      </c>
      <c r="AH73" s="85">
        <f t="shared" si="47"/>
        <v>957.124541288263</v>
      </c>
      <c r="AI73" s="85">
        <f t="shared" si="47"/>
        <v>969.87836750081783</v>
      </c>
      <c r="AJ73" s="85">
        <f t="shared" si="47"/>
        <v>982.86465923884498</v>
      </c>
      <c r="AK73" s="85">
        <f t="shared" si="47"/>
        <v>996.08565952591209</v>
      </c>
    </row>
    <row r="74" spans="1:37" x14ac:dyDescent="0.2">
      <c r="A74" s="53" t="s">
        <v>94</v>
      </c>
      <c r="B74" s="84">
        <f>monthly_data!$S9*0.264172/1000</f>
        <v>664.92092400000001</v>
      </c>
      <c r="C74" s="84">
        <f>monthly_data!$S21*0.264172/1000</f>
        <v>631.63525200000015</v>
      </c>
      <c r="D74" s="84">
        <f>monthly_data!$S33*0.264172/1000</f>
        <v>705.86758400000008</v>
      </c>
      <c r="E74" s="84">
        <f>monthly_data!$S45*0.264172/1000</f>
        <v>744.43669599999998</v>
      </c>
      <c r="F74" s="84">
        <f>monthly_data!$S57*0.264172/1000</f>
        <v>704.30844085600006</v>
      </c>
      <c r="G74" s="84">
        <f>monthly_data!$S69*0.264172/1000</f>
        <v>635.34977449200005</v>
      </c>
      <c r="H74" s="84">
        <f>monthly_data!$S81*0.264172/1000</f>
        <v>711.22525633200007</v>
      </c>
      <c r="I74" s="84">
        <f>monthly_data!$S93*0.264172/1000</f>
        <v>717.87393722800005</v>
      </c>
      <c r="J74" s="84">
        <f>monthly_data!$S105*0.264172/1000</f>
        <v>673.73106020000012</v>
      </c>
      <c r="K74" s="84">
        <f>monthly_data!$S117*0.264172/1000</f>
        <v>732.310672856</v>
      </c>
      <c r="L74" s="85">
        <f t="shared" si="48"/>
        <v>716.38823378456891</v>
      </c>
      <c r="M74" s="85">
        <f t="shared" si="44"/>
        <v>733.19326798378097</v>
      </c>
      <c r="N74" s="85">
        <f t="shared" si="45"/>
        <v>735.03816326496292</v>
      </c>
      <c r="O74" s="85">
        <f t="shared" si="46"/>
        <v>741.21045869760167</v>
      </c>
      <c r="P74" s="85">
        <f t="shared" si="46"/>
        <v>756.32817559197611</v>
      </c>
      <c r="Q74" s="85">
        <f t="shared" si="46"/>
        <v>763.24358729018297</v>
      </c>
      <c r="R74" s="85">
        <f t="shared" si="46"/>
        <v>773.11700539376932</v>
      </c>
      <c r="S74" s="85">
        <f t="shared" si="46"/>
        <v>781.55609166798877</v>
      </c>
      <c r="T74" s="85">
        <f t="shared" si="46"/>
        <v>791.36529843607696</v>
      </c>
      <c r="U74" s="85">
        <f t="shared" si="46"/>
        <v>801.93192046093475</v>
      </c>
      <c r="V74" s="85">
        <f t="shared" si="46"/>
        <v>811.55739325428669</v>
      </c>
      <c r="W74" s="85">
        <f t="shared" si="46"/>
        <v>821.74804575447729</v>
      </c>
      <c r="X74" s="85">
        <f t="shared" si="46"/>
        <v>832.00746326522574</v>
      </c>
      <c r="Y74" s="85">
        <f t="shared" si="46"/>
        <v>842.64770176534068</v>
      </c>
      <c r="Z74" s="85">
        <f t="shared" si="46"/>
        <v>853.46349014475607</v>
      </c>
      <c r="AA74" s="85">
        <f t="shared" si="46"/>
        <v>864.33401753936755</v>
      </c>
      <c r="AB74" s="85">
        <f t="shared" si="46"/>
        <v>875.46614299918906</v>
      </c>
      <c r="AC74" s="85">
        <f t="shared" si="46"/>
        <v>886.79687837693916</v>
      </c>
      <c r="AD74" s="85">
        <f t="shared" si="46"/>
        <v>898.35326038511937</v>
      </c>
      <c r="AE74" s="85">
        <f t="shared" si="47"/>
        <v>910.10310001993503</v>
      </c>
      <c r="AF74" s="85">
        <f t="shared" si="47"/>
        <v>922.05016583917472</v>
      </c>
      <c r="AG74" s="85">
        <f t="shared" si="47"/>
        <v>934.22413248896521</v>
      </c>
      <c r="AH74" s="85">
        <f t="shared" si="47"/>
        <v>946.61784443932572</v>
      </c>
      <c r="AI74" s="85">
        <f t="shared" si="47"/>
        <v>959.2357529906277</v>
      </c>
      <c r="AJ74" s="85">
        <f t="shared" si="47"/>
        <v>972.07761178325916</v>
      </c>
      <c r="AK74" s="85">
        <f t="shared" si="47"/>
        <v>985.14981934109812</v>
      </c>
    </row>
    <row r="75" spans="1:37" x14ac:dyDescent="0.2">
      <c r="A75" s="53" t="s">
        <v>95</v>
      </c>
      <c r="B75" s="84">
        <f>monthly_data!$S10*0.264172/1000</f>
        <v>656.20324800000003</v>
      </c>
      <c r="C75" s="84">
        <f>monthly_data!$S22*0.264172/1000</f>
        <v>614.46407199999999</v>
      </c>
      <c r="D75" s="84">
        <f>monthly_data!$S34*0.264172/1000</f>
        <v>704.28255200000001</v>
      </c>
      <c r="E75" s="84">
        <f>monthly_data!$S46*0.264172/1000</f>
        <v>774.0239600000001</v>
      </c>
      <c r="F75" s="84">
        <f>monthly_data!$S58*0.264172/1000</f>
        <v>744.74815478800008</v>
      </c>
      <c r="G75" s="84">
        <f>monthly_data!$S70*0.264172/1000</f>
        <v>683.66973918400004</v>
      </c>
      <c r="H75" s="84">
        <f>monthly_data!$S82*0.264172/1000</f>
        <v>669.16669638400003</v>
      </c>
      <c r="I75" s="84">
        <f>monthly_data!$S94*0.264172/1000</f>
        <v>718.9197941760001</v>
      </c>
      <c r="J75" s="84">
        <f>monthly_data!$S106*0.264172/1000</f>
        <v>692.43866455199998</v>
      </c>
      <c r="K75" s="84">
        <f>monthly_data!$S118*0.264172/1000</f>
        <v>789.23947468400002</v>
      </c>
      <c r="L75" s="85">
        <f t="shared" si="48"/>
        <v>733.50969378775085</v>
      </c>
      <c r="M75" s="85">
        <f t="shared" si="44"/>
        <v>743.87576658738305</v>
      </c>
      <c r="N75" s="85">
        <f t="shared" si="45"/>
        <v>756.53009590480951</v>
      </c>
      <c r="O75" s="85">
        <f t="shared" si="46"/>
        <v>766.99989279211502</v>
      </c>
      <c r="P75" s="85">
        <f t="shared" si="46"/>
        <v>783.62236942053596</v>
      </c>
      <c r="Q75" s="85">
        <f t="shared" si="46"/>
        <v>784.46497570536826</v>
      </c>
      <c r="R75" s="85">
        <f t="shared" si="46"/>
        <v>795.1928354427987</v>
      </c>
      <c r="S75" s="85">
        <f t="shared" si="46"/>
        <v>805.9991054280722</v>
      </c>
      <c r="T75" s="85">
        <f t="shared" si="46"/>
        <v>816.42542944496711</v>
      </c>
      <c r="U75" s="85">
        <f t="shared" si="46"/>
        <v>826.84588095761194</v>
      </c>
      <c r="V75" s="85">
        <f t="shared" si="46"/>
        <v>835.98252879482686</v>
      </c>
      <c r="W75" s="85">
        <f t="shared" si="46"/>
        <v>846.84300548679016</v>
      </c>
      <c r="X75" s="85">
        <f t="shared" si="46"/>
        <v>857.73415780675293</v>
      </c>
      <c r="Y75" s="85">
        <f t="shared" si="46"/>
        <v>868.64603240244082</v>
      </c>
      <c r="Z75" s="85">
        <f t="shared" si="46"/>
        <v>879.66178338420309</v>
      </c>
      <c r="AA75" s="85">
        <f t="shared" si="46"/>
        <v>890.80420545373056</v>
      </c>
      <c r="AB75" s="85">
        <f t="shared" si="46"/>
        <v>902.36632538769391</v>
      </c>
      <c r="AC75" s="85">
        <f t="shared" si="46"/>
        <v>914.0773488675311</v>
      </c>
      <c r="AD75" s="85">
        <f t="shared" si="46"/>
        <v>925.96186745444345</v>
      </c>
      <c r="AE75" s="85">
        <f t="shared" si="47"/>
        <v>938.05167064014597</v>
      </c>
      <c r="AF75" s="85">
        <f t="shared" si="47"/>
        <v>950.3678916302805</v>
      </c>
      <c r="AG75" s="85">
        <f t="shared" si="47"/>
        <v>962.93133213684587</v>
      </c>
      <c r="AH75" s="85">
        <f t="shared" si="47"/>
        <v>975.70619046768388</v>
      </c>
      <c r="AI75" s="85">
        <f t="shared" si="47"/>
        <v>988.70551869582766</v>
      </c>
      <c r="AJ75" s="85">
        <f t="shared" si="47"/>
        <v>1001.9399757469994</v>
      </c>
      <c r="AK75" s="85">
        <f t="shared" si="47"/>
        <v>1015.4158292186073</v>
      </c>
    </row>
    <row r="76" spans="1:37" x14ac:dyDescent="0.2">
      <c r="A76" s="53" t="s">
        <v>96</v>
      </c>
      <c r="B76" s="84">
        <f>monthly_data!$S11*0.264172/1000</f>
        <v>678.92204000000004</v>
      </c>
      <c r="C76" s="84">
        <f>monthly_data!$S23*0.264172/1000</f>
        <v>691.60229600000014</v>
      </c>
      <c r="D76" s="84">
        <f>monthly_data!$S35*0.264172/1000</f>
        <v>791.19514000000004</v>
      </c>
      <c r="E76" s="84">
        <f>monthly_data!$S47*0.264172/1000</f>
        <v>801.76202000000001</v>
      </c>
      <c r="F76" s="84">
        <f>monthly_data!$S59*0.264172/1000</f>
        <v>772.68724968000004</v>
      </c>
      <c r="G76" s="84">
        <f>monthly_data!$S71*0.264172/1000</f>
        <v>722.37912651600004</v>
      </c>
      <c r="H76" s="84">
        <f>monthly_data!$S83*0.264172/1000</f>
        <v>738.38160958799995</v>
      </c>
      <c r="I76" s="84">
        <f>monthly_data!$S95*0.264172/1000</f>
        <v>728.68042123199996</v>
      </c>
      <c r="J76" s="84">
        <f>monthly_data!$S107*0.264172/1000</f>
        <v>717.830877192</v>
      </c>
      <c r="K76" s="84">
        <f>monthly_data!$S119*0.264172/1000</f>
        <v>787.7339584560001</v>
      </c>
      <c r="L76" s="85">
        <f t="shared" si="48"/>
        <v>762.73329771265378</v>
      </c>
      <c r="M76" s="85">
        <f t="shared" si="44"/>
        <v>771.14414726166865</v>
      </c>
      <c r="N76" s="85">
        <f t="shared" si="45"/>
        <v>775.07098967068544</v>
      </c>
      <c r="O76" s="85">
        <f t="shared" si="46"/>
        <v>787.41959135620016</v>
      </c>
      <c r="P76" s="85">
        <f t="shared" si="46"/>
        <v>803.04611852516973</v>
      </c>
      <c r="Q76" s="85">
        <f t="shared" si="46"/>
        <v>808.2767219827798</v>
      </c>
      <c r="R76" s="85">
        <f t="shared" si="46"/>
        <v>817.88753432963142</v>
      </c>
      <c r="S76" s="85">
        <f t="shared" si="46"/>
        <v>827.75007254110835</v>
      </c>
      <c r="T76" s="85">
        <f t="shared" si="46"/>
        <v>838.84667727727594</v>
      </c>
      <c r="U76" s="85">
        <f t="shared" si="46"/>
        <v>849.68694170894742</v>
      </c>
      <c r="V76" s="85">
        <f t="shared" si="46"/>
        <v>859.53730514401036</v>
      </c>
      <c r="W76" s="85">
        <f t="shared" si="46"/>
        <v>870.34920397080521</v>
      </c>
      <c r="X76" s="85">
        <f t="shared" si="46"/>
        <v>881.4135162696233</v>
      </c>
      <c r="Y76" s="85">
        <f t="shared" si="46"/>
        <v>892.73047428286588</v>
      </c>
      <c r="Z76" s="85">
        <f t="shared" si="46"/>
        <v>904.09636273223043</v>
      </c>
      <c r="AA76" s="85">
        <f t="shared" si="46"/>
        <v>915.57455202076119</v>
      </c>
      <c r="AB76" s="85">
        <f t="shared" si="46"/>
        <v>927.39401740769608</v>
      </c>
      <c r="AC76" s="85">
        <f t="shared" si="46"/>
        <v>939.42601353849136</v>
      </c>
      <c r="AD76" s="85">
        <f t="shared" si="46"/>
        <v>951.66230821009174</v>
      </c>
      <c r="AE76" s="85">
        <f t="shared" si="47"/>
        <v>964.0929016179374</v>
      </c>
      <c r="AF76" s="85">
        <f t="shared" si="47"/>
        <v>976.74805815135051</v>
      </c>
      <c r="AG76" s="85">
        <f t="shared" si="47"/>
        <v>989.65117908802461</v>
      </c>
      <c r="AH76" s="85">
        <f t="shared" si="47"/>
        <v>1002.7829262145763</v>
      </c>
      <c r="AI76" s="85">
        <f t="shared" si="47"/>
        <v>1016.1467033663696</v>
      </c>
      <c r="AJ76" s="85">
        <f t="shared" si="47"/>
        <v>1029.74833579913</v>
      </c>
      <c r="AK76" s="85">
        <f t="shared" si="47"/>
        <v>1043.5969440431088</v>
      </c>
    </row>
    <row r="77" spans="1:37" x14ac:dyDescent="0.2">
      <c r="A77" s="53" t="s">
        <v>97</v>
      </c>
      <c r="B77" s="84">
        <f>monthly_data!$S12*0.264172/1000</f>
        <v>702.43334800000002</v>
      </c>
      <c r="C77" s="84">
        <f>monthly_data!$S24*0.264172/1000</f>
        <v>719.8687000000001</v>
      </c>
      <c r="D77" s="84">
        <f>monthly_data!$S36*0.264172/1000</f>
        <v>726.20882800000004</v>
      </c>
      <c r="E77" s="84">
        <f>monthly_data!$S48*0.264172/1000</f>
        <v>770.32555200000002</v>
      </c>
      <c r="F77" s="84">
        <f>monthly_data!$S60*0.264172/1000</f>
        <v>742.57243419600013</v>
      </c>
      <c r="G77" s="84">
        <f>monthly_data!$S72*0.264172/1000</f>
        <v>753.16731642800016</v>
      </c>
      <c r="H77" s="84">
        <f>monthly_data!$S84*0.264172/1000</f>
        <v>741.52604890400005</v>
      </c>
      <c r="I77" s="84">
        <f>monthly_data!$S96*0.264172/1000</f>
        <v>756.73126088000004</v>
      </c>
      <c r="J77" s="84">
        <f>monthly_data!$S108*0.264172/1000</f>
        <v>745.32748398400008</v>
      </c>
      <c r="K77" s="84">
        <f>monthly_data!$S120*0.264172/1000</f>
        <v>737.07712825200008</v>
      </c>
      <c r="L77" s="85">
        <f t="shared" si="48"/>
        <v>770.74729879868471</v>
      </c>
      <c r="M77" s="85">
        <f t="shared" si="44"/>
        <v>774.45738495536307</v>
      </c>
      <c r="N77" s="85">
        <f t="shared" si="45"/>
        <v>778.40686536581302</v>
      </c>
      <c r="O77" s="85">
        <f t="shared" si="46"/>
        <v>785.66555628726894</v>
      </c>
      <c r="P77" s="85">
        <f t="shared" si="46"/>
        <v>795.24169297641879</v>
      </c>
      <c r="Q77" s="85">
        <f t="shared" si="46"/>
        <v>809.33482269576041</v>
      </c>
      <c r="R77" s="85">
        <f t="shared" si="46"/>
        <v>817.50372501814854</v>
      </c>
      <c r="S77" s="85">
        <f t="shared" si="46"/>
        <v>826.59953536026399</v>
      </c>
      <c r="T77" s="85">
        <f t="shared" si="46"/>
        <v>836.76537432404666</v>
      </c>
      <c r="U77" s="85">
        <f t="shared" si="46"/>
        <v>847.53732040862633</v>
      </c>
      <c r="V77" s="85">
        <f t="shared" si="46"/>
        <v>858.56059082052911</v>
      </c>
      <c r="W77" s="85">
        <f t="shared" si="46"/>
        <v>868.94999339264461</v>
      </c>
      <c r="X77" s="85">
        <f t="shared" si="46"/>
        <v>879.80324987792892</v>
      </c>
      <c r="Y77" s="85">
        <f t="shared" si="46"/>
        <v>891.02443863913516</v>
      </c>
      <c r="Z77" s="85">
        <f t="shared" si="46"/>
        <v>902.46791840528772</v>
      </c>
      <c r="AA77" s="85">
        <f t="shared" si="46"/>
        <v>914.05403763397953</v>
      </c>
      <c r="AB77" s="85">
        <f t="shared" si="46"/>
        <v>925.76023704467889</v>
      </c>
      <c r="AC77" s="85">
        <f t="shared" si="46"/>
        <v>937.7431782536047</v>
      </c>
      <c r="AD77" s="85">
        <f t="shared" si="46"/>
        <v>949.96406902786805</v>
      </c>
      <c r="AE77" s="85">
        <f t="shared" si="47"/>
        <v>962.39596012918309</v>
      </c>
      <c r="AF77" s="85">
        <f t="shared" si="47"/>
        <v>975.03655599614319</v>
      </c>
      <c r="AG77" s="85">
        <f t="shared" si="47"/>
        <v>987.89964284156395</v>
      </c>
      <c r="AH77" s="85">
        <f t="shared" si="47"/>
        <v>1001.0065743416619</v>
      </c>
      <c r="AI77" s="85">
        <f t="shared" si="47"/>
        <v>1014.3505716801575</v>
      </c>
      <c r="AJ77" s="85">
        <f t="shared" si="47"/>
        <v>1027.9315094858134</v>
      </c>
      <c r="AK77" s="85">
        <f t="shared" si="47"/>
        <v>1041.7548420707521</v>
      </c>
    </row>
    <row r="78" spans="1:37" x14ac:dyDescent="0.2">
      <c r="A78" s="53" t="s">
        <v>98</v>
      </c>
      <c r="B78" s="84">
        <f>monthly_data!$S13*0.264172/1000</f>
        <v>680.77124400000002</v>
      </c>
      <c r="C78" s="84">
        <f>monthly_data!$S25*0.264172/1000</f>
        <v>653.8257000000001</v>
      </c>
      <c r="D78" s="84">
        <f>monthly_data!$S37*0.264172/1000</f>
        <v>795.95023600000002</v>
      </c>
      <c r="E78" s="84">
        <f>monthly_data!$S49*0.264172/1000</f>
        <v>881.80613600000004</v>
      </c>
      <c r="F78" s="84">
        <f>monthly_data!$S61*0.264172/1000</f>
        <v>785.15273384400007</v>
      </c>
      <c r="G78" s="84">
        <f>monthly_data!$S73*0.264172/1000</f>
        <v>694.81304248799995</v>
      </c>
      <c r="H78" s="84">
        <f>monthly_data!$S85*0.264172/1000</f>
        <v>740.73221204399999</v>
      </c>
      <c r="I78" s="84">
        <f>monthly_data!$S97*0.264172/1000</f>
        <v>725.18542567200006</v>
      </c>
      <c r="J78" s="84">
        <f>monthly_data!$S109*0.264172/1000</f>
        <v>751.594172168</v>
      </c>
      <c r="K78" s="84">
        <f>monthly_data!$S121*0.264172/1000</f>
        <v>799.81137395200005</v>
      </c>
      <c r="L78" s="85">
        <f t="shared" si="48"/>
        <v>766.26936758393799</v>
      </c>
      <c r="M78" s="85">
        <f t="shared" si="44"/>
        <v>781.10145298139435</v>
      </c>
      <c r="N78" s="85">
        <f t="shared" si="45"/>
        <v>786.55661860659575</v>
      </c>
      <c r="O78" s="85">
        <f t="shared" si="46"/>
        <v>802.03871235355041</v>
      </c>
      <c r="P78" s="85">
        <f t="shared" si="46"/>
        <v>813.73014350831284</v>
      </c>
      <c r="Q78" s="85">
        <f t="shared" si="46"/>
        <v>818.69928554746957</v>
      </c>
      <c r="R78" s="85">
        <f t="shared" si="46"/>
        <v>829.74001198774727</v>
      </c>
      <c r="S78" s="85">
        <f t="shared" si="46"/>
        <v>839.99800359465019</v>
      </c>
      <c r="T78" s="85">
        <f t="shared" si="46"/>
        <v>851.25523929011956</v>
      </c>
      <c r="U78" s="85">
        <f t="shared" si="46"/>
        <v>861.63945481882001</v>
      </c>
      <c r="V78" s="85">
        <f t="shared" si="46"/>
        <v>871.75545152862776</v>
      </c>
      <c r="W78" s="85">
        <f t="shared" si="46"/>
        <v>882.94246539275173</v>
      </c>
      <c r="X78" s="85">
        <f t="shared" si="46"/>
        <v>894.16307186943118</v>
      </c>
      <c r="Y78" s="85">
        <f t="shared" si="46"/>
        <v>905.58671370901379</v>
      </c>
      <c r="Z78" s="85">
        <f t="shared" si="46"/>
        <v>917.04810663555872</v>
      </c>
      <c r="AA78" s="85">
        <f t="shared" si="46"/>
        <v>928.73637717479482</v>
      </c>
      <c r="AB78" s="85">
        <f t="shared" si="46"/>
        <v>940.75444562614564</v>
      </c>
      <c r="AC78" s="85">
        <f t="shared" si="46"/>
        <v>952.948425550205</v>
      </c>
      <c r="AD78" s="85">
        <f t="shared" si="46"/>
        <v>965.34792808493251</v>
      </c>
      <c r="AE78" s="85">
        <f t="shared" si="47"/>
        <v>977.95351972639082</v>
      </c>
      <c r="AF78" s="85">
        <f t="shared" si="47"/>
        <v>990.80024603904621</v>
      </c>
      <c r="AG78" s="85">
        <f t="shared" si="47"/>
        <v>1003.8911374782745</v>
      </c>
      <c r="AH78" s="85">
        <f t="shared" si="47"/>
        <v>1017.2084497165581</v>
      </c>
      <c r="AI78" s="85">
        <f t="shared" si="47"/>
        <v>1030.7627429966312</v>
      </c>
      <c r="AJ78" s="85">
        <f t="shared" si="47"/>
        <v>1044.5606196800798</v>
      </c>
      <c r="AK78" s="85">
        <f t="shared" si="47"/>
        <v>1058.6099408688133</v>
      </c>
    </row>
    <row r="79" spans="1:37" x14ac:dyDescent="0.2">
      <c r="A79" s="53" t="s">
        <v>99</v>
      </c>
      <c r="B79" s="84">
        <f>monthly_data!$S14*0.264172/1000</f>
        <v>597.55706399999997</v>
      </c>
      <c r="C79" s="84">
        <f>monthly_data!$S26*0.264172/1000</f>
        <v>643.78716399999996</v>
      </c>
      <c r="D79" s="84">
        <f>monthly_data!$S38*0.264172/1000</f>
        <v>738.88908400000003</v>
      </c>
      <c r="E79" s="84">
        <f>monthly_data!$S50*0.264172/1000</f>
        <v>773.49561600000004</v>
      </c>
      <c r="F79" s="84">
        <f>monthly_data!$S62*0.264172/1000</f>
        <v>690.15648264400011</v>
      </c>
      <c r="G79" s="84">
        <f>monthly_data!$S74*0.264172/1000</f>
        <v>764.89364733599996</v>
      </c>
      <c r="H79" s="84">
        <f>monthly_data!$S86*0.264172/1000</f>
        <v>710.8157897320001</v>
      </c>
      <c r="I79" s="84">
        <f>monthly_data!$S98*0.264172/1000</f>
        <v>746.51255957600006</v>
      </c>
      <c r="J79" s="84">
        <f>monthly_data!$S110*0.264172/1000</f>
        <v>754.877301784</v>
      </c>
      <c r="K79" s="84">
        <f>monthly_data!$S122*0.264172/1000</f>
        <v>681.59202640399997</v>
      </c>
      <c r="L79" s="85">
        <f t="shared" si="48"/>
        <v>755.23712405352887</v>
      </c>
      <c r="M79" s="85">
        <f t="shared" si="44"/>
        <v>753.32276050716405</v>
      </c>
      <c r="N79" s="85">
        <f t="shared" si="45"/>
        <v>759.31893976763376</v>
      </c>
      <c r="O79" s="85">
        <f t="shared" si="46"/>
        <v>764.67850596085179</v>
      </c>
      <c r="P79" s="85">
        <f t="shared" si="46"/>
        <v>767.90806123285336</v>
      </c>
      <c r="Q79" s="85">
        <f t="shared" si="46"/>
        <v>787.76646819634823</v>
      </c>
      <c r="R79" s="85">
        <f t="shared" si="46"/>
        <v>794.6748624745718</v>
      </c>
      <c r="S79" s="85">
        <f t="shared" si="46"/>
        <v>803.41461230654522</v>
      </c>
      <c r="T79" s="85">
        <f t="shared" si="46"/>
        <v>812.72591800925386</v>
      </c>
      <c r="U79" s="85">
        <f t="shared" si="46"/>
        <v>822.85971696316199</v>
      </c>
      <c r="V79" s="85">
        <f t="shared" si="46"/>
        <v>834.42908643129704</v>
      </c>
      <c r="W79" s="85">
        <f t="shared" si="46"/>
        <v>844.28167161504086</v>
      </c>
      <c r="X79" s="85">
        <f t="shared" si="46"/>
        <v>854.7481529678256</v>
      </c>
      <c r="Y79" s="85">
        <f t="shared" si="46"/>
        <v>865.57607169700964</v>
      </c>
      <c r="Z79" s="85">
        <f t="shared" si="46"/>
        <v>876.72194927915621</v>
      </c>
      <c r="AA79" s="85">
        <f t="shared" si="46"/>
        <v>888.08111920484259</v>
      </c>
      <c r="AB79" s="85">
        <f t="shared" si="46"/>
        <v>899.39972513335158</v>
      </c>
      <c r="AC79" s="85">
        <f t="shared" si="46"/>
        <v>911.02596859533492</v>
      </c>
      <c r="AD79" s="85">
        <f t="shared" si="46"/>
        <v>922.89631597801281</v>
      </c>
      <c r="AE79" s="85">
        <f t="shared" si="47"/>
        <v>934.98645281247798</v>
      </c>
      <c r="AF79" s="85">
        <f t="shared" si="47"/>
        <v>947.2760283112143</v>
      </c>
      <c r="AG79" s="85">
        <f t="shared" si="47"/>
        <v>959.76220706878576</v>
      </c>
      <c r="AH79" s="85">
        <f t="shared" si="47"/>
        <v>972.49435667098123</v>
      </c>
      <c r="AI79" s="85">
        <f t="shared" si="47"/>
        <v>985.45971699162305</v>
      </c>
      <c r="AJ79" s="85">
        <f t="shared" si="47"/>
        <v>998.65608007197227</v>
      </c>
      <c r="AK79" s="85">
        <f t="shared" si="47"/>
        <v>1012.0858345169747</v>
      </c>
    </row>
    <row r="80" spans="1:37" x14ac:dyDescent="0.2">
      <c r="A80" s="53" t="s">
        <v>100</v>
      </c>
      <c r="B80" s="84">
        <f>monthly_data!$S15*0.264172/1000</f>
        <v>607.85977200000002</v>
      </c>
      <c r="C80" s="84">
        <f>monthly_data!$S27*0.264172/1000</f>
        <v>646.69305600000007</v>
      </c>
      <c r="D80" s="84">
        <f>monthly_data!$S39*0.264172/1000</f>
        <v>639.82458400000007</v>
      </c>
      <c r="E80" s="84">
        <f>monthly_data!$S51*0.264172/1000</f>
        <v>698.20659599999999</v>
      </c>
      <c r="F80" s="84">
        <f>monthly_data!$S63*0.264172/1000</f>
        <v>696.39728197199997</v>
      </c>
      <c r="G80" s="84">
        <f>monthly_data!$S75*0.264172/1000</f>
        <v>651.24790962400004</v>
      </c>
      <c r="H80" s="84">
        <f>monthly_data!$S87*0.264172/1000</f>
        <v>646.59980328400002</v>
      </c>
      <c r="I80" s="84">
        <f>monthly_data!$S99*0.264172/1000</f>
        <v>704.83150141600004</v>
      </c>
      <c r="J80" s="84">
        <f>monthly_data!$S111*0.264172/1000</f>
        <v>685.82168429600006</v>
      </c>
      <c r="K80" s="84">
        <f>monthly_data!$S123*0.264172/1000</f>
        <v>730.82866793599999</v>
      </c>
      <c r="L80" s="85">
        <f>L81-SUM(L69:L79)</f>
        <v>734.09999791793052</v>
      </c>
      <c r="M80" s="85">
        <f t="shared" ref="M80:V80" si="49">M81-SUM(M69:M79)</f>
        <v>741.76647194747966</v>
      </c>
      <c r="N80" s="85">
        <f t="shared" si="49"/>
        <v>774.81301050028196</v>
      </c>
      <c r="O80" s="85">
        <f t="shared" si="49"/>
        <v>796.90466155924332</v>
      </c>
      <c r="P80" s="85">
        <f t="shared" si="49"/>
        <v>799.88632258621692</v>
      </c>
      <c r="Q80" s="85">
        <f t="shared" si="49"/>
        <v>792.50597373791607</v>
      </c>
      <c r="R80" s="85">
        <f t="shared" si="49"/>
        <v>804.75156723041437</v>
      </c>
      <c r="S80" s="85">
        <f t="shared" si="49"/>
        <v>817.95091327724367</v>
      </c>
      <c r="T80" s="85">
        <f t="shared" si="49"/>
        <v>827.03826548507459</v>
      </c>
      <c r="U80" s="85">
        <f t="shared" si="49"/>
        <v>833.43061112842042</v>
      </c>
      <c r="V80" s="85">
        <f t="shared" si="49"/>
        <v>840.53228413982833</v>
      </c>
      <c r="W80" s="85">
        <f t="shared" ref="W80:AK80" si="50">W81-SUM(W69:W79)</f>
        <v>850.64138533179539</v>
      </c>
      <c r="X80" s="85">
        <f t="shared" si="50"/>
        <v>860.31003438238076</v>
      </c>
      <c r="Y80" s="85">
        <f t="shared" si="50"/>
        <v>869.24844835762451</v>
      </c>
      <c r="Z80" s="85">
        <f t="shared" si="50"/>
        <v>878.1583994242701</v>
      </c>
      <c r="AA80" s="85">
        <f t="shared" si="50"/>
        <v>887.59366534800392</v>
      </c>
      <c r="AB80" s="85">
        <f t="shared" si="50"/>
        <v>897.51627522404851</v>
      </c>
      <c r="AC80" s="85">
        <f t="shared" si="50"/>
        <v>907.40283031321451</v>
      </c>
      <c r="AD80" s="85">
        <f t="shared" si="50"/>
        <v>917.33729741874049</v>
      </c>
      <c r="AE80" s="85">
        <f t="shared" si="50"/>
        <v>927.481395705463</v>
      </c>
      <c r="AF80" s="85">
        <f t="shared" si="50"/>
        <v>937.88468863793605</v>
      </c>
      <c r="AG80" s="85">
        <f t="shared" si="50"/>
        <v>948.49192884218428</v>
      </c>
      <c r="AH80" s="85">
        <f t="shared" si="50"/>
        <v>959.24423248150015</v>
      </c>
      <c r="AI80" s="85">
        <f t="shared" si="50"/>
        <v>970.17929726068178</v>
      </c>
      <c r="AJ80" s="85">
        <f t="shared" si="50"/>
        <v>981.32522068192156</v>
      </c>
      <c r="AK80" s="85">
        <f t="shared" si="50"/>
        <v>992.68231341589672</v>
      </c>
    </row>
    <row r="81" spans="1:37" x14ac:dyDescent="0.2">
      <c r="A81" s="86" t="s">
        <v>101</v>
      </c>
      <c r="B81" s="95">
        <f t="shared" ref="B81:K81" si="51">SUM(B69:B80)</f>
        <v>7741.8246319999989</v>
      </c>
      <c r="C81" s="95">
        <f t="shared" si="51"/>
        <v>7632.7215960000012</v>
      </c>
      <c r="D81" s="95">
        <f t="shared" si="51"/>
        <v>8242.1664000000001</v>
      </c>
      <c r="E81" s="95">
        <f t="shared" si="51"/>
        <v>8978.9421080000011</v>
      </c>
      <c r="F81" s="95">
        <f t="shared" si="51"/>
        <v>8597.6230345999993</v>
      </c>
      <c r="G81" s="95">
        <f t="shared" si="51"/>
        <v>8197.7582942839999</v>
      </c>
      <c r="H81" s="95">
        <f t="shared" si="51"/>
        <v>8252.552850524</v>
      </c>
      <c r="I81" s="95">
        <f t="shared" si="51"/>
        <v>8605.4549418840015</v>
      </c>
      <c r="J81" s="95">
        <f t="shared" si="51"/>
        <v>8490.2178320439998</v>
      </c>
      <c r="K81" s="95">
        <f t="shared" si="51"/>
        <v>8622.0803425320009</v>
      </c>
      <c r="L81" s="95">
        <f t="shared" ref="L81:AK81" si="52">L7</f>
        <v>8732.7203660604246</v>
      </c>
      <c r="M81" s="95">
        <f t="shared" si="52"/>
        <v>8834.5609047794242</v>
      </c>
      <c r="N81" s="95">
        <f t="shared" si="52"/>
        <v>8938.2345731953646</v>
      </c>
      <c r="O81" s="95">
        <f t="shared" si="52"/>
        <v>9043.7743676427926</v>
      </c>
      <c r="P81" s="95">
        <f t="shared" si="52"/>
        <v>9151.2138783902774</v>
      </c>
      <c r="Q81" s="95">
        <f t="shared" si="52"/>
        <v>9260.5873003312136</v>
      </c>
      <c r="R81" s="95">
        <f t="shared" si="52"/>
        <v>9371.9294438670859</v>
      </c>
      <c r="S81" s="95">
        <f t="shared" si="52"/>
        <v>9485.2757459866043</v>
      </c>
      <c r="T81" s="95">
        <f t="shared" si="52"/>
        <v>9600.6622815442752</v>
      </c>
      <c r="U81" s="95">
        <f t="shared" si="52"/>
        <v>9718.1257747419841</v>
      </c>
      <c r="V81" s="95">
        <f t="shared" si="52"/>
        <v>9837.7036108172524</v>
      </c>
      <c r="W81" s="95">
        <f t="shared" si="52"/>
        <v>9959.433847941873</v>
      </c>
      <c r="X81" s="95">
        <f t="shared" si="52"/>
        <v>10083.355229334738</v>
      </c>
      <c r="Y81" s="95">
        <f t="shared" si="52"/>
        <v>10209.507195592676</v>
      </c>
      <c r="Z81" s="95">
        <f t="shared" si="52"/>
        <v>10337.929897243255</v>
      </c>
      <c r="AA81" s="95">
        <f t="shared" si="52"/>
        <v>10468.664207523545</v>
      </c>
      <c r="AB81" s="95">
        <f t="shared" si="52"/>
        <v>10601.75173538888</v>
      </c>
      <c r="AC81" s="95">
        <f t="shared" si="52"/>
        <v>10737.234838755794</v>
      </c>
      <c r="AD81" s="95">
        <f t="shared" si="52"/>
        <v>10875.156637983308</v>
      </c>
      <c r="AE81" s="95">
        <f t="shared" si="52"/>
        <v>11015.56102959692</v>
      </c>
      <c r="AF81" s="95">
        <f t="shared" si="52"/>
        <v>11158.492700259576</v>
      </c>
      <c r="AG81" s="95">
        <f t="shared" si="52"/>
        <v>11303.997140994161</v>
      </c>
      <c r="AH81" s="95">
        <f t="shared" si="52"/>
        <v>11452.120661661964</v>
      </c>
      <c r="AI81" s="95">
        <f t="shared" si="52"/>
        <v>11602.910405701792</v>
      </c>
      <c r="AJ81" s="95">
        <f t="shared" si="52"/>
        <v>11756.414365134337</v>
      </c>
      <c r="AK81" s="95">
        <f t="shared" si="52"/>
        <v>11912.681395836664</v>
      </c>
    </row>
    <row r="82" spans="1:37" x14ac:dyDescent="0.2">
      <c r="B82" s="113"/>
      <c r="C82" s="113"/>
      <c r="D82" s="113"/>
      <c r="E82" s="113"/>
      <c r="F82" s="113"/>
      <c r="G82" s="113"/>
      <c r="H82" s="113"/>
      <c r="I82" s="113"/>
      <c r="J82" s="113"/>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row>
    <row r="84" spans="1:37" ht="12" thickBot="1" x14ac:dyDescent="0.25">
      <c r="A84" s="81" t="s">
        <v>162</v>
      </c>
    </row>
    <row r="85" spans="1:37" s="81" customFormat="1" ht="12" thickBot="1" x14ac:dyDescent="0.25">
      <c r="A85" s="128" t="s">
        <v>74</v>
      </c>
      <c r="B85" s="92">
        <f t="shared" ref="B85:AK85" si="53">B2</f>
        <v>2015</v>
      </c>
      <c r="C85" s="92">
        <f t="shared" si="53"/>
        <v>2016</v>
      </c>
      <c r="D85" s="92">
        <f t="shared" si="53"/>
        <v>2017</v>
      </c>
      <c r="E85" s="92">
        <f t="shared" si="53"/>
        <v>2018</v>
      </c>
      <c r="F85" s="92">
        <f t="shared" si="53"/>
        <v>2019</v>
      </c>
      <c r="G85" s="92">
        <f t="shared" si="53"/>
        <v>2020</v>
      </c>
      <c r="H85" s="92">
        <f t="shared" si="53"/>
        <v>2021</v>
      </c>
      <c r="I85" s="92">
        <f t="shared" si="53"/>
        <v>2022</v>
      </c>
      <c r="J85" s="92">
        <f t="shared" si="53"/>
        <v>2023</v>
      </c>
      <c r="K85" s="92">
        <f t="shared" si="53"/>
        <v>2024</v>
      </c>
      <c r="L85" s="92">
        <f t="shared" si="53"/>
        <v>2025</v>
      </c>
      <c r="M85" s="92">
        <f t="shared" si="53"/>
        <v>2026</v>
      </c>
      <c r="N85" s="92">
        <f t="shared" si="53"/>
        <v>2027</v>
      </c>
      <c r="O85" s="92">
        <f t="shared" si="53"/>
        <v>2028</v>
      </c>
      <c r="P85" s="92">
        <f t="shared" si="53"/>
        <v>2029</v>
      </c>
      <c r="Q85" s="92">
        <f t="shared" si="53"/>
        <v>2030</v>
      </c>
      <c r="R85" s="92">
        <f t="shared" si="53"/>
        <v>2031</v>
      </c>
      <c r="S85" s="92">
        <f t="shared" si="53"/>
        <v>2032</v>
      </c>
      <c r="T85" s="92">
        <f t="shared" si="53"/>
        <v>2033</v>
      </c>
      <c r="U85" s="92">
        <f t="shared" si="53"/>
        <v>2034</v>
      </c>
      <c r="V85" s="92">
        <f t="shared" si="53"/>
        <v>2035</v>
      </c>
      <c r="W85" s="92">
        <f t="shared" si="53"/>
        <v>2036</v>
      </c>
      <c r="X85" s="92">
        <f t="shared" si="53"/>
        <v>2037</v>
      </c>
      <c r="Y85" s="92">
        <f t="shared" si="53"/>
        <v>2038</v>
      </c>
      <c r="Z85" s="92">
        <f t="shared" si="53"/>
        <v>2039</v>
      </c>
      <c r="AA85" s="92">
        <f t="shared" si="53"/>
        <v>2040</v>
      </c>
      <c r="AB85" s="92">
        <f t="shared" si="53"/>
        <v>2041</v>
      </c>
      <c r="AC85" s="92">
        <f t="shared" si="53"/>
        <v>2042</v>
      </c>
      <c r="AD85" s="92">
        <f t="shared" si="53"/>
        <v>2043</v>
      </c>
      <c r="AE85" s="92">
        <f t="shared" si="53"/>
        <v>2044</v>
      </c>
      <c r="AF85" s="92">
        <f t="shared" si="53"/>
        <v>2045</v>
      </c>
      <c r="AG85" s="92">
        <f t="shared" si="53"/>
        <v>2046</v>
      </c>
      <c r="AH85" s="92">
        <f t="shared" si="53"/>
        <v>2047</v>
      </c>
      <c r="AI85" s="92">
        <f t="shared" si="53"/>
        <v>2048</v>
      </c>
      <c r="AJ85" s="92">
        <f t="shared" si="53"/>
        <v>2049</v>
      </c>
      <c r="AK85" s="92">
        <f t="shared" si="53"/>
        <v>2050</v>
      </c>
    </row>
    <row r="86" spans="1:37" x14ac:dyDescent="0.2">
      <c r="A86" s="53" t="s">
        <v>89</v>
      </c>
      <c r="B86" s="84">
        <f>monthly_data!$T4*0.264172/1000</f>
        <v>667.03430000000003</v>
      </c>
      <c r="C86" s="84">
        <f>monthly_data!$T16*0.264172/1000</f>
        <v>569.55483200000003</v>
      </c>
      <c r="D86" s="84">
        <f>monthly_data!$T28*0.264172/1000</f>
        <v>503.24766000000005</v>
      </c>
      <c r="E86" s="84">
        <f>monthly_data!$T40*0.264172/1000</f>
        <v>531.77823599999999</v>
      </c>
      <c r="F86" s="84">
        <f>monthly_data!$T52*0.264172/1000</f>
        <v>631.43395293600008</v>
      </c>
      <c r="G86" s="84">
        <f>monthly_data!$T64*0.264172/1000</f>
        <v>640.64219634000005</v>
      </c>
      <c r="H86" s="84">
        <f>monthly_data!$T76*0.264172/1000</f>
        <v>698.52228153999999</v>
      </c>
      <c r="I86" s="84">
        <f>monthly_data!$T88*0.264172/1000</f>
        <v>623.18148382800007</v>
      </c>
      <c r="J86" s="84">
        <f>monthly_data!$T100*0.264172/1000</f>
        <v>708.31276003200003</v>
      </c>
      <c r="K86" s="84">
        <f>monthly_data!$T112*0.264172/1000</f>
        <v>654.58493032800004</v>
      </c>
      <c r="L86" s="85">
        <f>L$33*(SUM(G86:K86)/SUM(G$33:K$33))</f>
        <v>686.40593851693825</v>
      </c>
      <c r="M86" s="85">
        <f t="shared" ref="M86:M96" si="54">M$33*(SUM(H86:L86)/SUM(H$33:L$33))</f>
        <v>695.92556224574821</v>
      </c>
      <c r="N86" s="85">
        <f t="shared" ref="N86:N96" si="55">N$33*(SUM(I86:M86)/SUM(I$33:M$33))</f>
        <v>692.85360430714127</v>
      </c>
      <c r="O86" s="85">
        <f t="shared" ref="O86:AD97" si="56">O$33*(SUM(J86:N86)/SUM(J$33:N$33))</f>
        <v>709.71407306657102</v>
      </c>
      <c r="P86" s="85">
        <f t="shared" si="56"/>
        <v>711.12045308906318</v>
      </c>
      <c r="Q86" s="85">
        <f t="shared" si="56"/>
        <v>724.66047020957762</v>
      </c>
      <c r="R86" s="85">
        <f t="shared" si="56"/>
        <v>732.74267982452875</v>
      </c>
      <c r="S86" s="85">
        <f t="shared" si="56"/>
        <v>740.52918772369583</v>
      </c>
      <c r="T86" s="85">
        <f t="shared" si="56"/>
        <v>750.57005784858154</v>
      </c>
      <c r="U86" s="85">
        <f t="shared" si="56"/>
        <v>759.19926194703612</v>
      </c>
      <c r="V86" s="85">
        <f t="shared" si="56"/>
        <v>769.32961648278456</v>
      </c>
      <c r="W86" s="85">
        <f t="shared" si="56"/>
        <v>778.75534696119712</v>
      </c>
      <c r="X86" s="85">
        <f t="shared" si="56"/>
        <v>788.46263175599154</v>
      </c>
      <c r="Y86" s="85">
        <f t="shared" si="56"/>
        <v>798.57143502787642</v>
      </c>
      <c r="Z86" s="85">
        <f t="shared" si="56"/>
        <v>808.69717676577875</v>
      </c>
      <c r="AA86" s="85">
        <f t="shared" si="56"/>
        <v>819.13653342654982</v>
      </c>
      <c r="AB86" s="85">
        <f t="shared" si="56"/>
        <v>829.64293029115299</v>
      </c>
      <c r="AC86" s="85">
        <f t="shared" si="56"/>
        <v>840.37668583601305</v>
      </c>
      <c r="AD86" s="85">
        <f t="shared" si="56"/>
        <v>851.32660910030836</v>
      </c>
      <c r="AE86" s="85">
        <f t="shared" ref="AE86:AK97" si="57">AE$33*(SUM(Z86:AD86)/SUM(Z$33:AD$33))</f>
        <v>862.45423647919279</v>
      </c>
      <c r="AF86" s="85">
        <f t="shared" si="57"/>
        <v>873.79303121082705</v>
      </c>
      <c r="AG86" s="85">
        <f t="shared" si="57"/>
        <v>885.32174758846895</v>
      </c>
      <c r="AH86" s="85">
        <f t="shared" si="57"/>
        <v>897.06598575645978</v>
      </c>
      <c r="AI86" s="85">
        <f t="shared" si="57"/>
        <v>909.02333943191104</v>
      </c>
      <c r="AJ86" s="85">
        <f t="shared" si="57"/>
        <v>921.19322637996788</v>
      </c>
      <c r="AK86" s="85">
        <f t="shared" si="57"/>
        <v>933.58294490249352</v>
      </c>
    </row>
    <row r="87" spans="1:37" x14ac:dyDescent="0.2">
      <c r="A87" s="53" t="s">
        <v>90</v>
      </c>
      <c r="B87" s="84">
        <f>monthly_data!$T5*0.264172/1000</f>
        <v>597.55706399999997</v>
      </c>
      <c r="C87" s="84">
        <f>monthly_data!$T17*0.264172/1000</f>
        <v>577.74416399999996</v>
      </c>
      <c r="D87" s="84">
        <f>monthly_data!$T29*0.264172/1000</f>
        <v>523.8530760000001</v>
      </c>
      <c r="E87" s="84">
        <f>monthly_data!$T41*0.264172/1000</f>
        <v>538.64670799999999</v>
      </c>
      <c r="F87" s="84">
        <f>monthly_data!$T53*0.264172/1000</f>
        <v>613.80601954800011</v>
      </c>
      <c r="G87" s="84">
        <f>monthly_data!$T65*0.264172/1000</f>
        <v>626.69655646000001</v>
      </c>
      <c r="H87" s="84">
        <f>monthly_data!$T77*0.264172/1000</f>
        <v>682.00888982000004</v>
      </c>
      <c r="I87" s="84">
        <f>monthly_data!$T89*0.264172/1000</f>
        <v>583.14251881999996</v>
      </c>
      <c r="J87" s="84">
        <f>monthly_data!$T101*0.264172/1000</f>
        <v>671.58677607600009</v>
      </c>
      <c r="K87" s="84">
        <f>monthly_data!$T113*0.264172/1000</f>
        <v>667.64770738400011</v>
      </c>
      <c r="L87" s="85">
        <f t="shared" ref="L87:V97" si="58">L$33*(SUM(G87:K87)/SUM(G$33:K$33))</f>
        <v>666.96892396144938</v>
      </c>
      <c r="M87" s="85">
        <f t="shared" si="54"/>
        <v>675.35284661777905</v>
      </c>
      <c r="N87" s="85">
        <f t="shared" si="55"/>
        <v>671.52094267298094</v>
      </c>
      <c r="O87" s="85">
        <f t="shared" si="56"/>
        <v>692.16659870686749</v>
      </c>
      <c r="P87" s="85">
        <f t="shared" si="56"/>
        <v>697.51056626728985</v>
      </c>
      <c r="Q87" s="85">
        <f t="shared" si="56"/>
        <v>705.48697532874439</v>
      </c>
      <c r="R87" s="85">
        <f t="shared" si="56"/>
        <v>713.61982130602951</v>
      </c>
      <c r="S87" s="85">
        <f t="shared" si="56"/>
        <v>721.70302055120749</v>
      </c>
      <c r="T87" s="85">
        <f t="shared" si="56"/>
        <v>732.25988799066954</v>
      </c>
      <c r="U87" s="85">
        <f t="shared" si="56"/>
        <v>740.72712377156711</v>
      </c>
      <c r="V87" s="85">
        <f t="shared" si="56"/>
        <v>749.84483252516895</v>
      </c>
      <c r="W87" s="85">
        <f t="shared" si="56"/>
        <v>759.20202740654452</v>
      </c>
      <c r="X87" s="85">
        <f t="shared" si="56"/>
        <v>768.81603969563855</v>
      </c>
      <c r="Y87" s="85">
        <f t="shared" si="56"/>
        <v>778.75059765219601</v>
      </c>
      <c r="Z87" s="85">
        <f t="shared" si="56"/>
        <v>788.55871787177955</v>
      </c>
      <c r="AA87" s="85">
        <f t="shared" si="56"/>
        <v>798.6480285672792</v>
      </c>
      <c r="AB87" s="85">
        <f t="shared" si="56"/>
        <v>808.9419232526626</v>
      </c>
      <c r="AC87" s="85">
        <f t="shared" si="56"/>
        <v>819.43321194713349</v>
      </c>
      <c r="AD87" s="85">
        <f t="shared" si="56"/>
        <v>830.10960125522058</v>
      </c>
      <c r="AE87" s="85">
        <f t="shared" si="57"/>
        <v>840.94298469048022</v>
      </c>
      <c r="AF87" s="85">
        <f t="shared" si="57"/>
        <v>851.99231766252285</v>
      </c>
      <c r="AG87" s="85">
        <f t="shared" si="57"/>
        <v>863.24409548380709</v>
      </c>
      <c r="AH87" s="85">
        <f t="shared" si="57"/>
        <v>874.6979253150356</v>
      </c>
      <c r="AI87" s="85">
        <f t="shared" si="57"/>
        <v>886.35482616524257</v>
      </c>
      <c r="AJ87" s="85">
        <f t="shared" si="57"/>
        <v>898.21858572795622</v>
      </c>
      <c r="AK87" s="85">
        <f t="shared" si="57"/>
        <v>910.29962960060391</v>
      </c>
    </row>
    <row r="88" spans="1:37" x14ac:dyDescent="0.2">
      <c r="A88" s="53" t="s">
        <v>91</v>
      </c>
      <c r="B88" s="84">
        <f>monthly_data!$T6*0.264172/1000</f>
        <v>657.78827999999999</v>
      </c>
      <c r="C88" s="84">
        <f>monthly_data!$T18*0.264172/1000</f>
        <v>589.63190400000008</v>
      </c>
      <c r="D88" s="84">
        <f>monthly_data!$T30*0.264172/1000</f>
        <v>511.17282</v>
      </c>
      <c r="E88" s="84">
        <f>monthly_data!$T42*0.264172/1000</f>
        <v>643.25882000000001</v>
      </c>
      <c r="F88" s="84">
        <f>monthly_data!$T54*0.264172/1000</f>
        <v>629.40881038400005</v>
      </c>
      <c r="G88" s="84">
        <f>monthly_data!$T66*0.264172/1000</f>
        <v>680.88140372400005</v>
      </c>
      <c r="H88" s="84">
        <f>monthly_data!$T78*0.264172/1000</f>
        <v>673.71890828800008</v>
      </c>
      <c r="I88" s="84">
        <f>monthly_data!$T90*0.264172/1000</f>
        <v>604.9359163040001</v>
      </c>
      <c r="J88" s="84">
        <f>monthly_data!$T102*0.264172/1000</f>
        <v>678.07721794400004</v>
      </c>
      <c r="K88" s="84">
        <f>monthly_data!$T114*0.264172/1000</f>
        <v>689.46989961600002</v>
      </c>
      <c r="L88" s="85">
        <f t="shared" si="58"/>
        <v>686.78569317163226</v>
      </c>
      <c r="M88" s="85">
        <f t="shared" si="54"/>
        <v>688.07659634050333</v>
      </c>
      <c r="N88" s="85">
        <f t="shared" si="55"/>
        <v>688.52063954338394</v>
      </c>
      <c r="O88" s="85">
        <f t="shared" si="56"/>
        <v>708.23755059847554</v>
      </c>
      <c r="P88" s="85">
        <f t="shared" si="56"/>
        <v>715.58759426498227</v>
      </c>
      <c r="Q88" s="85">
        <f t="shared" si="56"/>
        <v>722.83399669553796</v>
      </c>
      <c r="R88" s="85">
        <f t="shared" si="56"/>
        <v>730.45841966736612</v>
      </c>
      <c r="S88" s="85">
        <f t="shared" si="56"/>
        <v>739.39839481370132</v>
      </c>
      <c r="T88" s="85">
        <f t="shared" si="56"/>
        <v>750.10319603728954</v>
      </c>
      <c r="U88" s="85">
        <f t="shared" si="56"/>
        <v>758.94176164996315</v>
      </c>
      <c r="V88" s="85">
        <f t="shared" si="56"/>
        <v>768.09172431091315</v>
      </c>
      <c r="W88" s="85">
        <f t="shared" si="56"/>
        <v>777.63935734610743</v>
      </c>
      <c r="X88" s="85">
        <f t="shared" si="56"/>
        <v>787.58892633313189</v>
      </c>
      <c r="Y88" s="85">
        <f t="shared" si="56"/>
        <v>797.75093221754457</v>
      </c>
      <c r="Z88" s="85">
        <f t="shared" si="56"/>
        <v>807.80307451921965</v>
      </c>
      <c r="AA88" s="85">
        <f t="shared" si="56"/>
        <v>818.11003269010507</v>
      </c>
      <c r="AB88" s="85">
        <f t="shared" si="56"/>
        <v>828.66014464952207</v>
      </c>
      <c r="AC88" s="85">
        <f t="shared" si="56"/>
        <v>839.42138778148023</v>
      </c>
      <c r="AD88" s="85">
        <f t="shared" si="56"/>
        <v>850.35417124205196</v>
      </c>
      <c r="AE88" s="85">
        <f t="shared" si="57"/>
        <v>861.45003230171392</v>
      </c>
      <c r="AF88" s="85">
        <f t="shared" si="57"/>
        <v>872.76574737129454</v>
      </c>
      <c r="AG88" s="85">
        <f t="shared" si="57"/>
        <v>884.29410872213327</v>
      </c>
      <c r="AH88" s="85">
        <f t="shared" si="57"/>
        <v>896.02882773157614</v>
      </c>
      <c r="AI88" s="85">
        <f t="shared" si="57"/>
        <v>907.96896236709654</v>
      </c>
      <c r="AJ88" s="85">
        <f t="shared" si="57"/>
        <v>920.12160916018911</v>
      </c>
      <c r="AK88" s="85">
        <f t="shared" si="57"/>
        <v>932.49710575789231</v>
      </c>
    </row>
    <row r="89" spans="1:37" x14ac:dyDescent="0.2">
      <c r="A89" s="53" t="s">
        <v>92</v>
      </c>
      <c r="B89" s="84">
        <f>monthly_data!$T7*0.264172/1000</f>
        <v>638.239552</v>
      </c>
      <c r="C89" s="84">
        <f>monthly_data!$T19*0.264172/1000</f>
        <v>574.0457560000001</v>
      </c>
      <c r="D89" s="84">
        <f>monthly_data!$T31*0.264172/1000</f>
        <v>555.02537200000006</v>
      </c>
      <c r="E89" s="84">
        <f>monthly_data!$T43*0.264172/1000</f>
        <v>592.80196799999999</v>
      </c>
      <c r="F89" s="84">
        <f>monthly_data!$T55*0.264172/1000</f>
        <v>630.22510186400007</v>
      </c>
      <c r="G89" s="84">
        <f>monthly_data!$T67*0.264172/1000</f>
        <v>633.06732841200005</v>
      </c>
      <c r="H89" s="84">
        <f>monthly_data!$T79*0.264172/1000</f>
        <v>688.93204542399997</v>
      </c>
      <c r="I89" s="84">
        <f>monthly_data!$T91*0.264172/1000</f>
        <v>605.02890484800002</v>
      </c>
      <c r="J89" s="84">
        <f>monthly_data!$T103*0.264172/1000</f>
        <v>702.28673254</v>
      </c>
      <c r="K89" s="84">
        <f>monthly_data!$T115*0.264172/1000</f>
        <v>605.59713881999994</v>
      </c>
      <c r="L89" s="85">
        <f t="shared" si="58"/>
        <v>667.75946147280717</v>
      </c>
      <c r="M89" s="85">
        <f t="shared" si="54"/>
        <v>674.99145891089915</v>
      </c>
      <c r="N89" s="85">
        <f t="shared" si="55"/>
        <v>669.66250385383853</v>
      </c>
      <c r="O89" s="85">
        <f t="shared" si="56"/>
        <v>685.39993294601572</v>
      </c>
      <c r="P89" s="85">
        <f t="shared" si="56"/>
        <v>682.98695228047291</v>
      </c>
      <c r="Q89" s="85">
        <f t="shared" si="56"/>
        <v>700.77762723606781</v>
      </c>
      <c r="R89" s="85">
        <f t="shared" si="56"/>
        <v>707.76922860652996</v>
      </c>
      <c r="S89" s="85">
        <f t="shared" si="56"/>
        <v>714.7129314793616</v>
      </c>
      <c r="T89" s="85">
        <f t="shared" si="56"/>
        <v>724.20400195865875</v>
      </c>
      <c r="U89" s="85">
        <f t="shared" si="56"/>
        <v>732.40213763803661</v>
      </c>
      <c r="V89" s="85">
        <f t="shared" si="56"/>
        <v>742.8043394498593</v>
      </c>
      <c r="W89" s="85">
        <f t="shared" si="56"/>
        <v>751.67631513586264</v>
      </c>
      <c r="X89" s="85">
        <f t="shared" si="56"/>
        <v>760.94110067635359</v>
      </c>
      <c r="Y89" s="85">
        <f t="shared" si="56"/>
        <v>770.69037949107064</v>
      </c>
      <c r="Z89" s="85">
        <f t="shared" si="56"/>
        <v>780.49600799814073</v>
      </c>
      <c r="AA89" s="85">
        <f t="shared" si="56"/>
        <v>790.63821296670369</v>
      </c>
      <c r="AB89" s="85">
        <f t="shared" si="56"/>
        <v>800.72917993855333</v>
      </c>
      <c r="AC89" s="85">
        <f t="shared" si="56"/>
        <v>811.07612978691486</v>
      </c>
      <c r="AD89" s="85">
        <f t="shared" si="56"/>
        <v>821.65071767733525</v>
      </c>
      <c r="AE89" s="85">
        <f t="shared" si="57"/>
        <v>832.39962566687223</v>
      </c>
      <c r="AF89" s="85">
        <f t="shared" si="57"/>
        <v>843.34742000568724</v>
      </c>
      <c r="AG89" s="85">
        <f t="shared" si="57"/>
        <v>854.46552187350528</v>
      </c>
      <c r="AH89" s="85">
        <f t="shared" si="57"/>
        <v>865.80004260956696</v>
      </c>
      <c r="AI89" s="85">
        <f t="shared" si="57"/>
        <v>877.34281096981181</v>
      </c>
      <c r="AJ89" s="85">
        <f t="shared" si="57"/>
        <v>889.08984504883756</v>
      </c>
      <c r="AK89" s="85">
        <f t="shared" si="57"/>
        <v>901.04742468181132</v>
      </c>
    </row>
    <row r="90" spans="1:37" x14ac:dyDescent="0.2">
      <c r="A90" s="53" t="s">
        <v>93</v>
      </c>
      <c r="B90" s="84">
        <f>monthly_data!$T8*0.264172/1000</f>
        <v>585.40515200000004</v>
      </c>
      <c r="C90" s="84">
        <f>monthly_data!$T20*0.264172/1000</f>
        <v>433.24208000000004</v>
      </c>
      <c r="D90" s="84">
        <f>monthly_data!$T32*0.264172/1000</f>
        <v>465.73523600000004</v>
      </c>
      <c r="E90" s="84">
        <f>monthly_data!$T44*0.264172/1000</f>
        <v>445.12982</v>
      </c>
      <c r="F90" s="84">
        <f>monthly_data!$T56*0.264172/1000</f>
        <v>564.44548134800004</v>
      </c>
      <c r="G90" s="84">
        <f>monthly_data!$T68*0.264172/1000</f>
        <v>650.92060051600004</v>
      </c>
      <c r="H90" s="84">
        <f>monthly_data!$T80*0.264172/1000</f>
        <v>585.75570824400006</v>
      </c>
      <c r="I90" s="84">
        <f>monthly_data!$T92*0.264172/1000</f>
        <v>543.56400560800012</v>
      </c>
      <c r="J90" s="84">
        <f>monthly_data!$T104*0.264172/1000</f>
        <v>578.69491902800007</v>
      </c>
      <c r="K90" s="84">
        <f>monthly_data!$T116*0.264172/1000</f>
        <v>546.80011260800006</v>
      </c>
      <c r="L90" s="85">
        <f t="shared" si="58"/>
        <v>599.80988040239072</v>
      </c>
      <c r="M90" s="85">
        <f t="shared" si="54"/>
        <v>589.32123707735229</v>
      </c>
      <c r="N90" s="85">
        <f t="shared" si="55"/>
        <v>587.90555594131138</v>
      </c>
      <c r="O90" s="85">
        <f t="shared" si="56"/>
        <v>599.16171924049468</v>
      </c>
      <c r="P90" s="85">
        <f t="shared" si="56"/>
        <v>604.33598641453102</v>
      </c>
      <c r="Q90" s="85">
        <f t="shared" si="56"/>
        <v>617.80987306984343</v>
      </c>
      <c r="R90" s="85">
        <f t="shared" si="56"/>
        <v>621.67053539593496</v>
      </c>
      <c r="S90" s="85">
        <f t="shared" si="56"/>
        <v>628.50754740825835</v>
      </c>
      <c r="T90" s="85">
        <f t="shared" si="56"/>
        <v>637.05821826882493</v>
      </c>
      <c r="U90" s="85">
        <f t="shared" si="56"/>
        <v>645.05025217228467</v>
      </c>
      <c r="V90" s="85">
        <f t="shared" si="56"/>
        <v>653.62930984581385</v>
      </c>
      <c r="W90" s="85">
        <f t="shared" si="56"/>
        <v>661.19505322356679</v>
      </c>
      <c r="X90" s="85">
        <f t="shared" si="56"/>
        <v>669.53198136845515</v>
      </c>
      <c r="Y90" s="85">
        <f t="shared" si="56"/>
        <v>678.18267509788291</v>
      </c>
      <c r="Z90" s="85">
        <f t="shared" si="56"/>
        <v>686.85657032856602</v>
      </c>
      <c r="AA90" s="85">
        <f t="shared" si="56"/>
        <v>695.67448089754157</v>
      </c>
      <c r="AB90" s="85">
        <f t="shared" si="56"/>
        <v>704.5444107958665</v>
      </c>
      <c r="AC90" s="85">
        <f t="shared" si="56"/>
        <v>713.68769802757026</v>
      </c>
      <c r="AD90" s="85">
        <f t="shared" si="56"/>
        <v>723.00099077263383</v>
      </c>
      <c r="AE90" s="85">
        <f t="shared" si="57"/>
        <v>732.45445305630176</v>
      </c>
      <c r="AF90" s="85">
        <f t="shared" si="57"/>
        <v>742.07243039710715</v>
      </c>
      <c r="AG90" s="85">
        <f t="shared" si="57"/>
        <v>751.85922572900972</v>
      </c>
      <c r="AH90" s="85">
        <f t="shared" si="57"/>
        <v>761.83917179768207</v>
      </c>
      <c r="AI90" s="85">
        <f t="shared" si="57"/>
        <v>771.99563747007232</v>
      </c>
      <c r="AJ90" s="85">
        <f t="shared" si="57"/>
        <v>782.33002038800555</v>
      </c>
      <c r="AK90" s="85">
        <f t="shared" si="57"/>
        <v>792.85021714013169</v>
      </c>
    </row>
    <row r="91" spans="1:37" x14ac:dyDescent="0.2">
      <c r="A91" s="53" t="s">
        <v>94</v>
      </c>
      <c r="B91" s="84">
        <f>monthly_data!$T9*0.264172/1000</f>
        <v>464.41437600000006</v>
      </c>
      <c r="C91" s="84">
        <f>monthly_data!$T21*0.264172/1000</f>
        <v>441.69558400000005</v>
      </c>
      <c r="D91" s="84">
        <f>monthly_data!$T33*0.264172/1000</f>
        <v>478.15132</v>
      </c>
      <c r="E91" s="84">
        <f>monthly_data!$T45*0.264172/1000</f>
        <v>486.86899600000004</v>
      </c>
      <c r="F91" s="84">
        <f>monthly_data!$T57*0.264172/1000</f>
        <v>584.72834333599997</v>
      </c>
      <c r="G91" s="84">
        <f>monthly_data!$T69*0.264172/1000</f>
        <v>642.765875048</v>
      </c>
      <c r="H91" s="84">
        <f>monthly_data!$T81*0.264172/1000</f>
        <v>614.60646070799999</v>
      </c>
      <c r="I91" s="84">
        <f>monthly_data!$T93*0.264172/1000</f>
        <v>519.05993923200003</v>
      </c>
      <c r="J91" s="84">
        <f>monthly_data!$T105*0.264172/1000</f>
        <v>585.48334691200012</v>
      </c>
      <c r="K91" s="84">
        <f>monthly_data!$T117*0.264172/1000</f>
        <v>606.19126164800002</v>
      </c>
      <c r="L91" s="85">
        <f t="shared" si="58"/>
        <v>612.68478469339152</v>
      </c>
      <c r="M91" s="85">
        <f t="shared" si="54"/>
        <v>606.53894011365583</v>
      </c>
      <c r="N91" s="85">
        <f t="shared" si="55"/>
        <v>602.66765116741442</v>
      </c>
      <c r="O91" s="85">
        <f t="shared" si="56"/>
        <v>622.08222331988259</v>
      </c>
      <c r="P91" s="85">
        <f t="shared" si="56"/>
        <v>630.62789345988642</v>
      </c>
      <c r="Q91" s="85">
        <f t="shared" si="56"/>
        <v>637.30825294746785</v>
      </c>
      <c r="R91" s="85">
        <f t="shared" si="56"/>
        <v>642.54619155897137</v>
      </c>
      <c r="S91" s="85">
        <f t="shared" si="56"/>
        <v>650.14607055644922</v>
      </c>
      <c r="T91" s="85">
        <f t="shared" si="56"/>
        <v>660.12743923328401</v>
      </c>
      <c r="U91" s="85">
        <f t="shared" si="56"/>
        <v>668.15504318966748</v>
      </c>
      <c r="V91" s="85">
        <f t="shared" si="56"/>
        <v>676.07748421221049</v>
      </c>
      <c r="W91" s="85">
        <f t="shared" si="56"/>
        <v>684.25994833224934</v>
      </c>
      <c r="X91" s="85">
        <f t="shared" si="56"/>
        <v>693.05593705522108</v>
      </c>
      <c r="Y91" s="85">
        <f t="shared" si="56"/>
        <v>702.10276418471517</v>
      </c>
      <c r="Z91" s="85">
        <f t="shared" si="56"/>
        <v>710.95807618321521</v>
      </c>
      <c r="AA91" s="85">
        <f t="shared" si="56"/>
        <v>719.98773162892633</v>
      </c>
      <c r="AB91" s="85">
        <f t="shared" si="56"/>
        <v>729.24984767789078</v>
      </c>
      <c r="AC91" s="85">
        <f t="shared" si="56"/>
        <v>738.73878140875945</v>
      </c>
      <c r="AD91" s="85">
        <f t="shared" si="56"/>
        <v>748.37424540763436</v>
      </c>
      <c r="AE91" s="85">
        <f t="shared" si="57"/>
        <v>758.13458894600899</v>
      </c>
      <c r="AF91" s="85">
        <f t="shared" si="57"/>
        <v>768.08560801676606</v>
      </c>
      <c r="AG91" s="85">
        <f t="shared" si="57"/>
        <v>778.23075190931377</v>
      </c>
      <c r="AH91" s="85">
        <f t="shared" si="57"/>
        <v>788.56210106527669</v>
      </c>
      <c r="AI91" s="85">
        <f t="shared" si="57"/>
        <v>799.07125480622904</v>
      </c>
      <c r="AJ91" s="85">
        <f t="shared" si="57"/>
        <v>809.76476103879781</v>
      </c>
      <c r="AK91" s="85">
        <f t="shared" si="57"/>
        <v>820.65503878092898</v>
      </c>
    </row>
    <row r="92" spans="1:37" x14ac:dyDescent="0.2">
      <c r="A92" s="53" t="s">
        <v>95</v>
      </c>
      <c r="B92" s="84">
        <f>monthly_data!$T10*0.264172/1000</f>
        <v>464.41437600000006</v>
      </c>
      <c r="C92" s="84">
        <f>monthly_data!$T22*0.264172/1000</f>
        <v>491.09574800000001</v>
      </c>
      <c r="D92" s="84">
        <f>monthly_data!$T34*0.264172/1000</f>
        <v>497.96422000000001</v>
      </c>
      <c r="E92" s="84">
        <f>monthly_data!$T46*0.264172/1000</f>
        <v>526.75896799999998</v>
      </c>
      <c r="F92" s="84">
        <f>monthly_data!$T58*0.264172/1000</f>
        <v>645.49609266800007</v>
      </c>
      <c r="G92" s="84">
        <f>monthly_data!$T70*0.264172/1000</f>
        <v>648.00308494800004</v>
      </c>
      <c r="H92" s="84">
        <f>monthly_data!$T82*0.264172/1000</f>
        <v>678.08804899600011</v>
      </c>
      <c r="I92" s="84">
        <f>monthly_data!$T94*0.264172/1000</f>
        <v>566.8579000520001</v>
      </c>
      <c r="J92" s="84">
        <f>monthly_data!$T106*0.264172/1000</f>
        <v>635.88419444800002</v>
      </c>
      <c r="K92" s="84">
        <f>monthly_data!$T118*0.264172/1000</f>
        <v>631.79692526400004</v>
      </c>
      <c r="L92" s="85">
        <f t="shared" si="58"/>
        <v>652.4259675262166</v>
      </c>
      <c r="M92" s="85">
        <f t="shared" si="54"/>
        <v>653.40744062902331</v>
      </c>
      <c r="N92" s="85">
        <f t="shared" si="55"/>
        <v>645.94806438869489</v>
      </c>
      <c r="O92" s="85">
        <f t="shared" si="56"/>
        <v>664.58489960529414</v>
      </c>
      <c r="P92" s="85">
        <f t="shared" si="56"/>
        <v>671.56447970768966</v>
      </c>
      <c r="Q92" s="85">
        <f t="shared" si="56"/>
        <v>681.52749940023239</v>
      </c>
      <c r="R92" s="85">
        <f t="shared" si="56"/>
        <v>687.70307165784857</v>
      </c>
      <c r="S92" s="85">
        <f t="shared" si="56"/>
        <v>694.95737230788427</v>
      </c>
      <c r="T92" s="85">
        <f t="shared" si="56"/>
        <v>705.26548876039453</v>
      </c>
      <c r="U92" s="85">
        <f t="shared" si="56"/>
        <v>713.84904046661404</v>
      </c>
      <c r="V92" s="85">
        <f t="shared" si="56"/>
        <v>722.76790390459757</v>
      </c>
      <c r="W92" s="85">
        <f t="shared" si="56"/>
        <v>731.47264879432532</v>
      </c>
      <c r="X92" s="85">
        <f t="shared" si="56"/>
        <v>740.70484196777488</v>
      </c>
      <c r="Y92" s="85">
        <f t="shared" si="56"/>
        <v>750.35029184636062</v>
      </c>
      <c r="Z92" s="85">
        <f t="shared" si="56"/>
        <v>759.860850622263</v>
      </c>
      <c r="AA92" s="85">
        <f t="shared" si="56"/>
        <v>769.56656252126663</v>
      </c>
      <c r="AB92" s="85">
        <f t="shared" si="56"/>
        <v>779.43837120410171</v>
      </c>
      <c r="AC92" s="85">
        <f t="shared" si="56"/>
        <v>789.55532047566385</v>
      </c>
      <c r="AD92" s="85">
        <f t="shared" si="56"/>
        <v>799.8588264687985</v>
      </c>
      <c r="AE92" s="85">
        <f t="shared" si="57"/>
        <v>810.30181723958322</v>
      </c>
      <c r="AF92" s="85">
        <f t="shared" si="57"/>
        <v>820.94135762328779</v>
      </c>
      <c r="AG92" s="85">
        <f t="shared" si="57"/>
        <v>831.77779075176204</v>
      </c>
      <c r="AH92" s="85">
        <f t="shared" si="57"/>
        <v>842.81757271681954</v>
      </c>
      <c r="AI92" s="85">
        <f t="shared" si="57"/>
        <v>854.05206320153582</v>
      </c>
      <c r="AJ92" s="85">
        <f t="shared" si="57"/>
        <v>865.4830047726357</v>
      </c>
      <c r="AK92" s="85">
        <f t="shared" si="57"/>
        <v>877.12229747810488</v>
      </c>
    </row>
    <row r="93" spans="1:37" x14ac:dyDescent="0.2">
      <c r="A93" s="53" t="s">
        <v>96</v>
      </c>
      <c r="B93" s="84">
        <f>monthly_data!$T11*0.264172/1000</f>
        <v>504.83269200000007</v>
      </c>
      <c r="C93" s="84">
        <f>monthly_data!$T23*0.264172/1000</f>
        <v>495.32250000000005</v>
      </c>
      <c r="D93" s="84">
        <f>monthly_data!$T35*0.264172/1000</f>
        <v>470.49033200000008</v>
      </c>
      <c r="E93" s="84">
        <f>monthly_data!$T47*0.264172/1000</f>
        <v>516.9846040000001</v>
      </c>
      <c r="F93" s="84">
        <f>monthly_data!$T59*0.264172/1000</f>
        <v>635.45993421600008</v>
      </c>
      <c r="G93" s="84">
        <f>monthly_data!$T71*0.264172/1000</f>
        <v>583.44975085600004</v>
      </c>
      <c r="H93" s="84">
        <f>monthly_data!$T83*0.264172/1000</f>
        <v>676.471580528</v>
      </c>
      <c r="I93" s="84">
        <f>monthly_data!$T95*0.264172/1000</f>
        <v>575.58482207200007</v>
      </c>
      <c r="J93" s="84">
        <f>monthly_data!$T107*0.264172/1000</f>
        <v>651.20854799599999</v>
      </c>
      <c r="K93" s="84">
        <f>monthly_data!$T119*0.264172/1000</f>
        <v>596.89055804400004</v>
      </c>
      <c r="L93" s="85">
        <f t="shared" si="58"/>
        <v>636.52627705755708</v>
      </c>
      <c r="M93" s="85">
        <f t="shared" si="54"/>
        <v>647.55035513249334</v>
      </c>
      <c r="N93" s="85">
        <f t="shared" si="55"/>
        <v>639.24007887202754</v>
      </c>
      <c r="O93" s="85">
        <f t="shared" si="56"/>
        <v>654.66673459266406</v>
      </c>
      <c r="P93" s="85">
        <f t="shared" si="56"/>
        <v>656.41176665268108</v>
      </c>
      <c r="Q93" s="85">
        <f t="shared" si="56"/>
        <v>670.43054748886425</v>
      </c>
      <c r="R93" s="85">
        <f t="shared" si="56"/>
        <v>677.59953276341025</v>
      </c>
      <c r="S93" s="85">
        <f t="shared" si="56"/>
        <v>683.97116243783671</v>
      </c>
      <c r="T93" s="85">
        <f t="shared" si="56"/>
        <v>693.38966867971158</v>
      </c>
      <c r="U93" s="85">
        <f t="shared" si="56"/>
        <v>701.56467028301097</v>
      </c>
      <c r="V93" s="85">
        <f t="shared" si="56"/>
        <v>711.07620484120002</v>
      </c>
      <c r="W93" s="85">
        <f t="shared" si="56"/>
        <v>719.65515861350798</v>
      </c>
      <c r="X93" s="85">
        <f t="shared" si="56"/>
        <v>728.52920443087271</v>
      </c>
      <c r="Y93" s="85">
        <f t="shared" si="56"/>
        <v>737.92528314390677</v>
      </c>
      <c r="Z93" s="85">
        <f t="shared" si="56"/>
        <v>747.31934272492606</v>
      </c>
      <c r="AA93" s="85">
        <f t="shared" si="56"/>
        <v>756.9691876546085</v>
      </c>
      <c r="AB93" s="85">
        <f t="shared" si="56"/>
        <v>766.65039792995083</v>
      </c>
      <c r="AC93" s="85">
        <f t="shared" si="56"/>
        <v>776.56322849203946</v>
      </c>
      <c r="AD93" s="85">
        <f t="shared" si="56"/>
        <v>786.69456762682887</v>
      </c>
      <c r="AE93" s="85">
        <f t="shared" si="57"/>
        <v>796.98139390122708</v>
      </c>
      <c r="AF93" s="85">
        <f t="shared" si="57"/>
        <v>807.45648489617554</v>
      </c>
      <c r="AG93" s="85">
        <f t="shared" si="57"/>
        <v>818.1058493781253</v>
      </c>
      <c r="AH93" s="85">
        <f t="shared" si="57"/>
        <v>828.95924863197047</v>
      </c>
      <c r="AI93" s="85">
        <f t="shared" si="57"/>
        <v>840.01099886408792</v>
      </c>
      <c r="AJ93" s="85">
        <f t="shared" si="57"/>
        <v>851.25695575468023</v>
      </c>
      <c r="AK93" s="85">
        <f t="shared" si="57"/>
        <v>862.70522211446928</v>
      </c>
    </row>
    <row r="94" spans="1:37" x14ac:dyDescent="0.2">
      <c r="A94" s="53" t="s">
        <v>97</v>
      </c>
      <c r="B94" s="84">
        <f>monthly_data!$T12*0.264172/1000</f>
        <v>438.52552000000003</v>
      </c>
      <c r="C94" s="84">
        <f>monthly_data!$T24*0.264172/1000</f>
        <v>435.09128400000003</v>
      </c>
      <c r="D94" s="84">
        <f>monthly_data!$T36*0.264172/1000</f>
        <v>506.15355200000005</v>
      </c>
      <c r="E94" s="84">
        <f>monthly_data!$T48*0.264172/1000</f>
        <v>497.17170400000003</v>
      </c>
      <c r="F94" s="84">
        <f>monthly_data!$T60*0.264172/1000</f>
        <v>601.56904416400005</v>
      </c>
      <c r="G94" s="84">
        <f>monthly_data!$T72*0.264172/1000</f>
        <v>531.83556132399997</v>
      </c>
      <c r="H94" s="84">
        <f>monthly_data!$T84*0.264172/1000</f>
        <v>585.56154182400007</v>
      </c>
      <c r="I94" s="84">
        <f>monthly_data!$T96*0.264172/1000</f>
        <v>552.26213288000008</v>
      </c>
      <c r="J94" s="84">
        <f>monthly_data!$T108*0.264172/1000</f>
        <v>610.919412104</v>
      </c>
      <c r="K94" s="84">
        <f>monthly_data!$T120*0.264172/1000</f>
        <v>574.91356101999997</v>
      </c>
      <c r="L94" s="85">
        <f t="shared" si="58"/>
        <v>589.4385539332809</v>
      </c>
      <c r="M94" s="85">
        <f t="shared" si="54"/>
        <v>601.39215939489179</v>
      </c>
      <c r="N94" s="85">
        <f t="shared" si="55"/>
        <v>602.45528425724149</v>
      </c>
      <c r="O94" s="85">
        <f t="shared" si="56"/>
        <v>614.97142002007479</v>
      </c>
      <c r="P94" s="85">
        <f t="shared" si="56"/>
        <v>616.776769731733</v>
      </c>
      <c r="Q94" s="85">
        <f t="shared" si="56"/>
        <v>627.03386360202819</v>
      </c>
      <c r="R94" s="85">
        <f t="shared" si="56"/>
        <v>634.95904434672605</v>
      </c>
      <c r="S94" s="85">
        <f t="shared" si="56"/>
        <v>642.0512979565267</v>
      </c>
      <c r="T94" s="85">
        <f t="shared" si="56"/>
        <v>650.3961068285563</v>
      </c>
      <c r="U94" s="85">
        <f t="shared" si="56"/>
        <v>657.87808416922826</v>
      </c>
      <c r="V94" s="85">
        <f t="shared" si="56"/>
        <v>666.54005865746285</v>
      </c>
      <c r="W94" s="85">
        <f t="shared" si="56"/>
        <v>674.8735454889229</v>
      </c>
      <c r="X94" s="85">
        <f t="shared" si="56"/>
        <v>683.29416664769826</v>
      </c>
      <c r="Y94" s="85">
        <f t="shared" si="56"/>
        <v>691.99294987194537</v>
      </c>
      <c r="Z94" s="85">
        <f t="shared" si="56"/>
        <v>700.76766907509739</v>
      </c>
      <c r="AA94" s="85">
        <f t="shared" si="56"/>
        <v>709.81330339461283</v>
      </c>
      <c r="AB94" s="85">
        <f t="shared" si="56"/>
        <v>718.94110723657809</v>
      </c>
      <c r="AC94" s="85">
        <f t="shared" si="56"/>
        <v>728.23640484362704</v>
      </c>
      <c r="AD94" s="85">
        <f t="shared" si="56"/>
        <v>737.71594204047869</v>
      </c>
      <c r="AE94" s="85">
        <f t="shared" si="57"/>
        <v>747.36024940594393</v>
      </c>
      <c r="AF94" s="85">
        <f t="shared" si="57"/>
        <v>757.18783639529306</v>
      </c>
      <c r="AG94" s="85">
        <f t="shared" si="57"/>
        <v>767.18052984220469</v>
      </c>
      <c r="AH94" s="85">
        <f t="shared" si="57"/>
        <v>777.355616790618</v>
      </c>
      <c r="AI94" s="85">
        <f t="shared" si="57"/>
        <v>787.71624271903943</v>
      </c>
      <c r="AJ94" s="85">
        <f t="shared" si="57"/>
        <v>798.26272419876932</v>
      </c>
      <c r="AK94" s="85">
        <f t="shared" si="57"/>
        <v>808.99949372500441</v>
      </c>
    </row>
    <row r="95" spans="1:37" x14ac:dyDescent="0.2">
      <c r="A95" s="53" t="s">
        <v>98</v>
      </c>
      <c r="B95" s="84">
        <f>monthly_data!$T13*0.264172/1000</f>
        <v>420.29765200000003</v>
      </c>
      <c r="C95" s="84">
        <f>monthly_data!$T25*0.264172/1000</f>
        <v>453.583324</v>
      </c>
      <c r="D95" s="84">
        <f>monthly_data!$T37*0.264172/1000</f>
        <v>446.186508</v>
      </c>
      <c r="E95" s="84">
        <f>monthly_data!$T49*0.264172/1000</f>
        <v>465.20689200000004</v>
      </c>
      <c r="F95" s="84">
        <f>monthly_data!$T61*0.264172/1000</f>
        <v>566.01783309199993</v>
      </c>
      <c r="G95" s="84">
        <f>monthly_data!$T73*0.264172/1000</f>
        <v>595.71367178399998</v>
      </c>
      <c r="H95" s="84">
        <f>monthly_data!$T85*0.264172/1000</f>
        <v>570.45433766000008</v>
      </c>
      <c r="I95" s="84">
        <f>monthly_data!$T97*0.264172/1000</f>
        <v>543.54947614799994</v>
      </c>
      <c r="J95" s="84">
        <f>monthly_data!$T109*0.264172/1000</f>
        <v>569.43199202000005</v>
      </c>
      <c r="K95" s="84">
        <f>monthly_data!$T121*0.264172/1000</f>
        <v>540.22592821600006</v>
      </c>
      <c r="L95" s="85">
        <f t="shared" si="58"/>
        <v>581.98322407604655</v>
      </c>
      <c r="M95" s="85">
        <f t="shared" si="54"/>
        <v>579.20965948488561</v>
      </c>
      <c r="N95" s="85">
        <f t="shared" si="55"/>
        <v>578.89834883373317</v>
      </c>
      <c r="O95" s="85">
        <f t="shared" si="56"/>
        <v>588.26596061618875</v>
      </c>
      <c r="P95" s="85">
        <f t="shared" si="56"/>
        <v>593.08549321986038</v>
      </c>
      <c r="Q95" s="85">
        <f t="shared" si="56"/>
        <v>605.56125365697358</v>
      </c>
      <c r="R95" s="85">
        <f t="shared" si="56"/>
        <v>610.57582744538763</v>
      </c>
      <c r="S95" s="85">
        <f t="shared" si="56"/>
        <v>617.20667108922737</v>
      </c>
      <c r="T95" s="85">
        <f t="shared" si="56"/>
        <v>625.27928442923087</v>
      </c>
      <c r="U95" s="85">
        <f t="shared" si="56"/>
        <v>633.0856919746285</v>
      </c>
      <c r="V95" s="85">
        <f t="shared" si="56"/>
        <v>641.51415354608889</v>
      </c>
      <c r="W95" s="85">
        <f t="shared" si="56"/>
        <v>649.10515085125269</v>
      </c>
      <c r="X95" s="85">
        <f t="shared" si="56"/>
        <v>657.2330755052559</v>
      </c>
      <c r="Y95" s="85">
        <f t="shared" si="56"/>
        <v>665.67411157795004</v>
      </c>
      <c r="Z95" s="85">
        <f t="shared" si="56"/>
        <v>674.19402057844798</v>
      </c>
      <c r="AA95" s="85">
        <f t="shared" si="56"/>
        <v>682.86447485754195</v>
      </c>
      <c r="AB95" s="85">
        <f t="shared" si="56"/>
        <v>691.58756237900025</v>
      </c>
      <c r="AC95" s="85">
        <f t="shared" si="56"/>
        <v>700.54821142544472</v>
      </c>
      <c r="AD95" s="85">
        <f t="shared" si="56"/>
        <v>709.68429509486919</v>
      </c>
      <c r="AE95" s="85">
        <f t="shared" si="57"/>
        <v>718.96724598814649</v>
      </c>
      <c r="AF95" s="85">
        <f t="shared" si="57"/>
        <v>728.41123271977301</v>
      </c>
      <c r="AG95" s="85">
        <f t="shared" si="57"/>
        <v>738.01847591441299</v>
      </c>
      <c r="AH95" s="85">
        <f t="shared" si="57"/>
        <v>747.81202182299944</v>
      </c>
      <c r="AI95" s="85">
        <f t="shared" si="57"/>
        <v>757.78125812574785</v>
      </c>
      <c r="AJ95" s="85">
        <f t="shared" si="57"/>
        <v>767.92628095215082</v>
      </c>
      <c r="AK95" s="85">
        <f t="shared" si="57"/>
        <v>778.25314962738264</v>
      </c>
    </row>
    <row r="96" spans="1:37" x14ac:dyDescent="0.2">
      <c r="A96" s="53" t="s">
        <v>99</v>
      </c>
      <c r="B96" s="84">
        <f>monthly_data!$T14*0.264172/1000</f>
        <v>475.50960000000003</v>
      </c>
      <c r="C96" s="84">
        <f>monthly_data!$T26*0.264172/1000</f>
        <v>477.35880400000002</v>
      </c>
      <c r="D96" s="84">
        <f>monthly_data!$T38*0.264172/1000</f>
        <v>410.52328799999998</v>
      </c>
      <c r="E96" s="84">
        <f>monthly_data!$T50*0.264172/1000</f>
        <v>437.46883200000008</v>
      </c>
      <c r="F96" s="84">
        <f>monthly_data!$T62*0.264172/1000</f>
        <v>590.62334151599998</v>
      </c>
      <c r="G96" s="84">
        <f>monthly_data!$T74*0.264172/1000</f>
        <v>604.30982866400007</v>
      </c>
      <c r="H96" s="84">
        <f>monthly_data!$T86*0.264172/1000</f>
        <v>588.68431903600003</v>
      </c>
      <c r="I96" s="84">
        <f>monthly_data!$T98*0.264172/1000</f>
        <v>519.23033017200009</v>
      </c>
      <c r="J96" s="84">
        <f>monthly_data!$T110*0.264172/1000</f>
        <v>573.78713161200005</v>
      </c>
      <c r="K96" s="84">
        <f>monthly_data!$T122*0.264172/1000</f>
        <v>606.55476232000012</v>
      </c>
      <c r="L96" s="85">
        <f t="shared" si="58"/>
        <v>597.09150453557731</v>
      </c>
      <c r="M96" s="85">
        <f t="shared" si="54"/>
        <v>595.66391511967049</v>
      </c>
      <c r="N96" s="85">
        <f t="shared" si="55"/>
        <v>594.92734888839345</v>
      </c>
      <c r="O96" s="85">
        <f t="shared" si="56"/>
        <v>612.68125216986675</v>
      </c>
      <c r="P96" s="85">
        <f t="shared" si="56"/>
        <v>621.68667740914941</v>
      </c>
      <c r="Q96" s="85">
        <f t="shared" si="56"/>
        <v>626.41544124599181</v>
      </c>
      <c r="R96" s="85">
        <f t="shared" si="56"/>
        <v>632.62563231091065</v>
      </c>
      <c r="S96" s="85">
        <f t="shared" si="56"/>
        <v>640.42138118180833</v>
      </c>
      <c r="T96" s="85">
        <f t="shared" si="56"/>
        <v>649.98916517692101</v>
      </c>
      <c r="U96" s="85">
        <f t="shared" si="56"/>
        <v>657.86173996568243</v>
      </c>
      <c r="V96" s="85">
        <f t="shared" si="56"/>
        <v>665.50153841822464</v>
      </c>
      <c r="W96" s="85">
        <f t="shared" si="56"/>
        <v>673.74762989153328</v>
      </c>
      <c r="X96" s="85">
        <f t="shared" si="56"/>
        <v>682.41867570516058</v>
      </c>
      <c r="Y96" s="85">
        <f t="shared" si="56"/>
        <v>691.27391845973011</v>
      </c>
      <c r="Z96" s="85">
        <f t="shared" si="56"/>
        <v>699.98368683246736</v>
      </c>
      <c r="AA96" s="85">
        <f t="shared" si="56"/>
        <v>708.86972786183833</v>
      </c>
      <c r="AB96" s="85">
        <f t="shared" si="56"/>
        <v>718.01707206981314</v>
      </c>
      <c r="AC96" s="85">
        <f t="shared" si="56"/>
        <v>727.35413834486519</v>
      </c>
      <c r="AD96" s="85">
        <f t="shared" si="56"/>
        <v>736.83209835731236</v>
      </c>
      <c r="AE96" s="85">
        <f t="shared" si="57"/>
        <v>746.44197957089523</v>
      </c>
      <c r="AF96" s="85">
        <f t="shared" si="57"/>
        <v>756.24147489360178</v>
      </c>
      <c r="AG96" s="85">
        <f t="shared" si="57"/>
        <v>766.2334119781508</v>
      </c>
      <c r="AH96" s="85">
        <f t="shared" si="57"/>
        <v>776.40352250014394</v>
      </c>
      <c r="AI96" s="85">
        <f t="shared" si="57"/>
        <v>786.74944792932308</v>
      </c>
      <c r="AJ96" s="85">
        <f t="shared" si="57"/>
        <v>797.27849470186618</v>
      </c>
      <c r="AK96" s="85">
        <f t="shared" si="57"/>
        <v>808.00136054525285</v>
      </c>
    </row>
    <row r="97" spans="1:37" s="86" customFormat="1" x14ac:dyDescent="0.2">
      <c r="A97" s="86" t="s">
        <v>100</v>
      </c>
      <c r="B97" s="160">
        <f>monthly_data!$T15*0.264172/1000</f>
        <v>545.77935200000002</v>
      </c>
      <c r="C97" s="160">
        <f>monthly_data!$T27*0.264172/1000</f>
        <v>482.37807200000003</v>
      </c>
      <c r="D97" s="160">
        <f>monthly_data!$T39*0.264172/1000</f>
        <v>502.45514400000002</v>
      </c>
      <c r="E97" s="160">
        <f>monthly_data!$T51*0.264172/1000</f>
        <v>523.8530760000001</v>
      </c>
      <c r="F97" s="160">
        <f>monthly_data!$T63*0.264172/1000</f>
        <v>631.15789319600003</v>
      </c>
      <c r="G97" s="160">
        <f>monthly_data!$T75*0.264172/1000</f>
        <v>653.7852816840001</v>
      </c>
      <c r="H97" s="160">
        <f>monthly_data!$T87*0.264172/1000</f>
        <v>622.22491701600006</v>
      </c>
      <c r="I97" s="160">
        <f>monthly_data!$T99*0.264172/1000</f>
        <v>611.32227440400004</v>
      </c>
      <c r="J97" s="160">
        <f>monthly_data!$T111*0.264172/1000</f>
        <v>670.975217896</v>
      </c>
      <c r="K97" s="84">
        <f>monthly_data!$T123*0.264172/1000</f>
        <v>651.61167446800005</v>
      </c>
      <c r="L97" s="161">
        <f t="shared" si="58"/>
        <v>662.6003821547032</v>
      </c>
      <c r="M97" s="161">
        <f t="shared" si="58"/>
        <v>664.48967058106712</v>
      </c>
      <c r="N97" s="161">
        <f t="shared" si="58"/>
        <v>670.75997581828074</v>
      </c>
      <c r="O97" s="161">
        <f t="shared" si="58"/>
        <v>685.42875542087052</v>
      </c>
      <c r="P97" s="161">
        <f t="shared" si="58"/>
        <v>689.49549962279491</v>
      </c>
      <c r="Q97" s="161">
        <f t="shared" si="58"/>
        <v>699.11397991948775</v>
      </c>
      <c r="R97" s="161">
        <f t="shared" si="58"/>
        <v>706.82992414494743</v>
      </c>
      <c r="S97" s="161">
        <f t="shared" si="58"/>
        <v>715.75638322122143</v>
      </c>
      <c r="T97" s="161">
        <f t="shared" si="58"/>
        <v>725.23646416191673</v>
      </c>
      <c r="U97" s="161">
        <f t="shared" si="58"/>
        <v>733.64301895081746</v>
      </c>
      <c r="V97" s="161">
        <f t="shared" si="58"/>
        <v>742.95245841444091</v>
      </c>
      <c r="W97" s="161">
        <f t="shared" si="56"/>
        <v>752.20047231767182</v>
      </c>
      <c r="X97" s="161">
        <f t="shared" si="56"/>
        <v>761.76914601767646</v>
      </c>
      <c r="Y97" s="161">
        <f t="shared" si="56"/>
        <v>771.47386695296257</v>
      </c>
      <c r="Z97" s="161">
        <f t="shared" si="56"/>
        <v>781.22794792967966</v>
      </c>
      <c r="AA97" s="161">
        <f t="shared" si="56"/>
        <v>791.26458852644828</v>
      </c>
      <c r="AB97" s="161">
        <f t="shared" si="56"/>
        <v>801.4550313401146</v>
      </c>
      <c r="AC97" s="161">
        <f t="shared" si="56"/>
        <v>811.84402980924369</v>
      </c>
      <c r="AD97" s="161">
        <f t="shared" si="56"/>
        <v>822.4062653464224</v>
      </c>
      <c r="AE97" s="161">
        <f t="shared" si="57"/>
        <v>833.14950938611503</v>
      </c>
      <c r="AF97" s="161">
        <f t="shared" si="57"/>
        <v>844.10117568733062</v>
      </c>
      <c r="AG97" s="161">
        <f t="shared" si="57"/>
        <v>855.24590592649349</v>
      </c>
      <c r="AH97" s="161">
        <f t="shared" si="57"/>
        <v>866.59191305282661</v>
      </c>
      <c r="AI97" s="161">
        <f t="shared" si="57"/>
        <v>878.13981335063045</v>
      </c>
      <c r="AJ97" s="161">
        <f t="shared" si="57"/>
        <v>889.89561765895871</v>
      </c>
      <c r="AK97" s="161">
        <f t="shared" si="57"/>
        <v>901.86497305252283</v>
      </c>
    </row>
    <row r="109" spans="1:37" x14ac:dyDescent="0.2">
      <c r="P109" s="162"/>
    </row>
    <row r="110" spans="1:37" x14ac:dyDescent="0.2">
      <c r="A110" s="8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Data Sources</vt:lpstr>
      <vt:lpstr>Capacity</vt:lpstr>
      <vt:lpstr>annual_data</vt:lpstr>
      <vt:lpstr>monthly_data</vt:lpstr>
      <vt:lpstr>BD</vt:lpstr>
      <vt:lpstr>RD</vt:lpstr>
      <vt:lpstr>SAF</vt:lpstr>
      <vt:lpstr>Jet Fuel</vt:lpstr>
      <vt:lpstr>Diesel</vt:lpstr>
      <vt:lpstr>BD!Print_Area</vt:lpstr>
      <vt:lpstr>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2025-07-09T11:23:06Z</dcterms:created>
  <dcterms:modified xsi:type="dcterms:W3CDTF">2025-07-09T11:23:36Z</dcterms:modified>
</cp:coreProperties>
</file>