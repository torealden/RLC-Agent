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2001_{9C927325-AF76-486D-9834-5B93B43900E2}" xr6:coauthVersionLast="47" xr6:coauthVersionMax="47" xr10:uidLastSave="{00000000-0000-0000-0000-000000000000}"/>
  <bookViews>
    <workbookView xWindow="11355" yWindow="3120" windowWidth="11055" windowHeight="7305" firstSheet="4" activeTab="6" xr2:uid="{92554533-567B-4985-8E9B-A56BE14E0910}"/>
  </bookViews>
  <sheets>
    <sheet name="Adj BBD Production 2023-2025" sheetId="1" r:id="rId1"/>
    <sheet name="Adj BBD Prod Split 2023-2025" sheetId="2" r:id="rId2"/>
    <sheet name="Unadj BBD Prod Split 2023-2025" sheetId="3" r:id="rId3"/>
    <sheet name="Mandates v Supply" sheetId="4" r:id="rId4"/>
    <sheet name="D3 and eRINs" sheetId="5" r:id="rId5"/>
    <sheet name="FM Mandate Analysis" sheetId="6" r:id="rId6"/>
    <sheet name="10 Year RFS Curves (2020)" sheetId="7" r:id="rId7"/>
    <sheet name="Fuel Cat Chart" sheetId="8" r:id="rId8"/>
    <sheet name="Production by Fuel Cat" sheetId="9" r:id="rId9"/>
    <sheet name="2023 Mandate Analysis" sheetId="10" r:id="rId10"/>
    <sheet name="High Scenario Balance Sheets" sheetId="11" r:id="rId11"/>
    <sheet name="Mid Scenario Balance Sheets" sheetId="12" r:id="rId12"/>
    <sheet name="Low Scenario Balance Sheets" sheetId="13" r:id="rId13"/>
  </sheets>
  <externalReferences>
    <externalReference r:id="rId14"/>
    <externalReference r:id="rId15"/>
    <externalReference r:id="rId16"/>
    <externalReference r:id="rId17"/>
  </externalReferences>
  <definedNames>
    <definedName name="_xlchart.v1.0" hidden="1">'10 Year RFS Curves (2020)'!$J$114:$J$118</definedName>
    <definedName name="_xlchart.v1.1" hidden="1">'10 Year RFS Curves (2020)'!$K$114:$K$118</definedName>
    <definedName name="solver_eng" localSheetId="9" hidden="1">1</definedName>
    <definedName name="solver_neg" localSheetId="9" hidden="1">1</definedName>
    <definedName name="solver_num" localSheetId="9" hidden="1">0</definedName>
    <definedName name="solver_opt" localSheetId="9" hidden="1">'2023 Mandate Analysis'!$X$71</definedName>
    <definedName name="solver_typ" localSheetId="9" hidden="1">1</definedName>
    <definedName name="solver_val" localSheetId="9" hidden="1">0</definedName>
    <definedName name="solver_ver" localSheetId="9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7" l="1"/>
  <c r="G137" i="7"/>
  <c r="Y66" i="10"/>
  <c r="X66" i="10"/>
  <c r="W66" i="10"/>
  <c r="Y65" i="10"/>
  <c r="X65" i="10"/>
  <c r="W65" i="10"/>
  <c r="Y64" i="10"/>
  <c r="X83" i="10" s="1"/>
  <c r="X64" i="10"/>
  <c r="W64" i="10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L73" i="10"/>
  <c r="L82" i="10" s="1"/>
  <c r="Z70" i="10"/>
  <c r="M3" i="10"/>
  <c r="I3" i="10"/>
  <c r="E3" i="10"/>
  <c r="B16" i="9"/>
  <c r="B15" i="9"/>
  <c r="B14" i="9"/>
  <c r="B13" i="9"/>
  <c r="B12" i="9"/>
  <c r="B11" i="9"/>
  <c r="B10" i="9"/>
  <c r="B9" i="9"/>
  <c r="B8" i="9"/>
  <c r="B7" i="9"/>
  <c r="B6" i="9"/>
  <c r="B5" i="9"/>
  <c r="B4" i="9"/>
  <c r="G4" i="9" s="1"/>
  <c r="B3" i="9"/>
  <c r="G3" i="9" s="1"/>
  <c r="H122" i="7"/>
  <c r="K118" i="7" s="1"/>
  <c r="Z73" i="10"/>
  <c r="M6" i="10"/>
  <c r="I6" i="10"/>
  <c r="L15" i="10" s="1"/>
  <c r="L16" i="10" s="1"/>
  <c r="E6" i="10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L149" i="7"/>
  <c r="K149" i="7"/>
  <c r="J149" i="7"/>
  <c r="I149" i="7"/>
  <c r="H149" i="7"/>
  <c r="G149" i="7"/>
  <c r="F149" i="7"/>
  <c r="E149" i="7"/>
  <c r="D149" i="7"/>
  <c r="C149" i="7"/>
  <c r="L148" i="7"/>
  <c r="K148" i="7"/>
  <c r="J148" i="7"/>
  <c r="I148" i="7"/>
  <c r="H148" i="7"/>
  <c r="G148" i="7"/>
  <c r="F148" i="7"/>
  <c r="E148" i="7"/>
  <c r="D148" i="7"/>
  <c r="C148" i="7"/>
  <c r="H120" i="7"/>
  <c r="H115" i="7"/>
  <c r="K115" i="7" s="1"/>
  <c r="L75" i="10"/>
  <c r="L81" i="10" s="1"/>
  <c r="M5" i="10"/>
  <c r="K5" i="10" s="1"/>
  <c r="I5" i="10"/>
  <c r="I7" i="10" s="1"/>
  <c r="E5" i="10"/>
  <c r="B5" i="10" s="1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H47" i="7"/>
  <c r="H80" i="7" s="1"/>
  <c r="G47" i="7"/>
  <c r="G80" i="7" s="1"/>
  <c r="F47" i="7"/>
  <c r="F80" i="7" s="1"/>
  <c r="E47" i="7"/>
  <c r="E80" i="7" s="1"/>
  <c r="D47" i="7"/>
  <c r="C47" i="7"/>
  <c r="L147" i="7"/>
  <c r="K147" i="7"/>
  <c r="J147" i="7"/>
  <c r="I147" i="7"/>
  <c r="H147" i="7"/>
  <c r="G147" i="7"/>
  <c r="F147" i="7"/>
  <c r="E147" i="7"/>
  <c r="D147" i="7"/>
  <c r="C147" i="7"/>
  <c r="I47" i="7"/>
  <c r="Z71" i="10"/>
  <c r="I4" i="10"/>
  <c r="L74" i="10" s="1"/>
  <c r="E4" i="10"/>
  <c r="C15" i="9"/>
  <c r="G15" i="9" s="1"/>
  <c r="C14" i="9"/>
  <c r="C13" i="9"/>
  <c r="G13" i="9" s="1"/>
  <c r="C12" i="9"/>
  <c r="G12" i="9" s="1"/>
  <c r="C11" i="9"/>
  <c r="C10" i="9"/>
  <c r="C9" i="9"/>
  <c r="C8" i="9"/>
  <c r="C7" i="9"/>
  <c r="C6" i="9"/>
  <c r="C5" i="9"/>
  <c r="C4" i="9"/>
  <c r="C3" i="9"/>
  <c r="J173" i="7"/>
  <c r="I173" i="7"/>
  <c r="H173" i="7"/>
  <c r="G173" i="7"/>
  <c r="F173" i="7"/>
  <c r="E173" i="7"/>
  <c r="D173" i="7"/>
  <c r="C173" i="7"/>
  <c r="J172" i="7"/>
  <c r="I172" i="7"/>
  <c r="I174" i="7" s="1"/>
  <c r="H172" i="7"/>
  <c r="H174" i="7" s="1"/>
  <c r="G172" i="7"/>
  <c r="G174" i="7" s="1"/>
  <c r="F172" i="7"/>
  <c r="E172" i="7"/>
  <c r="D172" i="7"/>
  <c r="D174" i="7" s="1"/>
  <c r="C172" i="7"/>
  <c r="J168" i="7"/>
  <c r="I168" i="7"/>
  <c r="I169" i="7" s="1"/>
  <c r="H168" i="7"/>
  <c r="G168" i="7"/>
  <c r="F168" i="7"/>
  <c r="E168" i="7"/>
  <c r="D168" i="7"/>
  <c r="C168" i="7"/>
  <c r="C169" i="7" s="1"/>
  <c r="I167" i="7"/>
  <c r="H167" i="7"/>
  <c r="G167" i="7"/>
  <c r="G169" i="7" s="1"/>
  <c r="F167" i="7"/>
  <c r="F169" i="7" s="1"/>
  <c r="E167" i="7"/>
  <c r="E169" i="7" s="1"/>
  <c r="D167" i="7"/>
  <c r="D169" i="7" s="1"/>
  <c r="C167" i="7"/>
  <c r="I163" i="7"/>
  <c r="H163" i="7"/>
  <c r="G163" i="7"/>
  <c r="F163" i="7"/>
  <c r="E163" i="7"/>
  <c r="D163" i="7"/>
  <c r="C163" i="7"/>
  <c r="I161" i="7"/>
  <c r="I162" i="7" s="1"/>
  <c r="H161" i="7"/>
  <c r="H162" i="7" s="1"/>
  <c r="G161" i="7"/>
  <c r="G162" i="7" s="1"/>
  <c r="F161" i="7"/>
  <c r="E161" i="7"/>
  <c r="D161" i="7"/>
  <c r="C161" i="7"/>
  <c r="J160" i="7"/>
  <c r="I160" i="7"/>
  <c r="H160" i="7"/>
  <c r="G160" i="7"/>
  <c r="F160" i="7"/>
  <c r="F162" i="7" s="1"/>
  <c r="E160" i="7"/>
  <c r="D160" i="7"/>
  <c r="C160" i="7"/>
  <c r="L146" i="7"/>
  <c r="K146" i="7"/>
  <c r="J146" i="7"/>
  <c r="I146" i="7"/>
  <c r="H146" i="7"/>
  <c r="G146" i="7"/>
  <c r="F146" i="7"/>
  <c r="E146" i="7"/>
  <c r="D146" i="7"/>
  <c r="C146" i="7"/>
  <c r="C144" i="7" s="1"/>
  <c r="L145" i="7"/>
  <c r="K145" i="7"/>
  <c r="J145" i="7"/>
  <c r="I145" i="7"/>
  <c r="H145" i="7"/>
  <c r="G145" i="7"/>
  <c r="F145" i="7"/>
  <c r="E145" i="7"/>
  <c r="D145" i="7"/>
  <c r="C145" i="7"/>
  <c r="I48" i="7"/>
  <c r="H48" i="7"/>
  <c r="G48" i="7"/>
  <c r="F48" i="7"/>
  <c r="E48" i="7"/>
  <c r="D48" i="7"/>
  <c r="C48" i="7"/>
  <c r="I46" i="7"/>
  <c r="I50" i="7" s="1"/>
  <c r="H46" i="7"/>
  <c r="G46" i="7"/>
  <c r="F46" i="7"/>
  <c r="E46" i="7"/>
  <c r="E78" i="7" s="1"/>
  <c r="D46" i="7"/>
  <c r="C46" i="7"/>
  <c r="I45" i="7"/>
  <c r="I79" i="7" s="1"/>
  <c r="H45" i="7"/>
  <c r="G45" i="7"/>
  <c r="F45" i="7"/>
  <c r="E45" i="7"/>
  <c r="D45" i="7"/>
  <c r="C45" i="7"/>
  <c r="I32" i="7"/>
  <c r="H32" i="7"/>
  <c r="G32" i="7"/>
  <c r="F32" i="7"/>
  <c r="E32" i="7"/>
  <c r="D32" i="7"/>
  <c r="C32" i="7"/>
  <c r="I31" i="7"/>
  <c r="H31" i="7"/>
  <c r="G31" i="7"/>
  <c r="F31" i="7"/>
  <c r="F143" i="7" s="1"/>
  <c r="E31" i="7"/>
  <c r="E143" i="7" s="1"/>
  <c r="D31" i="7"/>
  <c r="D143" i="7" s="1"/>
  <c r="C31" i="7"/>
  <c r="H118" i="7"/>
  <c r="H117" i="7"/>
  <c r="L125" i="13"/>
  <c r="K125" i="13"/>
  <c r="J125" i="13"/>
  <c r="I125" i="13"/>
  <c r="H125" i="13"/>
  <c r="G125" i="13"/>
  <c r="F125" i="13"/>
  <c r="E125" i="13"/>
  <c r="D125" i="13"/>
  <c r="C125" i="13"/>
  <c r="B125" i="13"/>
  <c r="L123" i="13"/>
  <c r="K123" i="13"/>
  <c r="J123" i="13"/>
  <c r="I123" i="13"/>
  <c r="H123" i="13"/>
  <c r="G123" i="13"/>
  <c r="F123" i="13"/>
  <c r="E123" i="13"/>
  <c r="D123" i="13"/>
  <c r="C123" i="13"/>
  <c r="B123" i="13"/>
  <c r="B92" i="13"/>
  <c r="L86" i="13"/>
  <c r="K86" i="13"/>
  <c r="J86" i="13"/>
  <c r="I86" i="13"/>
  <c r="H86" i="13"/>
  <c r="G86" i="13"/>
  <c r="F86" i="13"/>
  <c r="E86" i="13"/>
  <c r="D86" i="13"/>
  <c r="C86" i="13"/>
  <c r="B86" i="13"/>
  <c r="L84" i="13"/>
  <c r="K84" i="13"/>
  <c r="J84" i="13"/>
  <c r="I84" i="13"/>
  <c r="H84" i="13"/>
  <c r="G84" i="13"/>
  <c r="F84" i="13"/>
  <c r="E84" i="13"/>
  <c r="D84" i="13"/>
  <c r="C84" i="13"/>
  <c r="B84" i="13"/>
  <c r="L72" i="13"/>
  <c r="K72" i="13"/>
  <c r="J72" i="13"/>
  <c r="I72" i="13"/>
  <c r="H72" i="13"/>
  <c r="G72" i="13"/>
  <c r="F72" i="13"/>
  <c r="E72" i="13"/>
  <c r="D72" i="13"/>
  <c r="C72" i="13"/>
  <c r="C67" i="13"/>
  <c r="B67" i="13"/>
  <c r="B72" i="13" s="1"/>
  <c r="B65" i="13"/>
  <c r="B73" i="13" s="1"/>
  <c r="C62" i="13" s="1"/>
  <c r="C65" i="13" s="1"/>
  <c r="C73" i="13" s="1"/>
  <c r="D62" i="13" s="1"/>
  <c r="D65" i="13" s="1"/>
  <c r="D73" i="13" s="1"/>
  <c r="E62" i="13" s="1"/>
  <c r="E65" i="13" s="1"/>
  <c r="E73" i="13" s="1"/>
  <c r="F62" i="13" s="1"/>
  <c r="F65" i="13" s="1"/>
  <c r="F73" i="13" s="1"/>
  <c r="G62" i="13" s="1"/>
  <c r="G65" i="13" s="1"/>
  <c r="G73" i="13" s="1"/>
  <c r="H62" i="13" s="1"/>
  <c r="H65" i="13" s="1"/>
  <c r="H73" i="13" s="1"/>
  <c r="I62" i="13" s="1"/>
  <c r="I65" i="13" s="1"/>
  <c r="I73" i="13" s="1"/>
  <c r="J62" i="13" s="1"/>
  <c r="J65" i="13" s="1"/>
  <c r="J73" i="13" s="1"/>
  <c r="K62" i="13" s="1"/>
  <c r="K65" i="13" s="1"/>
  <c r="K73" i="13" s="1"/>
  <c r="L62" i="13" s="1"/>
  <c r="L65" i="13" s="1"/>
  <c r="L73" i="13" s="1"/>
  <c r="B53" i="13"/>
  <c r="L52" i="13"/>
  <c r="K52" i="13"/>
  <c r="J52" i="13"/>
  <c r="I52" i="13"/>
  <c r="H52" i="13"/>
  <c r="G52" i="13"/>
  <c r="F52" i="13"/>
  <c r="E52" i="13"/>
  <c r="D52" i="13"/>
  <c r="C52" i="13"/>
  <c r="B52" i="13"/>
  <c r="L46" i="13"/>
  <c r="K46" i="13"/>
  <c r="J46" i="13"/>
  <c r="I46" i="13"/>
  <c r="H46" i="13"/>
  <c r="G46" i="13"/>
  <c r="F46" i="13"/>
  <c r="E46" i="13"/>
  <c r="D46" i="13"/>
  <c r="C46" i="13"/>
  <c r="B46" i="13"/>
  <c r="B44" i="13"/>
  <c r="C41" i="13"/>
  <c r="C44" i="13" s="1"/>
  <c r="C53" i="13" s="1"/>
  <c r="D41" i="13" s="1"/>
  <c r="D44" i="13" s="1"/>
  <c r="D53" i="13" s="1"/>
  <c r="E41" i="13" s="1"/>
  <c r="E44" i="13" s="1"/>
  <c r="E53" i="13" s="1"/>
  <c r="F41" i="13" s="1"/>
  <c r="F44" i="13" s="1"/>
  <c r="F53" i="13" s="1"/>
  <c r="G41" i="13" s="1"/>
  <c r="G44" i="13" s="1"/>
  <c r="G53" i="13" s="1"/>
  <c r="H41" i="13" s="1"/>
  <c r="H44" i="13" s="1"/>
  <c r="H53" i="13" s="1"/>
  <c r="I41" i="13" s="1"/>
  <c r="I44" i="13" s="1"/>
  <c r="I53" i="13" s="1"/>
  <c r="J41" i="13" s="1"/>
  <c r="J44" i="13" s="1"/>
  <c r="J53" i="13" s="1"/>
  <c r="K41" i="13" s="1"/>
  <c r="K44" i="13" s="1"/>
  <c r="K53" i="13" s="1"/>
  <c r="L41" i="13" s="1"/>
  <c r="L44" i="13" s="1"/>
  <c r="L53" i="13" s="1"/>
  <c r="L32" i="13"/>
  <c r="K32" i="13"/>
  <c r="J32" i="13"/>
  <c r="I32" i="13"/>
  <c r="H32" i="13"/>
  <c r="G32" i="13"/>
  <c r="F32" i="13"/>
  <c r="E32" i="13"/>
  <c r="D32" i="13"/>
  <c r="C32" i="13"/>
  <c r="C33" i="13" s="1"/>
  <c r="B32" i="13"/>
  <c r="B27" i="13"/>
  <c r="L25" i="13"/>
  <c r="L33" i="13" s="1"/>
  <c r="K25" i="13"/>
  <c r="K33" i="13" s="1"/>
  <c r="J25" i="13"/>
  <c r="J33" i="13" s="1"/>
  <c r="I25" i="13"/>
  <c r="I33" i="13" s="1"/>
  <c r="H25" i="13"/>
  <c r="H33" i="13" s="1"/>
  <c r="G25" i="13"/>
  <c r="G33" i="13" s="1"/>
  <c r="F25" i="13"/>
  <c r="F33" i="13" s="1"/>
  <c r="E25" i="13"/>
  <c r="E33" i="13" s="1"/>
  <c r="D25" i="13"/>
  <c r="D33" i="13" s="1"/>
  <c r="C25" i="13"/>
  <c r="B25" i="13"/>
  <c r="D138" i="12"/>
  <c r="E138" i="12" s="1"/>
  <c r="F138" i="12" s="1"/>
  <c r="G138" i="12" s="1"/>
  <c r="H138" i="12" s="1"/>
  <c r="I138" i="12" s="1"/>
  <c r="J138" i="12" s="1"/>
  <c r="K138" i="12" s="1"/>
  <c r="L138" i="12" s="1"/>
  <c r="C138" i="12"/>
  <c r="C130" i="12"/>
  <c r="C131" i="12" s="1"/>
  <c r="D119" i="12" s="1"/>
  <c r="D122" i="12" s="1"/>
  <c r="D131" i="12" s="1"/>
  <c r="E119" i="12" s="1"/>
  <c r="E122" i="12" s="1"/>
  <c r="E131" i="12" s="1"/>
  <c r="F119" i="12" s="1"/>
  <c r="F122" i="12" s="1"/>
  <c r="F131" i="12" s="1"/>
  <c r="G119" i="12" s="1"/>
  <c r="G122" i="12" s="1"/>
  <c r="G131" i="12" s="1"/>
  <c r="H119" i="12" s="1"/>
  <c r="H122" i="12" s="1"/>
  <c r="H131" i="12" s="1"/>
  <c r="I119" i="12" s="1"/>
  <c r="I122" i="12" s="1"/>
  <c r="I131" i="12" s="1"/>
  <c r="J119" i="12" s="1"/>
  <c r="J122" i="12" s="1"/>
  <c r="J131" i="12" s="1"/>
  <c r="K119" i="12" s="1"/>
  <c r="K122" i="12" s="1"/>
  <c r="K131" i="12" s="1"/>
  <c r="L119" i="12" s="1"/>
  <c r="L122" i="12" s="1"/>
  <c r="L131" i="12" s="1"/>
  <c r="B130" i="12"/>
  <c r="L124" i="12"/>
  <c r="L130" i="12" s="1"/>
  <c r="K124" i="12"/>
  <c r="K130" i="12" s="1"/>
  <c r="J124" i="12"/>
  <c r="J130" i="12" s="1"/>
  <c r="I124" i="12"/>
  <c r="I130" i="12" s="1"/>
  <c r="H124" i="12"/>
  <c r="H130" i="12" s="1"/>
  <c r="G124" i="12"/>
  <c r="G130" i="12" s="1"/>
  <c r="F124" i="12"/>
  <c r="F130" i="12" s="1"/>
  <c r="E124" i="12"/>
  <c r="E130" i="12" s="1"/>
  <c r="D124" i="12"/>
  <c r="D130" i="12" s="1"/>
  <c r="C124" i="12"/>
  <c r="B124" i="12"/>
  <c r="B122" i="12"/>
  <c r="B131" i="12" s="1"/>
  <c r="C119" i="12" s="1"/>
  <c r="C122" i="12" s="1"/>
  <c r="C120" i="12"/>
  <c r="D120" i="12" s="1"/>
  <c r="E120" i="12" s="1"/>
  <c r="F120" i="12" s="1"/>
  <c r="G120" i="12" s="1"/>
  <c r="H120" i="12" s="1"/>
  <c r="I120" i="12" s="1"/>
  <c r="J120" i="12" s="1"/>
  <c r="K120" i="12" s="1"/>
  <c r="L120" i="12" s="1"/>
  <c r="B92" i="12"/>
  <c r="C80" i="12" s="1"/>
  <c r="C83" i="12" s="1"/>
  <c r="C92" i="12" s="1"/>
  <c r="D80" i="12" s="1"/>
  <c r="D83" i="12" s="1"/>
  <c r="D92" i="12" s="1"/>
  <c r="E80" i="12" s="1"/>
  <c r="E83" i="12" s="1"/>
  <c r="E92" i="12" s="1"/>
  <c r="L91" i="12"/>
  <c r="K91" i="12"/>
  <c r="J91" i="12"/>
  <c r="I91" i="12"/>
  <c r="H91" i="12"/>
  <c r="G91" i="12"/>
  <c r="F91" i="12"/>
  <c r="E91" i="12"/>
  <c r="D91" i="12"/>
  <c r="C91" i="12"/>
  <c r="B91" i="12"/>
  <c r="L85" i="12"/>
  <c r="K85" i="12"/>
  <c r="J85" i="12"/>
  <c r="I85" i="12"/>
  <c r="H85" i="12"/>
  <c r="G85" i="12"/>
  <c r="F85" i="12"/>
  <c r="E85" i="12"/>
  <c r="D85" i="12"/>
  <c r="C85" i="12"/>
  <c r="B85" i="12"/>
  <c r="B83" i="12"/>
  <c r="F80" i="12"/>
  <c r="F83" i="12" s="1"/>
  <c r="F92" i="12" s="1"/>
  <c r="G80" i="12" s="1"/>
  <c r="G83" i="12" s="1"/>
  <c r="G92" i="12" s="1"/>
  <c r="H80" i="12" s="1"/>
  <c r="H83" i="12" s="1"/>
  <c r="H92" i="12" s="1"/>
  <c r="I80" i="12" s="1"/>
  <c r="I83" i="12" s="1"/>
  <c r="I92" i="12" s="1"/>
  <c r="J80" i="12" s="1"/>
  <c r="J83" i="12" s="1"/>
  <c r="J92" i="12" s="1"/>
  <c r="K80" i="12" s="1"/>
  <c r="K83" i="12" s="1"/>
  <c r="K92" i="12" s="1"/>
  <c r="L80" i="12" s="1"/>
  <c r="L83" i="12" s="1"/>
  <c r="L92" i="12" s="1"/>
  <c r="J71" i="12"/>
  <c r="I71" i="12"/>
  <c r="H71" i="12"/>
  <c r="G71" i="12"/>
  <c r="F71" i="12"/>
  <c r="E71" i="12"/>
  <c r="D71" i="12"/>
  <c r="C71" i="12"/>
  <c r="B71" i="12"/>
  <c r="L66" i="12"/>
  <c r="L71" i="12" s="1"/>
  <c r="K66" i="12"/>
  <c r="K71" i="12" s="1"/>
  <c r="J66" i="12"/>
  <c r="I66" i="12"/>
  <c r="H66" i="12"/>
  <c r="G66" i="12"/>
  <c r="F66" i="12"/>
  <c r="E66" i="12"/>
  <c r="D66" i="12"/>
  <c r="C66" i="12"/>
  <c r="B66" i="12"/>
  <c r="B64" i="12"/>
  <c r="B53" i="12"/>
  <c r="L52" i="12"/>
  <c r="K52" i="12"/>
  <c r="J52" i="12"/>
  <c r="I52" i="12"/>
  <c r="H52" i="12"/>
  <c r="G52" i="12"/>
  <c r="F52" i="12"/>
  <c r="E52" i="12"/>
  <c r="D52" i="12"/>
  <c r="C52" i="12"/>
  <c r="B52" i="12"/>
  <c r="L46" i="12"/>
  <c r="K46" i="12"/>
  <c r="J46" i="12"/>
  <c r="I46" i="12"/>
  <c r="H46" i="12"/>
  <c r="G46" i="12"/>
  <c r="F46" i="12"/>
  <c r="E46" i="12"/>
  <c r="D46" i="12"/>
  <c r="C46" i="12"/>
  <c r="B46" i="12"/>
  <c r="B44" i="12"/>
  <c r="C41" i="12"/>
  <c r="C44" i="12" s="1"/>
  <c r="C53" i="12" s="1"/>
  <c r="D41" i="12" s="1"/>
  <c r="D44" i="12" s="1"/>
  <c r="D53" i="12" s="1"/>
  <c r="E41" i="12" s="1"/>
  <c r="E44" i="12" s="1"/>
  <c r="E53" i="12" s="1"/>
  <c r="F41" i="12" s="1"/>
  <c r="F44" i="12" s="1"/>
  <c r="F53" i="12" s="1"/>
  <c r="G41" i="12" s="1"/>
  <c r="G44" i="12" s="1"/>
  <c r="G53" i="12" s="1"/>
  <c r="H41" i="12" s="1"/>
  <c r="H44" i="12" s="1"/>
  <c r="H53" i="12" s="1"/>
  <c r="I41" i="12" s="1"/>
  <c r="I44" i="12" s="1"/>
  <c r="I53" i="12" s="1"/>
  <c r="J41" i="12" s="1"/>
  <c r="J44" i="12" s="1"/>
  <c r="J53" i="12" s="1"/>
  <c r="K41" i="12" s="1"/>
  <c r="K44" i="12" s="1"/>
  <c r="K53" i="12" s="1"/>
  <c r="L41" i="12" s="1"/>
  <c r="L44" i="12" s="1"/>
  <c r="L53" i="12" s="1"/>
  <c r="L32" i="12"/>
  <c r="K32" i="12"/>
  <c r="J32" i="12"/>
  <c r="I32" i="12"/>
  <c r="H32" i="12"/>
  <c r="G32" i="12"/>
  <c r="F32" i="12"/>
  <c r="E32" i="12"/>
  <c r="D32" i="12"/>
  <c r="C32" i="12"/>
  <c r="B32" i="12"/>
  <c r="L27" i="12"/>
  <c r="K27" i="12"/>
  <c r="J27" i="12"/>
  <c r="I27" i="12"/>
  <c r="H27" i="12"/>
  <c r="G27" i="12"/>
  <c r="F27" i="12"/>
  <c r="E27" i="12"/>
  <c r="D27" i="12"/>
  <c r="C27" i="12"/>
  <c r="B27" i="12"/>
  <c r="B25" i="12"/>
  <c r="L142" i="11"/>
  <c r="K142" i="11"/>
  <c r="J142" i="11"/>
  <c r="I142" i="11"/>
  <c r="H142" i="11"/>
  <c r="G142" i="11"/>
  <c r="F142" i="11"/>
  <c r="E142" i="11"/>
  <c r="D142" i="11"/>
  <c r="C142" i="11"/>
  <c r="C138" i="11"/>
  <c r="D138" i="11" s="1"/>
  <c r="E138" i="11" s="1"/>
  <c r="F138" i="11" s="1"/>
  <c r="G138" i="11" s="1"/>
  <c r="H138" i="11" s="1"/>
  <c r="I138" i="11" s="1"/>
  <c r="J138" i="11" s="1"/>
  <c r="K138" i="11" s="1"/>
  <c r="L138" i="11" s="1"/>
  <c r="L130" i="11"/>
  <c r="K130" i="11"/>
  <c r="J130" i="11"/>
  <c r="I130" i="11"/>
  <c r="H130" i="11"/>
  <c r="G130" i="11"/>
  <c r="F130" i="11"/>
  <c r="E130" i="11"/>
  <c r="D130" i="11"/>
  <c r="C130" i="11"/>
  <c r="B130" i="11"/>
  <c r="B124" i="11"/>
  <c r="B122" i="11"/>
  <c r="F120" i="11"/>
  <c r="G120" i="11" s="1"/>
  <c r="H120" i="11" s="1"/>
  <c r="I120" i="11" s="1"/>
  <c r="J120" i="11" s="1"/>
  <c r="K120" i="11" s="1"/>
  <c r="L120" i="11" s="1"/>
  <c r="D120" i="11"/>
  <c r="E120" i="11" s="1"/>
  <c r="C120" i="11"/>
  <c r="C119" i="11"/>
  <c r="C122" i="11" s="1"/>
  <c r="C131" i="11" s="1"/>
  <c r="D119" i="11" s="1"/>
  <c r="D122" i="11" s="1"/>
  <c r="D131" i="11" s="1"/>
  <c r="E119" i="11" s="1"/>
  <c r="E122" i="11" s="1"/>
  <c r="E131" i="11" s="1"/>
  <c r="F119" i="11" s="1"/>
  <c r="F122" i="11" s="1"/>
  <c r="F131" i="11" s="1"/>
  <c r="G119" i="11" s="1"/>
  <c r="G122" i="11" s="1"/>
  <c r="G131" i="11" s="1"/>
  <c r="H119" i="11" s="1"/>
  <c r="H122" i="11" s="1"/>
  <c r="H131" i="11" s="1"/>
  <c r="I119" i="11" s="1"/>
  <c r="I122" i="11" s="1"/>
  <c r="I131" i="11" s="1"/>
  <c r="J119" i="11" s="1"/>
  <c r="J122" i="11" s="1"/>
  <c r="J131" i="11" s="1"/>
  <c r="K119" i="11" s="1"/>
  <c r="K122" i="11" s="1"/>
  <c r="K131" i="11" s="1"/>
  <c r="L119" i="11" s="1"/>
  <c r="L122" i="11" s="1"/>
  <c r="L131" i="11" s="1"/>
  <c r="L71" i="11"/>
  <c r="K71" i="11"/>
  <c r="J71" i="11"/>
  <c r="I71" i="11"/>
  <c r="H71" i="11"/>
  <c r="G71" i="11"/>
  <c r="F71" i="11"/>
  <c r="E71" i="11"/>
  <c r="D71" i="11"/>
  <c r="C71" i="11"/>
  <c r="B71" i="11"/>
  <c r="B64" i="11"/>
  <c r="C52" i="11"/>
  <c r="B52" i="11"/>
  <c r="L46" i="11"/>
  <c r="L52" i="11" s="1"/>
  <c r="K46" i="11"/>
  <c r="K52" i="11" s="1"/>
  <c r="J46" i="11"/>
  <c r="J52" i="11" s="1"/>
  <c r="I46" i="11"/>
  <c r="I52" i="11" s="1"/>
  <c r="H46" i="11"/>
  <c r="H52" i="11" s="1"/>
  <c r="G46" i="11"/>
  <c r="G52" i="11" s="1"/>
  <c r="F46" i="11"/>
  <c r="F52" i="11" s="1"/>
  <c r="E46" i="11"/>
  <c r="E52" i="11" s="1"/>
  <c r="D46" i="11"/>
  <c r="D52" i="11" s="1"/>
  <c r="C46" i="11"/>
  <c r="B46" i="11"/>
  <c r="B44" i="11"/>
  <c r="L32" i="11"/>
  <c r="K32" i="11"/>
  <c r="J32" i="11"/>
  <c r="I32" i="11"/>
  <c r="H32" i="11"/>
  <c r="G32" i="11"/>
  <c r="F32" i="11"/>
  <c r="E32" i="11"/>
  <c r="D32" i="11"/>
  <c r="C32" i="11"/>
  <c r="B32" i="11"/>
  <c r="L25" i="11"/>
  <c r="K25" i="11"/>
  <c r="J25" i="11"/>
  <c r="I25" i="11"/>
  <c r="H25" i="11"/>
  <c r="G25" i="11"/>
  <c r="F25" i="11"/>
  <c r="E25" i="11"/>
  <c r="D25" i="11"/>
  <c r="C25" i="11"/>
  <c r="B25" i="11"/>
  <c r="K98" i="10"/>
  <c r="M98" i="10" s="1"/>
  <c r="D98" i="10"/>
  <c r="C98" i="10"/>
  <c r="E98" i="10" s="1"/>
  <c r="L97" i="10"/>
  <c r="M97" i="10" s="1"/>
  <c r="K97" i="10"/>
  <c r="D97" i="10"/>
  <c r="C97" i="10"/>
  <c r="E97" i="10" s="1"/>
  <c r="L96" i="10"/>
  <c r="L95" i="10"/>
  <c r="K95" i="10"/>
  <c r="D95" i="10"/>
  <c r="C95" i="10"/>
  <c r="E92" i="10"/>
  <c r="D92" i="10"/>
  <c r="D93" i="10" s="1"/>
  <c r="C92" i="10"/>
  <c r="C93" i="10" s="1"/>
  <c r="M91" i="10"/>
  <c r="E91" i="10"/>
  <c r="E90" i="10"/>
  <c r="D90" i="10"/>
  <c r="C90" i="10"/>
  <c r="L89" i="10"/>
  <c r="L98" i="10" s="1"/>
  <c r="K89" i="10"/>
  <c r="D89" i="10"/>
  <c r="E89" i="10" s="1"/>
  <c r="C89" i="10"/>
  <c r="L88" i="10"/>
  <c r="K88" i="10"/>
  <c r="M88" i="10" s="1"/>
  <c r="E88" i="10"/>
  <c r="D88" i="10"/>
  <c r="C88" i="10"/>
  <c r="Y86" i="10"/>
  <c r="W86" i="10"/>
  <c r="V86" i="10"/>
  <c r="X86" i="10" s="1"/>
  <c r="W85" i="10"/>
  <c r="Y85" i="10" s="1"/>
  <c r="Y83" i="10"/>
  <c r="W83" i="10"/>
  <c r="V83" i="10"/>
  <c r="W82" i="10"/>
  <c r="Y82" i="10" s="1"/>
  <c r="V82" i="10"/>
  <c r="X82" i="10" s="1"/>
  <c r="D82" i="10"/>
  <c r="C82" i="10"/>
  <c r="E82" i="10" s="1"/>
  <c r="K81" i="10"/>
  <c r="E81" i="10"/>
  <c r="D81" i="10"/>
  <c r="C81" i="10"/>
  <c r="D80" i="10"/>
  <c r="L79" i="10"/>
  <c r="K79" i="10"/>
  <c r="D79" i="10"/>
  <c r="C79" i="10"/>
  <c r="E79" i="10" s="1"/>
  <c r="D76" i="10"/>
  <c r="D77" i="10" s="1"/>
  <c r="E75" i="10"/>
  <c r="D74" i="10"/>
  <c r="E74" i="10" s="1"/>
  <c r="C74" i="10"/>
  <c r="W73" i="10"/>
  <c r="Y73" i="10" s="1"/>
  <c r="K73" i="10"/>
  <c r="V70" i="10" s="1"/>
  <c r="X70" i="10" s="1"/>
  <c r="E73" i="10"/>
  <c r="D73" i="10"/>
  <c r="W70" i="10" s="1"/>
  <c r="Y70" i="10" s="1"/>
  <c r="C73" i="10"/>
  <c r="W72" i="10"/>
  <c r="Y72" i="10" s="1"/>
  <c r="V72" i="10"/>
  <c r="Z72" i="10" s="1"/>
  <c r="M72" i="10"/>
  <c r="L72" i="10"/>
  <c r="K72" i="10"/>
  <c r="D72" i="10"/>
  <c r="AA71" i="10"/>
  <c r="W71" i="10"/>
  <c r="Y71" i="10" s="1"/>
  <c r="V71" i="10"/>
  <c r="X71" i="10" s="1"/>
  <c r="AA70" i="10"/>
  <c r="C57" i="10"/>
  <c r="J57" i="10" s="1"/>
  <c r="B57" i="10"/>
  <c r="I57" i="10" s="1"/>
  <c r="E55" i="10"/>
  <c r="E54" i="10" s="1"/>
  <c r="D55" i="10"/>
  <c r="C55" i="10"/>
  <c r="E40" i="10"/>
  <c r="H40" i="10" s="1"/>
  <c r="M38" i="10"/>
  <c r="L38" i="10"/>
  <c r="L37" i="10"/>
  <c r="M36" i="10"/>
  <c r="N36" i="10" s="1"/>
  <c r="L36" i="10"/>
  <c r="N35" i="10"/>
  <c r="M35" i="10"/>
  <c r="L35" i="10"/>
  <c r="D34" i="10"/>
  <c r="D96" i="10" s="1"/>
  <c r="C34" i="10"/>
  <c r="L80" i="10" s="1"/>
  <c r="B34" i="10"/>
  <c r="B32" i="10"/>
  <c r="F14" i="10" s="1"/>
  <c r="M31" i="10"/>
  <c r="L31" i="10"/>
  <c r="D30" i="10"/>
  <c r="C30" i="10"/>
  <c r="B30" i="10"/>
  <c r="M29" i="10"/>
  <c r="M30" i="10" s="1"/>
  <c r="L29" i="10"/>
  <c r="L30" i="10" s="1"/>
  <c r="N30" i="10" s="1"/>
  <c r="N28" i="10"/>
  <c r="M28" i="10"/>
  <c r="L28" i="10"/>
  <c r="B26" i="10"/>
  <c r="M24" i="10"/>
  <c r="L24" i="10"/>
  <c r="N24" i="10" s="1"/>
  <c r="M23" i="10"/>
  <c r="N23" i="10" s="1"/>
  <c r="L23" i="10"/>
  <c r="D22" i="10"/>
  <c r="C22" i="10"/>
  <c r="B22" i="10"/>
  <c r="M18" i="10"/>
  <c r="N18" i="10" s="1"/>
  <c r="O18" i="10" s="1"/>
  <c r="L18" i="10"/>
  <c r="N17" i="10"/>
  <c r="M17" i="10"/>
  <c r="L17" i="10"/>
  <c r="H17" i="10"/>
  <c r="G17" i="10"/>
  <c r="F17" i="10"/>
  <c r="E17" i="10"/>
  <c r="G16" i="10"/>
  <c r="E16" i="10"/>
  <c r="D16" i="10"/>
  <c r="C16" i="10"/>
  <c r="B16" i="10"/>
  <c r="F16" i="10" s="1"/>
  <c r="M15" i="10"/>
  <c r="M16" i="10" s="1"/>
  <c r="H15" i="10"/>
  <c r="G15" i="10"/>
  <c r="F15" i="10"/>
  <c r="E15" i="10"/>
  <c r="M14" i="10"/>
  <c r="L14" i="10"/>
  <c r="N14" i="10" s="1"/>
  <c r="H14" i="10"/>
  <c r="G14" i="10"/>
  <c r="H13" i="10"/>
  <c r="G13" i="10"/>
  <c r="F13" i="10"/>
  <c r="E13" i="10"/>
  <c r="D12" i="10"/>
  <c r="H12" i="10" s="1"/>
  <c r="C12" i="10"/>
  <c r="D40" i="10" s="1"/>
  <c r="G40" i="10" s="1"/>
  <c r="B12" i="10"/>
  <c r="C40" i="10" s="1"/>
  <c r="F40" i="10" s="1"/>
  <c r="L7" i="10"/>
  <c r="L10" i="10" s="1"/>
  <c r="K7" i="10"/>
  <c r="J7" i="10"/>
  <c r="G7" i="10"/>
  <c r="F7" i="10"/>
  <c r="H7" i="10" s="1"/>
  <c r="D54" i="10" s="1"/>
  <c r="C7" i="10"/>
  <c r="B7" i="10"/>
  <c r="D7" i="10" s="1"/>
  <c r="K6" i="10"/>
  <c r="G6" i="10"/>
  <c r="F6" i="10"/>
  <c r="C6" i="10"/>
  <c r="K3" i="10"/>
  <c r="J3" i="10"/>
  <c r="L3" i="10" s="1"/>
  <c r="G3" i="10"/>
  <c r="F3" i="10"/>
  <c r="H3" i="10" s="1"/>
  <c r="C3" i="10"/>
  <c r="B3" i="10"/>
  <c r="D3" i="10" s="1"/>
  <c r="J178" i="7"/>
  <c r="I178" i="7"/>
  <c r="H178" i="7"/>
  <c r="G178" i="7"/>
  <c r="F178" i="7"/>
  <c r="E178" i="7"/>
  <c r="D178" i="7"/>
  <c r="C178" i="7"/>
  <c r="H169" i="7"/>
  <c r="J164" i="7"/>
  <c r="I164" i="7"/>
  <c r="H164" i="7"/>
  <c r="G164" i="7"/>
  <c r="F164" i="7"/>
  <c r="E164" i="7"/>
  <c r="D164" i="7"/>
  <c r="C164" i="7"/>
  <c r="L143" i="7"/>
  <c r="K143" i="7"/>
  <c r="I143" i="7"/>
  <c r="H143" i="7"/>
  <c r="G143" i="7"/>
  <c r="L142" i="7"/>
  <c r="K142" i="7"/>
  <c r="J142" i="7"/>
  <c r="I142" i="7"/>
  <c r="H142" i="7"/>
  <c r="G142" i="7"/>
  <c r="F142" i="7"/>
  <c r="E142" i="7"/>
  <c r="D142" i="7"/>
  <c r="C142" i="7"/>
  <c r="J131" i="7"/>
  <c r="J129" i="7"/>
  <c r="I129" i="7"/>
  <c r="I131" i="7" s="1"/>
  <c r="H129" i="7"/>
  <c r="H131" i="7" s="1"/>
  <c r="J121" i="7"/>
  <c r="K117" i="7"/>
  <c r="K116" i="7"/>
  <c r="H114" i="7"/>
  <c r="Q107" i="7"/>
  <c r="P107" i="7"/>
  <c r="O107" i="7"/>
  <c r="N107" i="7"/>
  <c r="M107" i="7"/>
  <c r="L107" i="7"/>
  <c r="K107" i="7"/>
  <c r="J107" i="7"/>
  <c r="I107" i="7"/>
  <c r="H107" i="7"/>
  <c r="G107" i="7"/>
  <c r="Q106" i="7"/>
  <c r="P106" i="7"/>
  <c r="O106" i="7"/>
  <c r="N106" i="7"/>
  <c r="M106" i="7"/>
  <c r="L106" i="7"/>
  <c r="K106" i="7"/>
  <c r="J106" i="7"/>
  <c r="I106" i="7"/>
  <c r="H106" i="7"/>
  <c r="G106" i="7"/>
  <c r="Q105" i="7"/>
  <c r="P105" i="7"/>
  <c r="O105" i="7"/>
  <c r="N105" i="7"/>
  <c r="M105" i="7"/>
  <c r="L105" i="7"/>
  <c r="K105" i="7"/>
  <c r="J105" i="7"/>
  <c r="I105" i="7"/>
  <c r="H105" i="7"/>
  <c r="G105" i="7"/>
  <c r="Q104" i="7"/>
  <c r="P104" i="7"/>
  <c r="O104" i="7"/>
  <c r="N104" i="7"/>
  <c r="M104" i="7"/>
  <c r="L104" i="7"/>
  <c r="K104" i="7"/>
  <c r="J104" i="7"/>
  <c r="I104" i="7"/>
  <c r="H104" i="7"/>
  <c r="G104" i="7"/>
  <c r="Q103" i="7"/>
  <c r="P103" i="7"/>
  <c r="O103" i="7"/>
  <c r="N103" i="7"/>
  <c r="M103" i="7"/>
  <c r="L103" i="7"/>
  <c r="K103" i="7"/>
  <c r="J103" i="7"/>
  <c r="I103" i="7"/>
  <c r="H103" i="7"/>
  <c r="G103" i="7"/>
  <c r="Q102" i="7"/>
  <c r="P102" i="7"/>
  <c r="O102" i="7"/>
  <c r="N102" i="7"/>
  <c r="M102" i="7"/>
  <c r="L102" i="7"/>
  <c r="K102" i="7"/>
  <c r="J102" i="7"/>
  <c r="I102" i="7"/>
  <c r="H102" i="7"/>
  <c r="G102" i="7"/>
  <c r="J80" i="7"/>
  <c r="O51" i="7"/>
  <c r="N51" i="7"/>
  <c r="J48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O56" i="7" s="1"/>
  <c r="N54" i="7"/>
  <c r="S43" i="7"/>
  <c r="R43" i="7"/>
  <c r="AD42" i="7"/>
  <c r="AC42" i="7"/>
  <c r="AB42" i="7"/>
  <c r="AA42" i="7"/>
  <c r="T42" i="7"/>
  <c r="Q42" i="7"/>
  <c r="P42" i="7"/>
  <c r="O42" i="7"/>
  <c r="N42" i="7"/>
  <c r="M42" i="7"/>
  <c r="L42" i="7"/>
  <c r="K42" i="7"/>
  <c r="J42" i="7"/>
  <c r="AJ38" i="7"/>
  <c r="AJ42" i="7" s="1"/>
  <c r="AI38" i="7"/>
  <c r="AI42" i="7" s="1"/>
  <c r="AH38" i="7"/>
  <c r="AG38" i="7"/>
  <c r="AF38" i="7"/>
  <c r="AE38" i="7"/>
  <c r="AE42" i="7" s="1"/>
  <c r="AD38" i="7"/>
  <c r="AC38" i="7"/>
  <c r="AB38" i="7"/>
  <c r="AA36" i="7"/>
  <c r="Z36" i="7"/>
  <c r="Z42" i="7" s="1"/>
  <c r="Y36" i="7"/>
  <c r="Y42" i="7" s="1"/>
  <c r="X36" i="7"/>
  <c r="X42" i="7" s="1"/>
  <c r="W36" i="7"/>
  <c r="W42" i="7" s="1"/>
  <c r="V36" i="7"/>
  <c r="V42" i="7" s="1"/>
  <c r="U36" i="7"/>
  <c r="U42" i="7" s="1"/>
  <c r="T36" i="7"/>
  <c r="S36" i="7"/>
  <c r="S42" i="7" s="1"/>
  <c r="R36" i="7"/>
  <c r="R42" i="7" s="1"/>
  <c r="Q36" i="7"/>
  <c r="P36" i="7"/>
  <c r="O36" i="7"/>
  <c r="N36" i="7"/>
  <c r="M36" i="7"/>
  <c r="L36" i="7"/>
  <c r="K36" i="7"/>
  <c r="J36" i="7"/>
  <c r="K54" i="7" s="1"/>
  <c r="J32" i="7"/>
  <c r="J31" i="7"/>
  <c r="J143" i="7" s="1"/>
  <c r="C143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H29" i="7"/>
  <c r="G29" i="7"/>
  <c r="F29" i="7"/>
  <c r="E29" i="7"/>
  <c r="D29" i="7"/>
  <c r="C27" i="7"/>
  <c r="D24" i="7"/>
  <c r="D27" i="7" s="1"/>
  <c r="D28" i="7" s="1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A19" i="7"/>
  <c r="AJ16" i="7"/>
  <c r="AI16" i="7"/>
  <c r="AH16" i="7"/>
  <c r="AG16" i="7"/>
  <c r="AE16" i="7"/>
  <c r="AE43" i="7" s="1"/>
  <c r="AD16" i="7"/>
  <c r="AD43" i="7" s="1"/>
  <c r="J16" i="7"/>
  <c r="I16" i="7"/>
  <c r="I43" i="7" s="1"/>
  <c r="H16" i="7"/>
  <c r="H43" i="7" s="1"/>
  <c r="AJ15" i="7"/>
  <c r="AJ43" i="7" s="1"/>
  <c r="AI15" i="7"/>
  <c r="AI43" i="7" s="1"/>
  <c r="AH15" i="7"/>
  <c r="AG15" i="7"/>
  <c r="AG43" i="7" s="1"/>
  <c r="AF15" i="7"/>
  <c r="AF16" i="7" s="1"/>
  <c r="AE15" i="7"/>
  <c r="AD15" i="7"/>
  <c r="AC15" i="7"/>
  <c r="AC16" i="7" s="1"/>
  <c r="AB15" i="7"/>
  <c r="AB16" i="7" s="1"/>
  <c r="AA15" i="7"/>
  <c r="AA14" i="7" s="1"/>
  <c r="Z15" i="7"/>
  <c r="Y15" i="7"/>
  <c r="X15" i="7"/>
  <c r="W15" i="7"/>
  <c r="V15" i="7"/>
  <c r="U15" i="7"/>
  <c r="T15" i="7"/>
  <c r="S15" i="7"/>
  <c r="S16" i="7" s="1"/>
  <c r="R15" i="7"/>
  <c r="R16" i="7" s="1"/>
  <c r="Q15" i="7"/>
  <c r="Q16" i="7" s="1"/>
  <c r="Q43" i="7" s="1"/>
  <c r="P15" i="7"/>
  <c r="P14" i="7" s="1"/>
  <c r="O15" i="7"/>
  <c r="O16" i="7" s="1"/>
  <c r="O43" i="7" s="1"/>
  <c r="N15" i="7"/>
  <c r="N16" i="7" s="1"/>
  <c r="M15" i="7"/>
  <c r="M16" i="7" s="1"/>
  <c r="L15" i="7"/>
  <c r="L16" i="7" s="1"/>
  <c r="K15" i="7"/>
  <c r="K16" i="7" s="1"/>
  <c r="J15" i="7"/>
  <c r="I15" i="7"/>
  <c r="H15" i="7"/>
  <c r="G15" i="7"/>
  <c r="G16" i="7" s="1"/>
  <c r="F15" i="7"/>
  <c r="E15" i="7"/>
  <c r="D15" i="7"/>
  <c r="D16" i="7" s="1"/>
  <c r="C15" i="7"/>
  <c r="AJ14" i="7"/>
  <c r="AI14" i="7"/>
  <c r="AH14" i="7"/>
  <c r="AG14" i="7"/>
  <c r="AF14" i="7"/>
  <c r="AE14" i="7"/>
  <c r="AD14" i="7"/>
  <c r="O14" i="7"/>
  <c r="N14" i="7"/>
  <c r="M14" i="7"/>
  <c r="L14" i="7"/>
  <c r="K14" i="7"/>
  <c r="J14" i="7"/>
  <c r="I14" i="7"/>
  <c r="H14" i="7"/>
  <c r="G14" i="7"/>
  <c r="D6" i="7"/>
  <c r="D9" i="7" s="1"/>
  <c r="C6" i="7"/>
  <c r="C9" i="7" s="1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W23" i="6"/>
  <c r="W24" i="6" s="1"/>
  <c r="U23" i="6"/>
  <c r="U24" i="6" s="1"/>
  <c r="T23" i="6"/>
  <c r="T24" i="6" s="1"/>
  <c r="W21" i="6"/>
  <c r="V21" i="6"/>
  <c r="U21" i="6"/>
  <c r="T21" i="6"/>
  <c r="S21" i="6"/>
  <c r="R21" i="6"/>
  <c r="Q21" i="6"/>
  <c r="P21" i="6"/>
  <c r="O21" i="6"/>
  <c r="N21" i="6"/>
  <c r="M21" i="6"/>
  <c r="K21" i="6"/>
  <c r="H21" i="6"/>
  <c r="G21" i="6"/>
  <c r="F21" i="6"/>
  <c r="C21" i="6"/>
  <c r="W20" i="6"/>
  <c r="V20" i="6"/>
  <c r="U20" i="6"/>
  <c r="T20" i="6"/>
  <c r="S20" i="6"/>
  <c r="R20" i="6"/>
  <c r="Q20" i="6"/>
  <c r="P20" i="6"/>
  <c r="O20" i="6"/>
  <c r="N20" i="6"/>
  <c r="M20" i="6"/>
  <c r="L20" i="6"/>
  <c r="L21" i="6" s="1"/>
  <c r="K20" i="6"/>
  <c r="J20" i="6"/>
  <c r="J21" i="6" s="1"/>
  <c r="I20" i="6"/>
  <c r="I21" i="6" s="1"/>
  <c r="H20" i="6"/>
  <c r="G20" i="6"/>
  <c r="F20" i="6"/>
  <c r="E20" i="6"/>
  <c r="E21" i="6" s="1"/>
  <c r="D20" i="6"/>
  <c r="D21" i="6" s="1"/>
  <c r="C20" i="6"/>
  <c r="W18" i="6"/>
  <c r="S18" i="6"/>
  <c r="R18" i="6"/>
  <c r="Q18" i="6"/>
  <c r="P18" i="6"/>
  <c r="O18" i="6"/>
  <c r="N18" i="6"/>
  <c r="M18" i="6"/>
  <c r="L18" i="6"/>
  <c r="K18" i="6"/>
  <c r="I18" i="6"/>
  <c r="F18" i="6"/>
  <c r="E18" i="6"/>
  <c r="D18" i="6"/>
  <c r="W17" i="6"/>
  <c r="V17" i="6"/>
  <c r="V18" i="6" s="1"/>
  <c r="U17" i="6"/>
  <c r="U18" i="6" s="1"/>
  <c r="T17" i="6"/>
  <c r="T18" i="6" s="1"/>
  <c r="S17" i="6"/>
  <c r="R17" i="6"/>
  <c r="Q17" i="6"/>
  <c r="P17" i="6"/>
  <c r="O17" i="6"/>
  <c r="N17" i="6"/>
  <c r="M17" i="6"/>
  <c r="L17" i="6"/>
  <c r="K17" i="6"/>
  <c r="J17" i="6"/>
  <c r="J18" i="6" s="1"/>
  <c r="I17" i="6"/>
  <c r="H17" i="6"/>
  <c r="H18" i="6" s="1"/>
  <c r="G17" i="6"/>
  <c r="G18" i="6" s="1"/>
  <c r="F17" i="6"/>
  <c r="E17" i="6"/>
  <c r="D17" i="6"/>
  <c r="C17" i="6"/>
  <c r="C18" i="6" s="1"/>
  <c r="U15" i="6"/>
  <c r="T15" i="6"/>
  <c r="S15" i="6"/>
  <c r="R15" i="6"/>
  <c r="Q15" i="6"/>
  <c r="L15" i="6"/>
  <c r="K15" i="6"/>
  <c r="J15" i="6"/>
  <c r="I15" i="6"/>
  <c r="G15" i="6"/>
  <c r="D15" i="6"/>
  <c r="C15" i="6"/>
  <c r="W14" i="6"/>
  <c r="W15" i="6" s="1"/>
  <c r="V14" i="6"/>
  <c r="V15" i="6" s="1"/>
  <c r="U14" i="6"/>
  <c r="T14" i="6"/>
  <c r="S14" i="6"/>
  <c r="R14" i="6"/>
  <c r="Q14" i="6"/>
  <c r="P14" i="6"/>
  <c r="P15" i="6" s="1"/>
  <c r="O14" i="6"/>
  <c r="O15" i="6" s="1"/>
  <c r="N14" i="6"/>
  <c r="N15" i="6" s="1"/>
  <c r="M14" i="6"/>
  <c r="M15" i="6" s="1"/>
  <c r="L14" i="6"/>
  <c r="K14" i="6"/>
  <c r="J14" i="6"/>
  <c r="I14" i="6"/>
  <c r="H14" i="6"/>
  <c r="H15" i="6" s="1"/>
  <c r="G14" i="6"/>
  <c r="F14" i="6"/>
  <c r="F15" i="6" s="1"/>
  <c r="E14" i="6"/>
  <c r="E15" i="6" s="1"/>
  <c r="D14" i="6"/>
  <c r="C14" i="6"/>
  <c r="W12" i="6"/>
  <c r="V12" i="6"/>
  <c r="S12" i="6"/>
  <c r="R12" i="6"/>
  <c r="Q12" i="6"/>
  <c r="P12" i="6"/>
  <c r="O12" i="6"/>
  <c r="N12" i="6"/>
  <c r="M12" i="6"/>
  <c r="L12" i="6"/>
  <c r="J12" i="6"/>
  <c r="E12" i="6"/>
  <c r="W11" i="6"/>
  <c r="V11" i="6"/>
  <c r="U11" i="6"/>
  <c r="U12" i="6" s="1"/>
  <c r="T11" i="6"/>
  <c r="T12" i="6" s="1"/>
  <c r="S11" i="6"/>
  <c r="R11" i="6"/>
  <c r="Q11" i="6"/>
  <c r="P11" i="6"/>
  <c r="O11" i="6"/>
  <c r="N11" i="6"/>
  <c r="M11" i="6"/>
  <c r="L11" i="6"/>
  <c r="K11" i="6"/>
  <c r="K12" i="6" s="1"/>
  <c r="J11" i="6"/>
  <c r="I11" i="6"/>
  <c r="I12" i="6" s="1"/>
  <c r="H11" i="6"/>
  <c r="H12" i="6" s="1"/>
  <c r="G11" i="6"/>
  <c r="G12" i="6" s="1"/>
  <c r="F11" i="6"/>
  <c r="F12" i="6" s="1"/>
  <c r="E11" i="6"/>
  <c r="D11" i="6"/>
  <c r="D12" i="6" s="1"/>
  <c r="C11" i="6"/>
  <c r="C12" i="6" s="1"/>
  <c r="Q5" i="6"/>
  <c r="Q23" i="6" s="1"/>
  <c r="Q24" i="6" s="1"/>
  <c r="P5" i="6"/>
  <c r="P23" i="6" s="1"/>
  <c r="P24" i="6" s="1"/>
  <c r="O5" i="6"/>
  <c r="O23" i="6" s="1"/>
  <c r="O24" i="6" s="1"/>
  <c r="N5" i="6"/>
  <c r="N23" i="6" s="1"/>
  <c r="N24" i="6" s="1"/>
  <c r="M5" i="6"/>
  <c r="L5" i="6"/>
  <c r="L23" i="6" s="1"/>
  <c r="L24" i="6" s="1"/>
  <c r="K5" i="6"/>
  <c r="J5" i="6"/>
  <c r="I5" i="6"/>
  <c r="H5" i="6"/>
  <c r="G5" i="6"/>
  <c r="G23" i="6" s="1"/>
  <c r="G24" i="6" s="1"/>
  <c r="F5" i="6"/>
  <c r="E5" i="6"/>
  <c r="E23" i="6" s="1"/>
  <c r="E24" i="6" s="1"/>
  <c r="W4" i="6"/>
  <c r="W5" i="6" s="1"/>
  <c r="V4" i="6"/>
  <c r="V5" i="6" s="1"/>
  <c r="V23" i="6" s="1"/>
  <c r="V24" i="6" s="1"/>
  <c r="U4" i="6"/>
  <c r="U5" i="6" s="1"/>
  <c r="T4" i="6"/>
  <c r="T5" i="6" s="1"/>
  <c r="S4" i="6"/>
  <c r="S5" i="6" s="1"/>
  <c r="S23" i="6" s="1"/>
  <c r="S24" i="6" s="1"/>
  <c r="R4" i="6"/>
  <c r="R5" i="6" s="1"/>
  <c r="R23" i="6" s="1"/>
  <c r="R24" i="6" s="1"/>
  <c r="Q4" i="6"/>
  <c r="Q3" i="6" s="1"/>
  <c r="P4" i="6"/>
  <c r="P3" i="6" s="1"/>
  <c r="O4" i="6"/>
  <c r="O3" i="6" s="1"/>
  <c r="N4" i="6"/>
  <c r="M4" i="6"/>
  <c r="M3" i="6" s="1"/>
  <c r="L4" i="6"/>
  <c r="L3" i="6" s="1"/>
  <c r="K4" i="6"/>
  <c r="J4" i="6"/>
  <c r="J3" i="6" s="1"/>
  <c r="I4" i="6"/>
  <c r="I3" i="6" s="1"/>
  <c r="H4" i="6"/>
  <c r="G4" i="6"/>
  <c r="G3" i="6" s="1"/>
  <c r="F4" i="6"/>
  <c r="F3" i="6" s="1"/>
  <c r="E4" i="6"/>
  <c r="E3" i="6" s="1"/>
  <c r="D4" i="6"/>
  <c r="D5" i="6" s="1"/>
  <c r="D23" i="6" s="1"/>
  <c r="D24" i="6" s="1"/>
  <c r="C4" i="6"/>
  <c r="C5" i="6" s="1"/>
  <c r="B4" i="6"/>
  <c r="B5" i="6" s="1"/>
  <c r="W3" i="6"/>
  <c r="V3" i="6"/>
  <c r="S3" i="6"/>
  <c r="R3" i="6"/>
  <c r="N3" i="6"/>
  <c r="K3" i="6"/>
  <c r="H3" i="6"/>
  <c r="D3" i="6"/>
  <c r="C3" i="6"/>
  <c r="S14" i="7" l="1"/>
  <c r="R14" i="7"/>
  <c r="Q14" i="7"/>
  <c r="P16" i="7"/>
  <c r="P43" i="7" s="1"/>
  <c r="L144" i="7"/>
  <c r="C50" i="7"/>
  <c r="E174" i="7"/>
  <c r="E176" i="7" s="1"/>
  <c r="E179" i="7" s="1"/>
  <c r="F174" i="7"/>
  <c r="AA72" i="10"/>
  <c r="G6" i="9"/>
  <c r="G8" i="9"/>
  <c r="G9" i="9"/>
  <c r="C162" i="7"/>
  <c r="C174" i="7"/>
  <c r="C176" i="7" s="1"/>
  <c r="C179" i="7" s="1"/>
  <c r="G14" i="9"/>
  <c r="G5" i="9"/>
  <c r="M75" i="10"/>
  <c r="D176" i="7"/>
  <c r="D179" i="7" s="1"/>
  <c r="G7" i="9"/>
  <c r="J144" i="7"/>
  <c r="J150" i="7" s="1"/>
  <c r="K144" i="7"/>
  <c r="K150" i="7" s="1"/>
  <c r="H176" i="7"/>
  <c r="H179" i="7" s="1"/>
  <c r="G10" i="9"/>
  <c r="G11" i="9"/>
  <c r="E7" i="10"/>
  <c r="D162" i="7"/>
  <c r="E162" i="7"/>
  <c r="AA73" i="10"/>
  <c r="W84" i="10"/>
  <c r="Y84" i="10" s="1"/>
  <c r="K4" i="10"/>
  <c r="L90" i="10" s="1"/>
  <c r="L92" i="10" s="1"/>
  <c r="L93" i="10" s="1"/>
  <c r="I176" i="7"/>
  <c r="I179" i="7" s="1"/>
  <c r="C5" i="10"/>
  <c r="D5" i="10" s="1"/>
  <c r="M81" i="10"/>
  <c r="Y87" i="10"/>
  <c r="W87" i="10" s="1"/>
  <c r="W88" i="10" s="1"/>
  <c r="F5" i="10"/>
  <c r="G5" i="10"/>
  <c r="H5" i="10" s="1"/>
  <c r="H116" i="7"/>
  <c r="H119" i="7" s="1"/>
  <c r="H121" i="7" s="1"/>
  <c r="H123" i="7" s="1"/>
  <c r="F4" i="10"/>
  <c r="K74" i="10" s="1"/>
  <c r="M74" i="10" s="1"/>
  <c r="I73" i="7"/>
  <c r="I40" i="7"/>
  <c r="I36" i="7"/>
  <c r="C154" i="7"/>
  <c r="C157" i="7"/>
  <c r="C155" i="7"/>
  <c r="AB70" i="10"/>
  <c r="G78" i="7"/>
  <c r="E43" i="7"/>
  <c r="I76" i="7"/>
  <c r="M37" i="10"/>
  <c r="M39" i="10" s="1"/>
  <c r="C16" i="7"/>
  <c r="C43" i="7" s="1"/>
  <c r="L39" i="10"/>
  <c r="AF46" i="7"/>
  <c r="AF42" i="7"/>
  <c r="K82" i="10"/>
  <c r="M82" i="10" s="1"/>
  <c r="M56" i="7"/>
  <c r="H78" i="7"/>
  <c r="W16" i="7"/>
  <c r="W43" i="7" s="1"/>
  <c r="W14" i="7"/>
  <c r="N29" i="10"/>
  <c r="AG42" i="7"/>
  <c r="AG46" i="7"/>
  <c r="I150" i="7"/>
  <c r="H76" i="7"/>
  <c r="AH42" i="7"/>
  <c r="AH46" i="7"/>
  <c r="F78" i="7"/>
  <c r="U16" i="7"/>
  <c r="U43" i="7" s="1"/>
  <c r="U14" i="7"/>
  <c r="D50" i="7"/>
  <c r="D36" i="7" s="1"/>
  <c r="D44" i="7"/>
  <c r="X16" i="7"/>
  <c r="X14" i="7"/>
  <c r="X43" i="7"/>
  <c r="D10" i="7"/>
  <c r="E79" i="7"/>
  <c r="E50" i="7"/>
  <c r="E41" i="7" s="1"/>
  <c r="E44" i="7"/>
  <c r="M32" i="10"/>
  <c r="AB71" i="10"/>
  <c r="E93" i="10"/>
  <c r="F41" i="7"/>
  <c r="F76" i="7" s="1"/>
  <c r="V16" i="7"/>
  <c r="V14" i="7"/>
  <c r="V43" i="7"/>
  <c r="C41" i="7"/>
  <c r="C40" i="7"/>
  <c r="C36" i="7"/>
  <c r="C38" i="7"/>
  <c r="Z43" i="7"/>
  <c r="H50" i="7"/>
  <c r="H40" i="7" s="1"/>
  <c r="T3" i="6"/>
  <c r="C150" i="7"/>
  <c r="F79" i="7"/>
  <c r="F44" i="7"/>
  <c r="F50" i="7"/>
  <c r="F40" i="7" s="1"/>
  <c r="J174" i="7"/>
  <c r="G50" i="7"/>
  <c r="G40" i="7" s="1"/>
  <c r="G79" i="7"/>
  <c r="G44" i="7"/>
  <c r="T14" i="7"/>
  <c r="T16" i="7"/>
  <c r="T43" i="7" s="1"/>
  <c r="I78" i="7"/>
  <c r="I38" i="7"/>
  <c r="I74" i="7"/>
  <c r="N56" i="7"/>
  <c r="B44" i="7"/>
  <c r="Y16" i="7"/>
  <c r="Y14" i="7"/>
  <c r="Y43" i="7"/>
  <c r="M73" i="10"/>
  <c r="M54" i="7"/>
  <c r="H44" i="7"/>
  <c r="H79" i="7"/>
  <c r="D41" i="7"/>
  <c r="C23" i="6"/>
  <c r="C24" i="6" s="1"/>
  <c r="C153" i="7"/>
  <c r="L32" i="10"/>
  <c r="N32" i="10" s="1"/>
  <c r="K23" i="6"/>
  <c r="K24" i="6" s="1"/>
  <c r="B6" i="10"/>
  <c r="F41" i="10"/>
  <c r="D57" i="10"/>
  <c r="K57" i="10" s="1"/>
  <c r="W74" i="10"/>
  <c r="Y74" i="10" s="1"/>
  <c r="Y75" i="10" s="1"/>
  <c r="W75" i="10" s="1"/>
  <c r="W76" i="10" s="1"/>
  <c r="D83" i="10"/>
  <c r="Z16" i="7"/>
  <c r="Z14" i="7"/>
  <c r="C54" i="10"/>
  <c r="N38" i="10"/>
  <c r="C4" i="10"/>
  <c r="C99" i="10"/>
  <c r="E99" i="10" s="1"/>
  <c r="E100" i="10" s="1"/>
  <c r="M79" i="10"/>
  <c r="B33" i="13"/>
  <c r="J23" i="6"/>
  <c r="J24" i="6" s="1"/>
  <c r="I144" i="7"/>
  <c r="I155" i="7" s="1"/>
  <c r="C72" i="10"/>
  <c r="Z74" i="10"/>
  <c r="L43" i="7"/>
  <c r="AH43" i="7"/>
  <c r="K80" i="10"/>
  <c r="M80" i="10" s="1"/>
  <c r="C80" i="10"/>
  <c r="L83" i="10"/>
  <c r="K99" i="10"/>
  <c r="M99" i="10" s="1"/>
  <c r="M100" i="10" s="1"/>
  <c r="E144" i="7"/>
  <c r="E150" i="7" s="1"/>
  <c r="I23" i="6"/>
  <c r="I24" i="6" s="1"/>
  <c r="AA16" i="7"/>
  <c r="AA43" i="7" s="1"/>
  <c r="H144" i="7"/>
  <c r="H155" i="7" s="1"/>
  <c r="AJ46" i="7"/>
  <c r="K96" i="10"/>
  <c r="M96" i="10" s="1"/>
  <c r="C96" i="10"/>
  <c r="E96" i="10" s="1"/>
  <c r="H16" i="10"/>
  <c r="L76" i="10"/>
  <c r="L77" i="10" s="1"/>
  <c r="L99" i="10"/>
  <c r="I41" i="7"/>
  <c r="F144" i="7"/>
  <c r="F155" i="7" s="1"/>
  <c r="AI46" i="7"/>
  <c r="V74" i="10"/>
  <c r="X74" i="10" s="1"/>
  <c r="C83" i="10"/>
  <c r="E83" i="10" s="1"/>
  <c r="E84" i="10" s="1"/>
  <c r="G176" i="7"/>
  <c r="G179" i="7" s="1"/>
  <c r="C44" i="7"/>
  <c r="N43" i="7"/>
  <c r="F12" i="10"/>
  <c r="M89" i="10"/>
  <c r="B53" i="11"/>
  <c r="C41" i="11" s="1"/>
  <c r="C44" i="11" s="1"/>
  <c r="C53" i="11" s="1"/>
  <c r="D41" i="11" s="1"/>
  <c r="D44" i="11" s="1"/>
  <c r="D53" i="11" s="1"/>
  <c r="E41" i="11" s="1"/>
  <c r="E44" i="11" s="1"/>
  <c r="E53" i="11" s="1"/>
  <c r="F41" i="11" s="1"/>
  <c r="F44" i="11" s="1"/>
  <c r="F53" i="11" s="1"/>
  <c r="G41" i="11" s="1"/>
  <c r="G44" i="11" s="1"/>
  <c r="G53" i="11" s="1"/>
  <c r="H41" i="11" s="1"/>
  <c r="H44" i="11" s="1"/>
  <c r="H53" i="11" s="1"/>
  <c r="I41" i="11" s="1"/>
  <c r="I44" i="11" s="1"/>
  <c r="I53" i="11" s="1"/>
  <c r="J41" i="11" s="1"/>
  <c r="J44" i="11" s="1"/>
  <c r="J53" i="11" s="1"/>
  <c r="K41" i="11" s="1"/>
  <c r="K44" i="11" s="1"/>
  <c r="K53" i="11" s="1"/>
  <c r="L41" i="11" s="1"/>
  <c r="L44" i="11" s="1"/>
  <c r="L53" i="11" s="1"/>
  <c r="F23" i="6"/>
  <c r="F24" i="6" s="1"/>
  <c r="AC43" i="7"/>
  <c r="N15" i="10"/>
  <c r="K43" i="7"/>
  <c r="E16" i="7"/>
  <c r="I75" i="7"/>
  <c r="H150" i="7"/>
  <c r="H153" i="7"/>
  <c r="H6" i="10"/>
  <c r="H25" i="10" s="1"/>
  <c r="G12" i="10"/>
  <c r="D99" i="10"/>
  <c r="B33" i="12"/>
  <c r="C22" i="12" s="1"/>
  <c r="C25" i="12" s="1"/>
  <c r="C33" i="12" s="1"/>
  <c r="D22" i="12" s="1"/>
  <c r="D25" i="12" s="1"/>
  <c r="D33" i="12" s="1"/>
  <c r="E22" i="12" s="1"/>
  <c r="E25" i="12" s="1"/>
  <c r="E33" i="12" s="1"/>
  <c r="F22" i="12" s="1"/>
  <c r="F25" i="12" s="1"/>
  <c r="F33" i="12" s="1"/>
  <c r="G22" i="12" s="1"/>
  <c r="G25" i="12" s="1"/>
  <c r="G33" i="12" s="1"/>
  <c r="H22" i="12" s="1"/>
  <c r="H25" i="12" s="1"/>
  <c r="H33" i="12" s="1"/>
  <c r="I22" i="12" s="1"/>
  <c r="I25" i="12" s="1"/>
  <c r="I33" i="12" s="1"/>
  <c r="J22" i="12" s="1"/>
  <c r="J25" i="12" s="1"/>
  <c r="J33" i="12" s="1"/>
  <c r="K22" i="12" s="1"/>
  <c r="K25" i="12" s="1"/>
  <c r="K33" i="12" s="1"/>
  <c r="L22" i="12" s="1"/>
  <c r="L25" i="12" s="1"/>
  <c r="L33" i="12" s="1"/>
  <c r="F176" i="7"/>
  <c r="F179" i="7" s="1"/>
  <c r="D144" i="7"/>
  <c r="D155" i="7" s="1"/>
  <c r="H23" i="6"/>
  <c r="H24" i="6" s="1"/>
  <c r="B72" i="12"/>
  <c r="C61" i="12" s="1"/>
  <c r="C64" i="12" s="1"/>
  <c r="C72" i="12" s="1"/>
  <c r="D61" i="12" s="1"/>
  <c r="D64" i="12" s="1"/>
  <c r="D72" i="12" s="1"/>
  <c r="E61" i="12" s="1"/>
  <c r="E64" i="12" s="1"/>
  <c r="E72" i="12" s="1"/>
  <c r="F61" i="12" s="1"/>
  <c r="F64" i="12" s="1"/>
  <c r="F72" i="12" s="1"/>
  <c r="G61" i="12" s="1"/>
  <c r="G64" i="12" s="1"/>
  <c r="G72" i="12" s="1"/>
  <c r="H61" i="12" s="1"/>
  <c r="H64" i="12" s="1"/>
  <c r="H72" i="12" s="1"/>
  <c r="I61" i="12" s="1"/>
  <c r="I64" i="12" s="1"/>
  <c r="I72" i="12" s="1"/>
  <c r="J61" i="12" s="1"/>
  <c r="J64" i="12" s="1"/>
  <c r="J72" i="12" s="1"/>
  <c r="K61" i="12" s="1"/>
  <c r="K64" i="12" s="1"/>
  <c r="K72" i="12" s="1"/>
  <c r="L61" i="12" s="1"/>
  <c r="L64" i="12" s="1"/>
  <c r="L72" i="12" s="1"/>
  <c r="C156" i="7"/>
  <c r="AC14" i="7"/>
  <c r="D43" i="7"/>
  <c r="J6" i="10"/>
  <c r="AB14" i="7"/>
  <c r="AB43" i="7"/>
  <c r="G43" i="7"/>
  <c r="AF43" i="7"/>
  <c r="N31" i="10"/>
  <c r="O31" i="10" s="1"/>
  <c r="M43" i="7"/>
  <c r="V85" i="10"/>
  <c r="X85" i="10" s="1"/>
  <c r="J78" i="7"/>
  <c r="F14" i="7"/>
  <c r="G144" i="7"/>
  <c r="G153" i="7" s="1"/>
  <c r="J43" i="7"/>
  <c r="M23" i="6"/>
  <c r="M24" i="6" s="1"/>
  <c r="F16" i="7"/>
  <c r="F43" i="7" s="1"/>
  <c r="I80" i="7"/>
  <c r="L150" i="7"/>
  <c r="B72" i="11"/>
  <c r="C61" i="11" s="1"/>
  <c r="C64" i="11" s="1"/>
  <c r="C72" i="11" s="1"/>
  <c r="D61" i="11" s="1"/>
  <c r="D64" i="11" s="1"/>
  <c r="D72" i="11" s="1"/>
  <c r="E61" i="11" s="1"/>
  <c r="E64" i="11" s="1"/>
  <c r="E72" i="11" s="1"/>
  <c r="F61" i="11" s="1"/>
  <c r="F64" i="11" s="1"/>
  <c r="F72" i="11" s="1"/>
  <c r="G61" i="11" s="1"/>
  <c r="G64" i="11" s="1"/>
  <c r="G72" i="11" s="1"/>
  <c r="H61" i="11" s="1"/>
  <c r="H64" i="11" s="1"/>
  <c r="H72" i="11" s="1"/>
  <c r="I61" i="11" s="1"/>
  <c r="I64" i="11" s="1"/>
  <c r="I72" i="11" s="1"/>
  <c r="J61" i="11" s="1"/>
  <c r="J64" i="11" s="1"/>
  <c r="J72" i="11" s="1"/>
  <c r="K61" i="11" s="1"/>
  <c r="K64" i="11" s="1"/>
  <c r="K72" i="11" s="1"/>
  <c r="L61" i="11" s="1"/>
  <c r="L64" i="11" s="1"/>
  <c r="L72" i="11" s="1"/>
  <c r="E95" i="10"/>
  <c r="K114" i="7"/>
  <c r="M95" i="10"/>
  <c r="J5" i="10"/>
  <c r="X72" i="10"/>
  <c r="AB72" i="10" s="1"/>
  <c r="U3" i="6"/>
  <c r="F153" i="7" l="1"/>
  <c r="I24" i="10"/>
  <c r="I26" i="10" s="1"/>
  <c r="J45" i="7"/>
  <c r="H157" i="7"/>
  <c r="I157" i="7"/>
  <c r="G4" i="10"/>
  <c r="H4" i="10" s="1"/>
  <c r="H24" i="10" s="1"/>
  <c r="H26" i="10" s="1"/>
  <c r="D157" i="7"/>
  <c r="F38" i="7"/>
  <c r="F157" i="7"/>
  <c r="G38" i="7"/>
  <c r="G75" i="7"/>
  <c r="E153" i="7"/>
  <c r="E156" i="7"/>
  <c r="F49" i="10"/>
  <c r="F48" i="10"/>
  <c r="F43" i="10"/>
  <c r="F50" i="10"/>
  <c r="F42" i="10"/>
  <c r="F47" i="10"/>
  <c r="F51" i="10"/>
  <c r="F46" i="10"/>
  <c r="F52" i="10" s="1"/>
  <c r="H73" i="7"/>
  <c r="G36" i="7"/>
  <c r="G73" i="7" s="1"/>
  <c r="H74" i="7"/>
  <c r="K76" i="10"/>
  <c r="E157" i="7"/>
  <c r="I156" i="7"/>
  <c r="I154" i="7"/>
  <c r="C42" i="7"/>
  <c r="L6" i="10"/>
  <c r="J4" i="10"/>
  <c r="G156" i="7"/>
  <c r="G155" i="7"/>
  <c r="G154" i="7"/>
  <c r="D38" i="7"/>
  <c r="D40" i="7"/>
  <c r="D42" i="7" s="1"/>
  <c r="F156" i="7"/>
  <c r="N37" i="10"/>
  <c r="G150" i="7"/>
  <c r="F75" i="7"/>
  <c r="D154" i="7"/>
  <c r="D150" i="7"/>
  <c r="G157" i="7"/>
  <c r="D153" i="7"/>
  <c r="O54" i="7"/>
  <c r="J79" i="7"/>
  <c r="J50" i="7"/>
  <c r="J73" i="7" s="1"/>
  <c r="E154" i="7"/>
  <c r="H38" i="7"/>
  <c r="C76" i="10"/>
  <c r="E72" i="10"/>
  <c r="I153" i="7"/>
  <c r="E36" i="7"/>
  <c r="I42" i="7"/>
  <c r="E80" i="10"/>
  <c r="V73" i="10"/>
  <c r="X73" i="10" s="1"/>
  <c r="AB73" i="10" s="1"/>
  <c r="F150" i="7"/>
  <c r="F154" i="7"/>
  <c r="B4" i="10"/>
  <c r="D4" i="10" s="1"/>
  <c r="C41" i="10" s="1"/>
  <c r="D6" i="10"/>
  <c r="H36" i="7"/>
  <c r="Z75" i="10"/>
  <c r="AA74" i="10"/>
  <c r="AA75" i="10" s="1"/>
  <c r="L5" i="10"/>
  <c r="V84" i="10"/>
  <c r="X84" i="10" s="1"/>
  <c r="X87" i="10" s="1"/>
  <c r="V87" i="10" s="1"/>
  <c r="V88" i="10" s="1"/>
  <c r="V89" i="10" s="1"/>
  <c r="V90" i="10" s="1"/>
  <c r="G41" i="7"/>
  <c r="G76" i="7" s="1"/>
  <c r="H75" i="7"/>
  <c r="H156" i="7"/>
  <c r="H154" i="7"/>
  <c r="K83" i="10"/>
  <c r="M83" i="10" s="1"/>
  <c r="M84" i="10" s="1"/>
  <c r="N39" i="10"/>
  <c r="E155" i="7"/>
  <c r="E38" i="7"/>
  <c r="E40" i="7"/>
  <c r="F36" i="7"/>
  <c r="F73" i="7" s="1"/>
  <c r="H41" i="7"/>
  <c r="D156" i="7"/>
  <c r="D41" i="10" l="1"/>
  <c r="AB74" i="10"/>
  <c r="X75" i="10"/>
  <c r="V75" i="10" s="1"/>
  <c r="V76" i="10" s="1"/>
  <c r="V77" i="10" s="1"/>
  <c r="V78" i="10" s="1"/>
  <c r="E42" i="7"/>
  <c r="H42" i="7"/>
  <c r="G41" i="10"/>
  <c r="E76" i="10"/>
  <c r="C77" i="10"/>
  <c r="E77" i="10" s="1"/>
  <c r="D49" i="10"/>
  <c r="D48" i="10"/>
  <c r="D43" i="10"/>
  <c r="D47" i="10"/>
  <c r="D50" i="10"/>
  <c r="D42" i="10"/>
  <c r="D51" i="10"/>
  <c r="D46" i="10"/>
  <c r="D52" i="10" s="1"/>
  <c r="F42" i="7"/>
  <c r="K90" i="10"/>
  <c r="L4" i="10"/>
  <c r="F44" i="10"/>
  <c r="J75" i="7"/>
  <c r="K45" i="7"/>
  <c r="J76" i="7"/>
  <c r="J74" i="7"/>
  <c r="G42" i="7"/>
  <c r="M76" i="10"/>
  <c r="K77" i="10"/>
  <c r="M77" i="10" s="1"/>
  <c r="C46" i="10"/>
  <c r="C52" i="10" s="1"/>
  <c r="C49" i="10"/>
  <c r="C43" i="10"/>
  <c r="C50" i="10"/>
  <c r="C42" i="10"/>
  <c r="C48" i="10"/>
  <c r="C47" i="10"/>
  <c r="C51" i="10"/>
  <c r="G46" i="10" l="1"/>
  <c r="G52" i="10" s="1"/>
  <c r="G51" i="10"/>
  <c r="G49" i="10"/>
  <c r="G43" i="10"/>
  <c r="G50" i="10"/>
  <c r="G42" i="10"/>
  <c r="G48" i="10"/>
  <c r="G47" i="10"/>
  <c r="E41" i="10"/>
  <c r="L11" i="10"/>
  <c r="M11" i="10" s="1"/>
  <c r="D44" i="10"/>
  <c r="M90" i="10"/>
  <c r="K92" i="10"/>
  <c r="C44" i="10"/>
  <c r="G44" i="10" l="1"/>
  <c r="M92" i="10"/>
  <c r="K93" i="10"/>
  <c r="M93" i="10" s="1"/>
  <c r="E49" i="10"/>
  <c r="E48" i="10"/>
  <c r="E50" i="10"/>
  <c r="E47" i="10"/>
  <c r="E42" i="10"/>
  <c r="E51" i="10"/>
  <c r="E43" i="10"/>
  <c r="E44" i="10" s="1"/>
  <c r="E46" i="10"/>
  <c r="E52" i="10" s="1"/>
  <c r="J161" i="7" l="1"/>
  <c r="J162" i="7" s="1"/>
  <c r="J167" i="7"/>
  <c r="J169" i="7" s="1"/>
  <c r="J176" i="7" s="1"/>
  <c r="J179" i="7" s="1"/>
  <c r="M4" i="10" l="1"/>
  <c r="C16" i="9"/>
  <c r="G16" i="9" s="1"/>
  <c r="J163" i="7"/>
  <c r="M7" i="10" l="1"/>
  <c r="H41" i="10"/>
  <c r="H43" i="10" l="1"/>
  <c r="H42" i="10"/>
  <c r="H49" i="10"/>
  <c r="H51" i="10"/>
  <c r="H50" i="10"/>
  <c r="H48" i="10"/>
  <c r="H46" i="10"/>
  <c r="H52" i="10" s="1"/>
  <c r="H47" i="10"/>
  <c r="H44" i="10" l="1"/>
  <c r="J81" i="7" l="1"/>
  <c r="I81" i="7"/>
  <c r="H81" i="7"/>
  <c r="G81" i="7"/>
  <c r="F81" i="7"/>
  <c r="E81" i="7"/>
  <c r="H49" i="7" l="1"/>
  <c r="G49" i="7"/>
  <c r="C49" i="7"/>
  <c r="D49" i="7" l="1"/>
  <c r="F49" i="7"/>
  <c r="I49" i="7" l="1"/>
  <c r="E49" i="7"/>
  <c r="J49" i="7" l="1"/>
  <c r="K49" i="7" l="1"/>
  <c r="K48" i="7" s="1"/>
  <c r="K50" i="7" s="1"/>
  <c r="K76" i="7" l="1"/>
  <c r="K73" i="7"/>
  <c r="K75" i="7"/>
  <c r="K74" i="7"/>
  <c r="L45" i="7"/>
  <c r="K51" i="7"/>
  <c r="L49" i="7" l="1"/>
  <c r="L48" i="7" s="1"/>
  <c r="L50" i="7" l="1"/>
  <c r="L76" i="7"/>
  <c r="M45" i="7" l="1"/>
  <c r="L51" i="7"/>
  <c r="L75" i="7"/>
  <c r="L74" i="7"/>
  <c r="L73" i="7"/>
  <c r="M49" i="7" l="1"/>
  <c r="M48" i="7" s="1"/>
  <c r="M50" i="7" l="1"/>
  <c r="M76" i="7" s="1"/>
  <c r="M51" i="7" l="1"/>
  <c r="M75" i="7"/>
  <c r="N45" i="7"/>
  <c r="M74" i="7"/>
  <c r="M73" i="7"/>
  <c r="N49" i="7" l="1"/>
  <c r="N48" i="7" s="1"/>
  <c r="N50" i="7" s="1"/>
  <c r="N76" i="7" l="1"/>
  <c r="N75" i="7"/>
  <c r="N74" i="7"/>
  <c r="O45" i="7"/>
  <c r="N73" i="7"/>
  <c r="O49" i="7" l="1"/>
  <c r="O48" i="7" s="1"/>
  <c r="O50" i="7" l="1"/>
  <c r="O75" i="7" l="1"/>
  <c r="O74" i="7"/>
  <c r="P45" i="7"/>
  <c r="O73" i="7"/>
  <c r="O76" i="7"/>
  <c r="P49" i="7" l="1"/>
  <c r="P48" i="7" s="1"/>
  <c r="P50" i="7" l="1"/>
  <c r="P74" i="7" l="1"/>
  <c r="Q45" i="7"/>
  <c r="P51" i="7"/>
  <c r="P75" i="7"/>
  <c r="P73" i="7"/>
  <c r="P76" i="7"/>
  <c r="Q49" i="7" l="1"/>
  <c r="Q48" i="7" s="1"/>
  <c r="Q50" i="7" l="1"/>
  <c r="Q51" i="7" l="1"/>
  <c r="R45" i="7"/>
  <c r="Q74" i="7"/>
  <c r="Q75" i="7"/>
  <c r="Q73" i="7"/>
  <c r="Q76" i="7"/>
  <c r="R49" i="7" l="1"/>
  <c r="R48" i="7" s="1"/>
  <c r="R50" i="7" l="1"/>
  <c r="R51" i="7" l="1"/>
  <c r="R75" i="7"/>
  <c r="R74" i="7"/>
  <c r="S45" i="7"/>
  <c r="R73" i="7"/>
  <c r="R76" i="7"/>
  <c r="S49" i="7" l="1"/>
  <c r="S48" i="7" s="1"/>
  <c r="S50" i="7" l="1"/>
  <c r="S51" i="7" l="1"/>
  <c r="T45" i="7"/>
  <c r="S74" i="7"/>
  <c r="S75" i="7"/>
  <c r="S73" i="7"/>
  <c r="S76" i="7"/>
  <c r="T49" i="7" l="1"/>
  <c r="T48" i="7" s="1"/>
  <c r="T50" i="7" l="1"/>
  <c r="U45" i="7" l="1"/>
  <c r="T51" i="7"/>
  <c r="T75" i="7"/>
  <c r="T74" i="7"/>
  <c r="T73" i="7"/>
  <c r="T76" i="7"/>
  <c r="U49" i="7" l="1"/>
  <c r="U48" i="7" s="1"/>
  <c r="U50" i="7" s="1"/>
  <c r="U76" i="7" l="1"/>
  <c r="V45" i="7"/>
  <c r="U74" i="7"/>
  <c r="U51" i="7"/>
  <c r="U75" i="7"/>
  <c r="U73" i="7"/>
  <c r="V49" i="7" l="1"/>
  <c r="V48" i="7" s="1"/>
  <c r="V50" i="7" l="1"/>
  <c r="V76" i="7"/>
  <c r="W45" i="7" l="1"/>
  <c r="V75" i="7"/>
  <c r="V74" i="7"/>
  <c r="V51" i="7"/>
  <c r="V73" i="7"/>
  <c r="W49" i="7" l="1"/>
  <c r="W48" i="7" s="1"/>
  <c r="W50" i="7" s="1"/>
  <c r="W76" i="7" l="1"/>
  <c r="X45" i="7"/>
  <c r="W51" i="7"/>
  <c r="W74" i="7"/>
  <c r="W75" i="7"/>
  <c r="W73" i="7"/>
  <c r="X49" i="7" l="1"/>
  <c r="X48" i="7" s="1"/>
  <c r="X50" i="7" l="1"/>
  <c r="X51" i="7" l="1"/>
  <c r="X74" i="7"/>
  <c r="X75" i="7"/>
  <c r="Y45" i="7"/>
  <c r="X73" i="7"/>
  <c r="X76" i="7"/>
  <c r="Y49" i="7" l="1"/>
  <c r="Y48" i="7" s="1"/>
  <c r="Y50" i="7" s="1"/>
  <c r="Y76" i="7" l="1"/>
  <c r="Y75" i="7"/>
  <c r="Y51" i="7"/>
  <c r="Z45" i="7"/>
  <c r="Y74" i="7"/>
  <c r="Y73" i="7"/>
  <c r="Z49" i="7" l="1"/>
  <c r="Z48" i="7" s="1"/>
  <c r="Z50" i="7" l="1"/>
  <c r="Z74" i="7" l="1"/>
  <c r="AA45" i="7"/>
  <c r="Z51" i="7"/>
  <c r="Z75" i="7"/>
  <c r="Z73" i="7"/>
  <c r="Z76" i="7"/>
  <c r="AA49" i="7" l="1"/>
  <c r="AA48" i="7" s="1"/>
  <c r="AA50" i="7" l="1"/>
  <c r="AA51" i="7" l="1"/>
  <c r="AA74" i="7"/>
  <c r="AA75" i="7"/>
  <c r="AB45" i="7"/>
  <c r="AA73" i="7"/>
  <c r="AA76" i="7"/>
  <c r="AB49" i="7" l="1"/>
  <c r="AB48" i="7" s="1"/>
  <c r="AB50" i="7" l="1"/>
  <c r="AC45" i="7" l="1"/>
  <c r="AB51" i="7"/>
  <c r="AB74" i="7"/>
  <c r="AB75" i="7"/>
  <c r="AB73" i="7"/>
  <c r="AB76" i="7"/>
  <c r="AC49" i="7" l="1"/>
  <c r="AC48" i="7" s="1"/>
  <c r="AC50" i="7" l="1"/>
  <c r="AD45" i="7" l="1"/>
  <c r="AC51" i="7"/>
  <c r="AC75" i="7"/>
  <c r="AC74" i="7"/>
  <c r="AC73" i="7"/>
  <c r="AC76" i="7"/>
  <c r="AD49" i="7" l="1"/>
  <c r="AD48" i="7" s="1"/>
  <c r="AD50" i="7" l="1"/>
  <c r="AE45" i="7" l="1"/>
  <c r="AD51" i="7"/>
  <c r="AD75" i="7"/>
  <c r="AD74" i="7"/>
  <c r="AD73" i="7"/>
  <c r="AD76" i="7"/>
  <c r="AE49" i="7" l="1"/>
  <c r="AE48" i="7" s="1"/>
  <c r="AE50" i="7" l="1"/>
  <c r="AF45" i="7" l="1"/>
  <c r="AE51" i="7"/>
  <c r="AE75" i="7"/>
  <c r="AE74" i="7"/>
  <c r="AE73" i="7"/>
  <c r="AE76" i="7"/>
  <c r="AF49" i="7" l="1"/>
  <c r="AF48" i="7" s="1"/>
  <c r="AF50" i="7" s="1"/>
  <c r="AF76" i="7" l="1"/>
  <c r="AG45" i="7"/>
  <c r="AF75" i="7"/>
  <c r="AF74" i="7"/>
  <c r="AF51" i="7"/>
  <c r="AF73" i="7"/>
  <c r="AG49" i="7" l="1"/>
  <c r="AG48" i="7" s="1"/>
  <c r="AG50" i="7" l="1"/>
  <c r="AH45" i="7" l="1"/>
  <c r="AG51" i="7"/>
  <c r="AG75" i="7"/>
  <c r="AG74" i="7"/>
  <c r="AG73" i="7"/>
  <c r="AG76" i="7"/>
  <c r="AH49" i="7" l="1"/>
  <c r="AH48" i="7" s="1"/>
  <c r="AH50" i="7" l="1"/>
  <c r="AI45" i="7" l="1"/>
  <c r="AH51" i="7"/>
  <c r="AH75" i="7"/>
  <c r="AH74" i="7"/>
  <c r="AH73" i="7"/>
  <c r="AH76" i="7"/>
  <c r="AI49" i="7" l="1"/>
  <c r="AI48" i="7" s="1"/>
  <c r="AI50" i="7" s="1"/>
  <c r="AI76" i="7" l="1"/>
  <c r="AJ45" i="7"/>
  <c r="AI51" i="7"/>
  <c r="AI75" i="7"/>
  <c r="AI74" i="7"/>
  <c r="AI73" i="7"/>
  <c r="AJ49" i="7" l="1"/>
  <c r="AJ48" i="7" s="1"/>
  <c r="AJ50" i="7" l="1"/>
  <c r="AJ51" i="7" l="1"/>
  <c r="AJ74" i="7"/>
  <c r="AJ75" i="7"/>
  <c r="AJ73" i="7"/>
  <c r="AJ76" i="7"/>
</calcChain>
</file>

<file path=xl/sharedStrings.xml><?xml version="1.0" encoding="utf-8"?>
<sst xmlns="http://schemas.openxmlformats.org/spreadsheetml/2006/main" count="782" uniqueCount="209">
  <si>
    <t>D4 RIN Generation (gals)</t>
  </si>
  <si>
    <t>D5 RIN Generation</t>
  </si>
  <si>
    <t>D5 in Gallons</t>
  </si>
  <si>
    <t>D6 RIN Generation (E10-E15 &amp; E85)</t>
  </si>
  <si>
    <t>D3 RIN Generation</t>
  </si>
  <si>
    <t>Advanced Mandate</t>
  </si>
  <si>
    <t>Change in Total</t>
  </si>
  <si>
    <t>Percent Change</t>
  </si>
  <si>
    <t>Change in Advanced</t>
  </si>
  <si>
    <t>Change in D4</t>
  </si>
  <si>
    <t>Change in D3</t>
  </si>
  <si>
    <t>Change in Ethanol</t>
  </si>
  <si>
    <t>Advanced percent of total</t>
  </si>
  <si>
    <t>Change in BBD</t>
  </si>
  <si>
    <t>Jake Predictions</t>
  </si>
  <si>
    <t>D5 In Gallons</t>
  </si>
  <si>
    <t>D6 RIN Generation (E15-E30 &amp; E85)</t>
  </si>
  <si>
    <t>D3 RIN Generation (gals)</t>
  </si>
  <si>
    <t>Totals:</t>
  </si>
  <si>
    <t>YOY % Change</t>
  </si>
  <si>
    <t>EPA Mandates</t>
  </si>
  <si>
    <t>Lower:</t>
  </si>
  <si>
    <t xml:space="preserve">D4 RIN Generation </t>
  </si>
  <si>
    <t>D6 RIN Generation (E85)</t>
  </si>
  <si>
    <t xml:space="preserve">D3 RIN Generation </t>
  </si>
  <si>
    <t>In Billions of Gallons</t>
  </si>
  <si>
    <t>Imports:</t>
  </si>
  <si>
    <t xml:space="preserve">Renewable Diesel </t>
  </si>
  <si>
    <t>Biodiesel</t>
  </si>
  <si>
    <t>Process Tech Percentages:</t>
  </si>
  <si>
    <t>Renewable Diesel</t>
  </si>
  <si>
    <t>Co-Processing</t>
  </si>
  <si>
    <t>SAF</t>
  </si>
  <si>
    <t>Check</t>
  </si>
  <si>
    <t>RD</t>
  </si>
  <si>
    <t>Co-pro</t>
  </si>
  <si>
    <t>Full  D4 Mandate with UAB and Imports v. Predicted or Realized</t>
  </si>
  <si>
    <t>Unadjusted</t>
  </si>
  <si>
    <t>BD</t>
  </si>
  <si>
    <t>90%, 97.6%, and 98%</t>
  </si>
  <si>
    <t>2 billion gallons added</t>
  </si>
  <si>
    <t>BBD</t>
  </si>
  <si>
    <t xml:space="preserve">Unadjusted </t>
  </si>
  <si>
    <t>BioD</t>
  </si>
  <si>
    <t>Co-Pro</t>
  </si>
  <si>
    <t>D4</t>
  </si>
  <si>
    <t>Old</t>
  </si>
  <si>
    <t>Biomass-Based Diesel</t>
  </si>
  <si>
    <t>RIN Balance Sheet D4 Mandate w/SREs and UAB added after imports</t>
  </si>
  <si>
    <t>New</t>
  </si>
  <si>
    <t>Difference</t>
  </si>
  <si>
    <t>Total Mandate</t>
  </si>
  <si>
    <t>Mandate</t>
  </si>
  <si>
    <t>Ethanol</t>
  </si>
  <si>
    <t>Domestic Ethanol</t>
  </si>
  <si>
    <t>Non-Ethanol Mandate</t>
  </si>
  <si>
    <t>Domestic BBD</t>
  </si>
  <si>
    <t>Imported BBD</t>
  </si>
  <si>
    <t>Ethanol Imports and Other</t>
  </si>
  <si>
    <t>Ethanol Imports</t>
  </si>
  <si>
    <t>Others</t>
  </si>
  <si>
    <t>billion gallons</t>
  </si>
  <si>
    <t>D3 ex. eRINs</t>
  </si>
  <si>
    <t>eRIN Mandates</t>
  </si>
  <si>
    <t>Undifferentiated Advanced Mandates</t>
  </si>
  <si>
    <t>RD Import Breakdown</t>
  </si>
  <si>
    <t>(million gallons)</t>
  </si>
  <si>
    <t>Total Imports (Mandate Projections File)</t>
  </si>
  <si>
    <t>Total Imports (EMTS Forecast File)</t>
  </si>
  <si>
    <t>D4 Foreign Generation</t>
  </si>
  <si>
    <t>D4 Importer</t>
  </si>
  <si>
    <t>D5 Importer</t>
  </si>
  <si>
    <t>D6 Foreign Generation</t>
  </si>
  <si>
    <t>D6 Importer</t>
  </si>
  <si>
    <t xml:space="preserve">  Difference</t>
  </si>
  <si>
    <t>Adv. Non-Domestic Biomass-Based Diesel</t>
  </si>
  <si>
    <t>Adv. Mandate Domestic Biomass-Based Diesel</t>
  </si>
  <si>
    <t>Adv. Production</t>
  </si>
  <si>
    <t>Adv. Mandate</t>
  </si>
  <si>
    <t>Domestic Production</t>
  </si>
  <si>
    <t xml:space="preserve">  Domestic Production</t>
  </si>
  <si>
    <t>Imports/Foreign Generation</t>
  </si>
  <si>
    <t xml:space="preserve">  Imports</t>
  </si>
  <si>
    <t>Total Supply</t>
  </si>
  <si>
    <t>BBD Mandate</t>
  </si>
  <si>
    <t>Excess/Shortfall vs. Supply</t>
  </si>
  <si>
    <t>D3</t>
  </si>
  <si>
    <t>D5</t>
  </si>
  <si>
    <t>D6</t>
  </si>
  <si>
    <t>D7</t>
  </si>
  <si>
    <t>Total</t>
  </si>
  <si>
    <t>Final</t>
  </si>
  <si>
    <t>Preliminary</t>
  </si>
  <si>
    <t>Change</t>
  </si>
  <si>
    <t>FM Forecast</t>
  </si>
  <si>
    <t>The EPA's D5 mandate is an assumption based on Fastmarkets' production forecast</t>
  </si>
  <si>
    <t>FINAL</t>
  </si>
  <si>
    <t>CHANGE FROM PRELIMINARY</t>
  </si>
  <si>
    <t>Cellulosic</t>
  </si>
  <si>
    <t>Pre</t>
  </si>
  <si>
    <t>BD Mandate</t>
  </si>
  <si>
    <t>Advanced Biofuel</t>
  </si>
  <si>
    <t>BD overproduction to fill gaps</t>
  </si>
  <si>
    <t>Implied Ethanol*</t>
  </si>
  <si>
    <t>Real BD Production</t>
  </si>
  <si>
    <t>Total Blending</t>
  </si>
  <si>
    <t>D3 Mandate</t>
  </si>
  <si>
    <t>*Includes 250-million gallon supplemental mandate in 2023</t>
  </si>
  <si>
    <t>MARKET EXPECTATIONS</t>
  </si>
  <si>
    <t>Headline</t>
  </si>
  <si>
    <t>Ethanol Mandate</t>
  </si>
  <si>
    <t>Combined</t>
  </si>
  <si>
    <t>Prelim</t>
  </si>
  <si>
    <t>Adds to feedstock</t>
  </si>
  <si>
    <t>PRELIMINARY</t>
  </si>
  <si>
    <t>Gap</t>
  </si>
  <si>
    <t>Decreases feedstock</t>
  </si>
  <si>
    <t>Advanced</t>
  </si>
  <si>
    <t>Additional BD Production</t>
  </si>
  <si>
    <t>CHANGE IN FEEDSTOCK DEMAND</t>
  </si>
  <si>
    <t>Implied by Headline</t>
  </si>
  <si>
    <t>Fastmarkets Forecast</t>
  </si>
  <si>
    <t>billion pounds</t>
  </si>
  <si>
    <t>Total Feedstock</t>
  </si>
  <si>
    <t>Soybean Oil</t>
  </si>
  <si>
    <t>Canola Oil</t>
  </si>
  <si>
    <t>Total Vegetable Oil</t>
  </si>
  <si>
    <t>Used Cooking Oil</t>
  </si>
  <si>
    <t>Yellow Grease</t>
  </si>
  <si>
    <t>Tallow</t>
  </si>
  <si>
    <t>Distillers' Corn Oil</t>
  </si>
  <si>
    <t>Choice White Grease</t>
  </si>
  <si>
    <t>Poultry Fat</t>
  </si>
  <si>
    <t>Total Fat and Grease</t>
  </si>
  <si>
    <t>Average Yield</t>
  </si>
  <si>
    <t>√</t>
  </si>
  <si>
    <t>Combined Production</t>
  </si>
  <si>
    <t>Implied Ethanol</t>
  </si>
  <si>
    <t>RINs per gallon</t>
  </si>
  <si>
    <t>Gallons</t>
  </si>
  <si>
    <t>RINs</t>
  </si>
  <si>
    <t>FM</t>
  </si>
  <si>
    <t>Headline Calculation</t>
  </si>
  <si>
    <t>FM Forecast Calculation</t>
  </si>
  <si>
    <t>Gal</t>
  </si>
  <si>
    <t>Change to Final</t>
  </si>
  <si>
    <t>Adv</t>
  </si>
  <si>
    <t>D4 UAB</t>
  </si>
  <si>
    <t>UAB D4 Required</t>
  </si>
  <si>
    <t>=ADV - SUM(D3, D4, D5)</t>
  </si>
  <si>
    <t>D4 PRODUCTION</t>
  </si>
  <si>
    <t>BBD Production to meet Adv</t>
  </si>
  <si>
    <t>=D4 + UAB</t>
  </si>
  <si>
    <t>CHECK</t>
  </si>
  <si>
    <t>Additonal Feedstock</t>
  </si>
  <si>
    <t>BBD Production to meet Total</t>
  </si>
  <si>
    <t>=TOTAL - SUM(D6, D5, D3)</t>
  </si>
  <si>
    <t>Additional Feedstock</t>
  </si>
  <si>
    <t>billion lbs</t>
  </si>
  <si>
    <t>US SOYBEAN OIL SUPPLY AND DEMAND - High Scenario (Million Pounds)</t>
  </si>
  <si>
    <t>Carryin</t>
  </si>
  <si>
    <t>Production</t>
  </si>
  <si>
    <t>Imports</t>
  </si>
  <si>
    <t>Fuel Demand</t>
  </si>
  <si>
    <t>Biomass Based Diesel (D4/5)</t>
  </si>
  <si>
    <t>Co-Processing (D5)</t>
  </si>
  <si>
    <t>Non-Fuel Usage</t>
  </si>
  <si>
    <t>Exports</t>
  </si>
  <si>
    <t>Total Use</t>
  </si>
  <si>
    <t>Carryout</t>
  </si>
  <si>
    <t xml:space="preserve">2,780
</t>
  </si>
  <si>
    <t xml:space="preserve">(3,890)
</t>
  </si>
  <si>
    <t>Median Price (cents per pound)</t>
  </si>
  <si>
    <t>Production forecasts based on USDA data and Jacobsen forecasts. Consumption projections based on EIA, USDA and Jacobsen data.</t>
  </si>
  <si>
    <t>POST COVID PRICE</t>
  </si>
  <si>
    <t>US CANOLA OIL SUPPLY AND DEMAND - High Scenario (Million Pounds)</t>
  </si>
  <si>
    <t>Renewable Diesel (D4/5)</t>
  </si>
  <si>
    <t>US TALLOW SUPPLY AND DEMAND - High Scenario (Million Pounds)</t>
  </si>
  <si>
    <t>Biodiesel (D4/5)</t>
  </si>
  <si>
    <t>US CHOICE WHITE GREASE SUPPLY AND DEMAND - High Scenario (Million Pounds)</t>
  </si>
  <si>
    <t xml:space="preserve">    Total Supply</t>
  </si>
  <si>
    <t xml:space="preserve">    Total Use</t>
  </si>
  <si>
    <t>US UCO/ YELLOW GREASE SUPPLY AND DEMAND - High Scenario (Million Pounds)</t>
  </si>
  <si>
    <t>US POULTRY FAT SUPPLY AND DEMAND - High Scenario (Million Pounds)</t>
  </si>
  <si>
    <t xml:space="preserve">Carryin </t>
  </si>
  <si>
    <t>US CORN OIL SUPPLY AND DEMAND - High Scenario (Million Pounds)</t>
  </si>
  <si>
    <t xml:space="preserve">    Renewable Diesel (D4/5)</t>
  </si>
  <si>
    <t xml:space="preserve">    Biodiesel (D4/5)</t>
  </si>
  <si>
    <t xml:space="preserve">    Co-Processing (D5)</t>
  </si>
  <si>
    <t>DCO Production Curve</t>
  </si>
  <si>
    <t>10% yoy</t>
  </si>
  <si>
    <t>5% yoy</t>
  </si>
  <si>
    <t>US SOYBEAN OIL SUPPLY AND DEMAND - Mid Scenario (Million Pounds)</t>
  </si>
  <si>
    <t>Biomass Based Diesel (D4)</t>
  </si>
  <si>
    <t>US CANOLA OIL SUPPLY AND DEMAND - Mid Scenario (Million Pounds)</t>
  </si>
  <si>
    <t>US TALLOW SUPPLY AND DEMAND - Mid Scenario (Million Pounds)</t>
  </si>
  <si>
    <t>US CHOICE WHITE GREASE SUPPLY AND DEMAND - Mid Scenario (Million Pounds)</t>
  </si>
  <si>
    <t>US UCO/YELLOW GREASE SUPPLY AND DEMAND - Mid Scenario (Million Pounds)</t>
  </si>
  <si>
    <t>US POULTRY FAT SUPPLY AND DEMAND - Mid Scenario (Million Pounds)</t>
  </si>
  <si>
    <t xml:space="preserve">Carryout </t>
  </si>
  <si>
    <t>US CORN OIL SUPPLY AND DEMAND - Mid Scenario (Million Pounds)</t>
  </si>
  <si>
    <t>US SOYBEAN OIL SUPPLY AND DEMAND - Low Scenario (Million Pounds)</t>
  </si>
  <si>
    <t>US CANOLA OIL SUPPLY AND DEMAND - Low Scenario (Million Pounds)</t>
  </si>
  <si>
    <t>US TALLOW SUPPLY AND DEMAND - Low Scenario (Million Pounds)</t>
  </si>
  <si>
    <t>US CHOICE WHITE GREASE SUPPLY AND DEMAND - Low Scenario (Million Pounds)</t>
  </si>
  <si>
    <t>US UCO/YELLOW GREASE SUPPLY AND DEMAND - Low Scenario (Million Pounds)</t>
  </si>
  <si>
    <t>US POULTRY FAT SUPPLY AND DEMAND - Low Scenario (Million Pounds)</t>
  </si>
  <si>
    <t>US CORN OIL SUPPLY AND DEMAND - Low Scenario (Million Pounds)</t>
  </si>
  <si>
    <t>Tore's Feb baance sheets ending stock with slight, mild increase YOY tied to efficieicnes in extraction and mild capex to increase yield.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</si>
</sst>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#,##0.000_);[Red]\(#,##0.000\)"/>
    <numFmt numFmtId="165" formatCode="0.0%"/>
    <numFmt numFmtId="166" formatCode="_(* #,##0.000_);_(* \(#,##0.000\);_(* &quot;-&quot;???_);_(@_)"/>
    <numFmt numFmtId="167" formatCode="0.000"/>
    <numFmt numFmtId="168" formatCode="0_);[Red]\(0\)"/>
    <numFmt numFmtId="169" formatCode="_(* #,##0.00_);_(* \(#,##0.00\);_(* &quot;-&quot;???_);_(@_)"/>
    <numFmt numFmtId="170" formatCode="#,##0.000"/>
    <numFmt numFmtId="171" formatCode="0.000_);[Red]\(0.000\)"/>
  </numFmts>
  <fonts count="5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Display"/>
      <family val="2"/>
    </font>
    <font>
      <sz val="12"/>
      <color theme="1"/>
      <name val="Aptos Narrow"/>
      <family val="2"/>
      <scheme val="minor"/>
    </font>
    <font>
      <sz val="10"/>
      <color rgb="FF6F0791"/>
      <name val="Aptos Display"/>
      <family val="2"/>
    </font>
    <font>
      <sz val="10"/>
      <name val="Aptos Display"/>
      <family val="2"/>
    </font>
    <font>
      <b/>
      <sz val="10"/>
      <color theme="1"/>
      <name val="Aptos Display"/>
      <family val="2"/>
    </font>
    <font>
      <b/>
      <sz val="10"/>
      <color rgb="FF6F0791"/>
      <name val="Aptos Display"/>
      <family val="2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sz val="8"/>
      <color theme="9"/>
      <name val="Avenir Next LT Pro Demi"/>
      <family val="2"/>
    </font>
    <font>
      <sz val="8"/>
      <name val="Avenir Next LT Pro Demi"/>
      <family val="2"/>
    </font>
    <font>
      <sz val="14"/>
      <color theme="1"/>
      <name val="Arial"/>
      <family val="2"/>
    </font>
    <font>
      <b/>
      <sz val="20"/>
      <color theme="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7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Helvetica-Normal"/>
    </font>
    <font>
      <sz val="12"/>
      <color rgb="FF000000"/>
      <name val="Helvetica-Normal"/>
    </font>
    <font>
      <b/>
      <sz val="10"/>
      <color rgb="FFFFFFFF"/>
      <name val="Helvetica-Normal"/>
    </font>
    <font>
      <sz val="10"/>
      <color rgb="FF000000"/>
      <name val="Helvetica-Normal"/>
    </font>
    <font>
      <sz val="10"/>
      <color rgb="FFFF0000"/>
      <name val="Helvetica-Normal"/>
    </font>
    <font>
      <b/>
      <sz val="10"/>
      <name val="Helvetica-Normal"/>
    </font>
    <font>
      <b/>
      <sz val="10"/>
      <color rgb="FF000000"/>
      <name val="Helvetica-Normal"/>
    </font>
    <font>
      <b/>
      <sz val="10"/>
      <color theme="1"/>
      <name val="Helvetica-Normal"/>
    </font>
    <font>
      <b/>
      <sz val="8"/>
      <name val="Helvetica-Normal"/>
    </font>
    <font>
      <sz val="10"/>
      <color theme="1"/>
      <name val="Helvetica-Normal"/>
    </font>
    <font>
      <b/>
      <sz val="10"/>
      <color theme="1"/>
      <name val="Helvetica"/>
      <family val="2"/>
    </font>
    <font>
      <sz val="10"/>
      <name val="Helvetica"/>
      <family val="2"/>
    </font>
    <font>
      <b/>
      <sz val="10"/>
      <color rgb="FFFFFFFF"/>
      <name val="Helvetica"/>
      <family val="2"/>
    </font>
    <font>
      <sz val="10"/>
      <color rgb="FF000000"/>
      <name val="Helvetica"/>
      <family val="2"/>
    </font>
    <font>
      <sz val="10"/>
      <color rgb="FFFF0000"/>
      <name val="Helvetica"/>
      <family val="2"/>
    </font>
    <font>
      <sz val="10"/>
      <color theme="1"/>
      <name val="Helvetica"/>
      <family val="2"/>
    </font>
    <font>
      <b/>
      <sz val="10"/>
      <name val="Helvetica"/>
      <family val="2"/>
    </font>
    <font>
      <b/>
      <sz val="10"/>
      <color rgb="FF000000"/>
      <name val="Helvetica"/>
      <family val="2"/>
    </font>
    <font>
      <b/>
      <sz val="8"/>
      <name val="Helvetica"/>
      <family val="2"/>
    </font>
    <font>
      <b/>
      <sz val="9"/>
      <color theme="1"/>
      <name val="Helvetica-Normal"/>
    </font>
    <font>
      <sz val="10"/>
      <color theme="0"/>
      <name val="Helvetica"/>
      <family val="2"/>
    </font>
    <font>
      <b/>
      <sz val="10"/>
      <color theme="0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sz val="8"/>
      <color rgb="FF0070C0"/>
      <name val="Avenir Next LT Pro Demi"/>
      <family val="2"/>
    </font>
    <font>
      <b/>
      <sz val="8"/>
      <color rgb="FF0070C0"/>
      <name val="Avenir Next LT Pro Demi"/>
      <family val="2"/>
    </font>
  </fonts>
  <fills count="2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5163"/>
      </patternFill>
    </fill>
    <fill>
      <patternFill patternType="solid">
        <fgColor rgb="FF335163"/>
        <bgColor rgb="FF000000"/>
      </patternFill>
    </fill>
    <fill>
      <patternFill patternType="solid">
        <fgColor rgb="FF325163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33516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3" tint="0.89999084444715716"/>
        <bgColor indexed="64"/>
      </patternFill>
    </fill>
  </fills>
  <borders count="10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6F0791"/>
      </left>
      <right/>
      <top style="thin">
        <color rgb="FF6F0791"/>
      </top>
      <bottom/>
      <diagonal/>
    </border>
    <border>
      <left/>
      <right/>
      <top style="thin">
        <color rgb="FF6F0791"/>
      </top>
      <bottom/>
      <diagonal/>
    </border>
    <border>
      <left/>
      <right style="medium">
        <color rgb="FF6F0791"/>
      </right>
      <top style="thin">
        <color rgb="FF6F0791"/>
      </top>
      <bottom/>
      <diagonal/>
    </border>
    <border>
      <left style="medium">
        <color rgb="FF6F0791"/>
      </left>
      <right/>
      <top/>
      <bottom/>
      <diagonal/>
    </border>
    <border>
      <left/>
      <right style="medium">
        <color rgb="FF6F0791"/>
      </right>
      <top/>
      <bottom/>
      <diagonal/>
    </border>
    <border>
      <left/>
      <right/>
      <top/>
      <bottom style="thin">
        <color rgb="FF6F0791"/>
      </bottom>
      <diagonal/>
    </border>
    <border>
      <left style="medium">
        <color rgb="FF6F0791"/>
      </left>
      <right/>
      <top/>
      <bottom style="thin">
        <color rgb="FF6F0791"/>
      </bottom>
      <diagonal/>
    </border>
    <border>
      <left/>
      <right style="medium">
        <color rgb="FF6F0791"/>
      </right>
      <top/>
      <bottom style="thin">
        <color rgb="FF6F0791"/>
      </bottom>
      <diagonal/>
    </border>
    <border>
      <left/>
      <right style="medium">
        <color theme="2" tint="-0.499984740745262"/>
      </right>
      <top style="thin">
        <color rgb="FF335163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thin">
        <color rgb="FF335163"/>
      </top>
      <bottom/>
      <diagonal/>
    </border>
    <border>
      <left/>
      <right/>
      <top style="thin">
        <color rgb="FF335163"/>
      </top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/>
      <right style="medium">
        <color theme="2" tint="-0.499984740745262"/>
      </right>
      <top/>
      <bottom style="thin">
        <color rgb="FF8E9A44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rgb="FF8E9A44"/>
      </bottom>
      <diagonal/>
    </border>
    <border>
      <left/>
      <right style="medium">
        <color theme="2" tint="-0.499984740745262"/>
      </right>
      <top style="thin">
        <color rgb="FF8E9A44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thin">
        <color rgb="FF8E9A4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rgb="FF335163"/>
      </bottom>
      <diagonal/>
    </border>
    <border>
      <left/>
      <right style="medium">
        <color theme="2" tint="-0.499984740745262"/>
      </right>
      <top style="medium">
        <color rgb="FF335163"/>
      </top>
      <bottom/>
      <diagonal/>
    </border>
    <border>
      <left/>
      <right style="medium">
        <color rgb="FF8E9A44"/>
      </right>
      <top style="medium">
        <color rgb="FF335163"/>
      </top>
      <bottom/>
      <diagonal/>
    </border>
    <border>
      <left style="medium">
        <color rgb="FF8E9A44"/>
      </left>
      <right style="medium">
        <color rgb="FF8E9A44"/>
      </right>
      <top style="medium">
        <color rgb="FF335163"/>
      </top>
      <bottom/>
      <diagonal/>
    </border>
    <border>
      <left/>
      <right style="medium">
        <color rgb="FF8E9A44"/>
      </right>
      <top/>
      <bottom/>
      <diagonal/>
    </border>
    <border>
      <left style="medium">
        <color rgb="FF8E9A44"/>
      </left>
      <right style="medium">
        <color rgb="FF8E9A44"/>
      </right>
      <top/>
      <bottom/>
      <diagonal/>
    </border>
    <border>
      <left/>
      <right style="medium">
        <color rgb="FF8E9A44"/>
      </right>
      <top style="thin">
        <color rgb="FF8E9A44"/>
      </top>
      <bottom/>
      <diagonal/>
    </border>
    <border>
      <left style="medium">
        <color rgb="FF8E9A44"/>
      </left>
      <right style="medium">
        <color theme="2" tint="-0.499984740745262"/>
      </right>
      <top style="thin">
        <color rgb="FF8E9A44"/>
      </top>
      <bottom/>
      <diagonal/>
    </border>
    <border>
      <left/>
      <right style="thin">
        <color rgb="FF8E9A44"/>
      </right>
      <top/>
      <bottom/>
      <diagonal/>
    </border>
    <border>
      <left style="medium">
        <color rgb="FF8E9A44"/>
      </left>
      <right style="medium">
        <color theme="2" tint="-0.499984740745262"/>
      </right>
      <top/>
      <bottom/>
      <diagonal/>
    </border>
    <border>
      <left/>
      <right style="thin">
        <color rgb="FF8E9A44"/>
      </right>
      <top/>
      <bottom style="thin">
        <color rgb="FF8E9A44"/>
      </bottom>
      <diagonal/>
    </border>
    <border>
      <left style="medium">
        <color rgb="FF8E9A44"/>
      </left>
      <right style="medium">
        <color theme="2" tint="-0.499984740745262"/>
      </right>
      <top/>
      <bottom style="thin">
        <color rgb="FF8E9A44"/>
      </bottom>
      <diagonal/>
    </border>
    <border>
      <left/>
      <right style="thin">
        <color rgb="FF8E9A44"/>
      </right>
      <top style="thin">
        <color rgb="FF8E9A44"/>
      </top>
      <bottom/>
      <diagonal/>
    </border>
    <border>
      <left style="medium">
        <color rgb="FF8E9A44"/>
      </left>
      <right style="medium">
        <color rgb="FF8E9A44"/>
      </right>
      <top style="thin">
        <color rgb="FF8E9A44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rgb="FF325163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thin">
        <color rgb="FF8E9A44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rgb="FF8E9A44"/>
      </left>
      <right style="medium">
        <color rgb="FF8E9A44"/>
      </right>
      <top/>
      <bottom style="thin">
        <color theme="2" tint="-0.499984740745262"/>
      </bottom>
      <diagonal/>
    </border>
    <border>
      <left style="medium">
        <color rgb="FF8E9A44"/>
      </left>
      <right style="medium">
        <color theme="2" tint="-0.499984740745262"/>
      </right>
      <top/>
      <bottom style="thin">
        <color theme="2" tint="-0.499984740745262"/>
      </bottom>
      <diagonal/>
    </border>
    <border>
      <left/>
      <right style="medium">
        <color rgb="FF8E9A44"/>
      </right>
      <top/>
      <bottom style="thin">
        <color theme="2" tint="-0.499984740745262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335163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rgb="FF335163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theme="2" tint="-0.499984740745262"/>
      </bottom>
      <diagonal/>
    </border>
    <border>
      <left/>
      <right style="medium">
        <color theme="2" tint="-0.499984740745262"/>
      </right>
      <top/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/>
      <diagonal/>
    </border>
    <border>
      <left/>
      <right style="medium">
        <color theme="2" tint="-0.499984740745262"/>
      </right>
      <top style="thin">
        <color theme="2" tint="-0.499984740745262"/>
      </top>
      <bottom/>
      <diagonal/>
    </border>
    <border>
      <left/>
      <right style="medium">
        <color theme="2" tint="-0.499984740745262"/>
      </right>
      <top/>
      <bottom style="medium">
        <color theme="1"/>
      </bottom>
      <diagonal/>
    </border>
    <border>
      <left/>
      <right style="medium">
        <color rgb="FF325163"/>
      </right>
      <top style="medium">
        <color rgb="FF335163"/>
      </top>
      <bottom style="medium">
        <color rgb="FF335163"/>
      </bottom>
      <diagonal/>
    </border>
    <border>
      <left style="medium">
        <color rgb="FF325163"/>
      </left>
      <right style="medium">
        <color rgb="FF325163"/>
      </right>
      <top style="medium">
        <color rgb="FF335163"/>
      </top>
      <bottom style="medium">
        <color rgb="FF335163"/>
      </bottom>
      <diagonal/>
    </border>
    <border>
      <left style="medium">
        <color rgb="FF325163"/>
      </left>
      <right/>
      <top style="medium">
        <color rgb="FF335163"/>
      </top>
      <bottom style="medium">
        <color rgb="FF335163"/>
      </bottom>
      <diagonal/>
    </border>
    <border>
      <left/>
      <right style="medium">
        <color rgb="FF8E9A44"/>
      </right>
      <top style="medium">
        <color rgb="FF335163"/>
      </top>
      <bottom style="medium">
        <color rgb="FF335163"/>
      </bottom>
      <diagonal/>
    </border>
    <border>
      <left style="medium">
        <color theme="2" tint="-0.499984740745262"/>
      </left>
      <right/>
      <top/>
      <bottom/>
      <diagonal/>
    </border>
    <border>
      <left style="thin">
        <color rgb="FF8E9A44"/>
      </left>
      <right style="medium">
        <color theme="2" tint="-0.499984740745262"/>
      </right>
      <top/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E9A44"/>
      </left>
      <right style="medium">
        <color theme="2" tint="-0.499984740745262"/>
      </right>
      <top style="medium">
        <color rgb="FF33516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rgb="FF325163"/>
      </left>
      <right style="medium">
        <color rgb="FF325163"/>
      </right>
      <top/>
      <bottom/>
      <diagonal/>
    </border>
    <border>
      <left style="medium">
        <color rgb="FF325163"/>
      </left>
      <right/>
      <top/>
      <bottom/>
      <diagonal/>
    </border>
    <border>
      <left/>
      <right style="medium">
        <color theme="1"/>
      </right>
      <top style="medium">
        <color theme="1"/>
      </top>
      <bottom style="medium">
        <color rgb="FF335163"/>
      </bottom>
      <diagonal/>
    </border>
    <border>
      <left/>
      <right style="medium">
        <color theme="2" tint="-0.499984740745262"/>
      </right>
      <top/>
      <bottom style="medium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indexed="64"/>
      </bottom>
      <diagonal/>
    </border>
    <border>
      <left style="thin">
        <color rgb="FF8E9A44"/>
      </left>
      <right style="medium">
        <color theme="2" tint="-0.499984740745262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2" tint="-0.499984740745262"/>
      </left>
      <right style="medium">
        <color theme="1"/>
      </right>
      <top/>
      <bottom style="medium">
        <color indexed="64"/>
      </bottom>
      <diagonal/>
    </border>
    <border>
      <left style="medium">
        <color rgb="FF8E9A44"/>
      </left>
      <right style="medium">
        <color theme="2" tint="-0.499984740745262"/>
      </right>
      <top/>
      <bottom style="medium">
        <color indexed="64"/>
      </bottom>
      <diagonal/>
    </border>
    <border>
      <left/>
      <right style="medium">
        <color rgb="FF325163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621">
    <xf numFmtId="0" fontId="0" fillId="0" borderId="0" xfId="0"/>
    <xf numFmtId="0" fontId="4" fillId="0" borderId="0" xfId="0" applyFont="1"/>
    <xf numFmtId="164" fontId="4" fillId="2" borderId="1" xfId="3" applyNumberFormat="1" applyFont="1" applyFill="1" applyBorder="1" applyAlignment="1">
      <alignment horizontal="right" vertical="center"/>
    </xf>
    <xf numFmtId="164" fontId="4" fillId="3" borderId="1" xfId="3" applyNumberFormat="1" applyFont="1" applyFill="1" applyBorder="1" applyAlignment="1">
      <alignment horizontal="right" vertical="center"/>
    </xf>
    <xf numFmtId="164" fontId="6" fillId="0" borderId="1" xfId="3" applyNumberFormat="1" applyFont="1" applyBorder="1" applyAlignment="1">
      <alignment horizontal="right" vertical="center"/>
    </xf>
    <xf numFmtId="164" fontId="7" fillId="3" borderId="2" xfId="3" applyNumberFormat="1" applyFont="1" applyFill="1" applyBorder="1" applyAlignment="1">
      <alignment horizontal="right"/>
    </xf>
    <xf numFmtId="164" fontId="6" fillId="0" borderId="2" xfId="3" applyNumberFormat="1" applyFont="1" applyBorder="1" applyAlignment="1">
      <alignment horizontal="right"/>
    </xf>
    <xf numFmtId="164" fontId="4" fillId="3" borderId="2" xfId="3" applyNumberFormat="1" applyFont="1" applyFill="1" applyBorder="1" applyAlignment="1">
      <alignment horizontal="right"/>
    </xf>
    <xf numFmtId="164" fontId="4" fillId="3" borderId="2" xfId="3" applyNumberFormat="1" applyFont="1" applyFill="1" applyBorder="1" applyAlignment="1">
      <alignment horizontal="right" vertical="center"/>
    </xf>
    <xf numFmtId="164" fontId="6" fillId="0" borderId="2" xfId="3" applyNumberFormat="1" applyFont="1" applyBorder="1" applyAlignment="1">
      <alignment horizontal="right" vertical="center"/>
    </xf>
    <xf numFmtId="164" fontId="4" fillId="2" borderId="2" xfId="3" applyNumberFormat="1" applyFont="1" applyFill="1" applyBorder="1" applyAlignment="1">
      <alignment horizontal="right" vertical="center"/>
    </xf>
    <xf numFmtId="164" fontId="8" fillId="2" borderId="2" xfId="3" applyNumberFormat="1" applyFont="1" applyFill="1" applyBorder="1" applyAlignment="1">
      <alignment horizontal="right" vertical="center"/>
    </xf>
    <xf numFmtId="164" fontId="8" fillId="3" borderId="2" xfId="3" applyNumberFormat="1" applyFont="1" applyFill="1" applyBorder="1" applyAlignment="1">
      <alignment horizontal="right" vertical="center"/>
    </xf>
    <xf numFmtId="164" fontId="9" fillId="0" borderId="2" xfId="3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4" fillId="4" borderId="0" xfId="0" applyNumberFormat="1" applyFont="1" applyFill="1"/>
    <xf numFmtId="164" fontId="4" fillId="5" borderId="0" xfId="0" applyNumberFormat="1" applyFont="1" applyFill="1"/>
    <xf numFmtId="164" fontId="8" fillId="0" borderId="0" xfId="0" applyNumberFormat="1" applyFont="1"/>
    <xf numFmtId="165" fontId="4" fillId="4" borderId="0" xfId="2" applyNumberFormat="1" applyFont="1" applyFill="1"/>
    <xf numFmtId="165" fontId="4" fillId="5" borderId="0" xfId="2" applyNumberFormat="1" applyFont="1" applyFill="1"/>
    <xf numFmtId="165" fontId="8" fillId="0" borderId="0" xfId="2" applyNumberFormat="1" applyFont="1"/>
    <xf numFmtId="0" fontId="4" fillId="4" borderId="0" xfId="0" applyFont="1" applyFill="1"/>
    <xf numFmtId="0" fontId="4" fillId="5" borderId="0" xfId="0" applyFont="1" applyFill="1"/>
    <xf numFmtId="0" fontId="10" fillId="0" borderId="0" xfId="3" applyFont="1"/>
    <xf numFmtId="166" fontId="10" fillId="0" borderId="0" xfId="2" applyNumberFormat="1" applyFont="1"/>
    <xf numFmtId="166" fontId="10" fillId="0" borderId="0" xfId="3" applyNumberFormat="1" applyFont="1"/>
    <xf numFmtId="43" fontId="10" fillId="0" borderId="0" xfId="3" applyNumberFormat="1" applyFont="1"/>
    <xf numFmtId="10" fontId="10" fillId="0" borderId="0" xfId="2" applyNumberFormat="1" applyFont="1"/>
    <xf numFmtId="0" fontId="11" fillId="0" borderId="2" xfId="3" applyFont="1" applyBorder="1" applyAlignment="1">
      <alignment vertical="center" wrapText="1"/>
    </xf>
    <xf numFmtId="0" fontId="11" fillId="2" borderId="3" xfId="3" applyFont="1" applyFill="1" applyBorder="1" applyAlignment="1">
      <alignment horizontal="center" vertical="center" wrapText="1"/>
    </xf>
    <xf numFmtId="0" fontId="11" fillId="4" borderId="3" xfId="3" applyFont="1" applyFill="1" applyBorder="1" applyAlignment="1">
      <alignment horizontal="center" vertical="center" wrapText="1"/>
    </xf>
    <xf numFmtId="0" fontId="10" fillId="0" borderId="4" xfId="3" applyFont="1" applyBorder="1" applyAlignment="1">
      <alignment vertical="center" wrapText="1"/>
    </xf>
    <xf numFmtId="164" fontId="10" fillId="2" borderId="1" xfId="3" applyNumberFormat="1" applyFont="1" applyFill="1" applyBorder="1" applyAlignment="1">
      <alignment vertical="center"/>
    </xf>
    <xf numFmtId="164" fontId="10" fillId="4" borderId="1" xfId="3" applyNumberFormat="1" applyFont="1" applyFill="1" applyBorder="1" applyAlignment="1">
      <alignment vertical="center"/>
    </xf>
    <xf numFmtId="0" fontId="10" fillId="6" borderId="2" xfId="3" applyFont="1" applyFill="1" applyBorder="1" applyAlignment="1">
      <alignment vertical="center" wrapText="1"/>
    </xf>
    <xf numFmtId="164" fontId="12" fillId="4" borderId="2" xfId="3" applyNumberFormat="1" applyFont="1" applyFill="1" applyBorder="1"/>
    <xf numFmtId="0" fontId="10" fillId="0" borderId="2" xfId="3" applyFont="1" applyBorder="1" applyAlignment="1">
      <alignment vertical="center" wrapText="1"/>
    </xf>
    <xf numFmtId="164" fontId="10" fillId="4" borderId="2" xfId="3" applyNumberFormat="1" applyFont="1" applyFill="1" applyBorder="1"/>
    <xf numFmtId="164" fontId="10" fillId="4" borderId="2" xfId="3" applyNumberFormat="1" applyFont="1" applyFill="1" applyBorder="1" applyAlignment="1">
      <alignment vertical="center"/>
    </xf>
    <xf numFmtId="0" fontId="11" fillId="7" borderId="2" xfId="3" applyFont="1" applyFill="1" applyBorder="1" applyAlignment="1">
      <alignment vertical="center"/>
    </xf>
    <xf numFmtId="164" fontId="11" fillId="4" borderId="2" xfId="3" applyNumberFormat="1" applyFont="1" applyFill="1" applyBorder="1" applyAlignment="1">
      <alignment vertical="center"/>
    </xf>
    <xf numFmtId="0" fontId="11" fillId="0" borderId="2" xfId="3" applyFont="1" applyBorder="1" applyAlignment="1">
      <alignment horizontal="right" vertical="center"/>
    </xf>
    <xf numFmtId="166" fontId="11" fillId="2" borderId="2" xfId="3" applyNumberFormat="1" applyFont="1" applyFill="1" applyBorder="1" applyAlignment="1">
      <alignment vertical="center" wrapText="1"/>
    </xf>
    <xf numFmtId="165" fontId="11" fillId="2" borderId="2" xfId="4" applyNumberFormat="1" applyFont="1" applyFill="1" applyBorder="1" applyAlignment="1">
      <alignment vertical="center" wrapText="1"/>
    </xf>
    <xf numFmtId="165" fontId="11" fillId="4" borderId="2" xfId="4" applyNumberFormat="1" applyFont="1" applyFill="1" applyBorder="1" applyAlignment="1">
      <alignment vertical="center" wrapText="1"/>
    </xf>
    <xf numFmtId="0" fontId="10" fillId="0" borderId="0" xfId="3" applyFont="1" applyAlignment="1">
      <alignment vertical="center"/>
    </xf>
    <xf numFmtId="2" fontId="10" fillId="0" borderId="0" xfId="3" applyNumberFormat="1" applyFont="1"/>
    <xf numFmtId="0" fontId="11" fillId="3" borderId="3" xfId="3" applyFont="1" applyFill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166" fontId="10" fillId="2" borderId="1" xfId="3" applyNumberFormat="1" applyFont="1" applyFill="1" applyBorder="1" applyAlignment="1">
      <alignment vertical="center"/>
    </xf>
    <xf numFmtId="166" fontId="10" fillId="3" borderId="1" xfId="3" applyNumberFormat="1" applyFont="1" applyFill="1" applyBorder="1" applyAlignment="1">
      <alignment vertical="center"/>
    </xf>
    <xf numFmtId="166" fontId="10" fillId="0" borderId="1" xfId="3" applyNumberFormat="1" applyFont="1" applyBorder="1" applyAlignment="1">
      <alignment vertical="center"/>
    </xf>
    <xf numFmtId="166" fontId="13" fillId="3" borderId="2" xfId="3" applyNumberFormat="1" applyFont="1" applyFill="1" applyBorder="1"/>
    <xf numFmtId="166" fontId="10" fillId="3" borderId="2" xfId="3" applyNumberFormat="1" applyFont="1" applyFill="1" applyBorder="1"/>
    <xf numFmtId="166" fontId="10" fillId="0" borderId="2" xfId="3" applyNumberFormat="1" applyFont="1" applyBorder="1"/>
    <xf numFmtId="166" fontId="10" fillId="3" borderId="2" xfId="3" applyNumberFormat="1" applyFont="1" applyFill="1" applyBorder="1" applyAlignment="1">
      <alignment vertical="center"/>
    </xf>
    <xf numFmtId="166" fontId="10" fillId="0" borderId="2" xfId="3" applyNumberFormat="1" applyFont="1" applyBorder="1" applyAlignment="1">
      <alignment vertical="center"/>
    </xf>
    <xf numFmtId="166" fontId="10" fillId="2" borderId="2" xfId="3" applyNumberFormat="1" applyFont="1" applyFill="1" applyBorder="1" applyAlignment="1">
      <alignment vertical="center"/>
    </xf>
    <xf numFmtId="0" fontId="11" fillId="7" borderId="2" xfId="3" applyFont="1" applyFill="1" applyBorder="1" applyAlignment="1">
      <alignment vertical="center" wrapText="1"/>
    </xf>
    <xf numFmtId="166" fontId="11" fillId="2" borderId="2" xfId="3" applyNumberFormat="1" applyFont="1" applyFill="1" applyBorder="1" applyAlignment="1">
      <alignment vertical="center"/>
    </xf>
    <xf numFmtId="166" fontId="11" fillId="3" borderId="2" xfId="3" applyNumberFormat="1" applyFont="1" applyFill="1" applyBorder="1" applyAlignment="1">
      <alignment vertical="center"/>
    </xf>
    <xf numFmtId="166" fontId="11" fillId="7" borderId="2" xfId="3" applyNumberFormat="1" applyFont="1" applyFill="1" applyBorder="1" applyAlignment="1">
      <alignment vertical="center"/>
    </xf>
    <xf numFmtId="0" fontId="11" fillId="0" borderId="2" xfId="3" applyFont="1" applyBorder="1" applyAlignment="1">
      <alignment horizontal="right" vertical="center" wrapText="1"/>
    </xf>
    <xf numFmtId="165" fontId="11" fillId="3" borderId="2" xfId="4" applyNumberFormat="1" applyFont="1" applyFill="1" applyBorder="1" applyAlignment="1">
      <alignment vertical="center" wrapText="1"/>
    </xf>
    <xf numFmtId="165" fontId="11" fillId="0" borderId="2" xfId="4" applyNumberFormat="1" applyFont="1" applyFill="1" applyBorder="1" applyAlignment="1">
      <alignment vertical="center" wrapText="1"/>
    </xf>
    <xf numFmtId="164" fontId="10" fillId="0" borderId="0" xfId="3" applyNumberFormat="1" applyFont="1"/>
    <xf numFmtId="164" fontId="11" fillId="0" borderId="3" xfId="3" applyNumberFormat="1" applyFont="1" applyBorder="1" applyAlignment="1">
      <alignment horizontal="center" vertical="center" wrapText="1"/>
    </xf>
    <xf numFmtId="164" fontId="11" fillId="0" borderId="5" xfId="3" applyNumberFormat="1" applyFont="1" applyBorder="1" applyAlignment="1">
      <alignment horizontal="center" vertical="center" wrapText="1"/>
    </xf>
    <xf numFmtId="0" fontId="10" fillId="2" borderId="1" xfId="3" applyFont="1" applyFill="1" applyBorder="1" applyAlignment="1">
      <alignment vertical="center" wrapText="1"/>
    </xf>
    <xf numFmtId="164" fontId="10" fillId="0" borderId="1" xfId="3" applyNumberFormat="1" applyFont="1" applyBorder="1" applyAlignment="1">
      <alignment vertical="center" wrapText="1"/>
    </xf>
    <xf numFmtId="164" fontId="10" fillId="0" borderId="0" xfId="3" applyNumberFormat="1" applyFont="1" applyAlignment="1">
      <alignment vertical="center"/>
    </xf>
    <xf numFmtId="166" fontId="12" fillId="2" borderId="2" xfId="3" applyNumberFormat="1" applyFont="1" applyFill="1" applyBorder="1" applyAlignment="1">
      <alignment vertical="center" wrapText="1"/>
    </xf>
    <xf numFmtId="164" fontId="12" fillId="6" borderId="2" xfId="3" applyNumberFormat="1" applyFont="1" applyFill="1" applyBorder="1" applyAlignment="1">
      <alignment vertical="center" wrapText="1"/>
    </xf>
    <xf numFmtId="166" fontId="10" fillId="2" borderId="6" xfId="3" applyNumberFormat="1" applyFont="1" applyFill="1" applyBorder="1" applyAlignment="1">
      <alignment vertical="center" wrapText="1"/>
    </xf>
    <xf numFmtId="164" fontId="10" fillId="0" borderId="6" xfId="3" applyNumberFormat="1" applyFont="1" applyBorder="1" applyAlignment="1">
      <alignment vertical="center" wrapText="1"/>
    </xf>
    <xf numFmtId="164" fontId="10" fillId="0" borderId="7" xfId="3" applyNumberFormat="1" applyFont="1" applyBorder="1" applyAlignment="1">
      <alignment vertical="center" wrapText="1"/>
    </xf>
    <xf numFmtId="0" fontId="10" fillId="2" borderId="2" xfId="3" applyFont="1" applyFill="1" applyBorder="1" applyAlignment="1">
      <alignment vertical="center" wrapText="1"/>
    </xf>
    <xf numFmtId="164" fontId="10" fillId="0" borderId="2" xfId="3" applyNumberFormat="1" applyFont="1" applyBorder="1" applyAlignment="1">
      <alignment vertical="center" wrapText="1"/>
    </xf>
    <xf numFmtId="166" fontId="10" fillId="2" borderId="2" xfId="3" applyNumberFormat="1" applyFont="1" applyFill="1" applyBorder="1" applyAlignment="1">
      <alignment vertical="center" wrapText="1"/>
    </xf>
    <xf numFmtId="166" fontId="11" fillId="2" borderId="2" xfId="3" applyNumberFormat="1" applyFont="1" applyFill="1" applyBorder="1"/>
    <xf numFmtId="164" fontId="11" fillId="7" borderId="2" xfId="3" applyNumberFormat="1" applyFont="1" applyFill="1" applyBorder="1"/>
    <xf numFmtId="164" fontId="11" fillId="0" borderId="2" xfId="4" applyNumberFormat="1" applyFont="1" applyFill="1" applyBorder="1" applyAlignment="1">
      <alignment vertical="center" wrapText="1"/>
    </xf>
    <xf numFmtId="0" fontId="11" fillId="8" borderId="2" xfId="3" applyFont="1" applyFill="1" applyBorder="1" applyAlignment="1">
      <alignment vertical="center" wrapText="1"/>
    </xf>
    <xf numFmtId="0" fontId="11" fillId="2" borderId="2" xfId="3" applyFont="1" applyFill="1" applyBorder="1" applyAlignment="1">
      <alignment horizontal="center" vertical="center" wrapText="1"/>
    </xf>
    <xf numFmtId="0" fontId="10" fillId="0" borderId="1" xfId="3" applyFont="1" applyBorder="1" applyAlignment="1">
      <alignment vertical="center" wrapText="1"/>
    </xf>
    <xf numFmtId="4" fontId="10" fillId="2" borderId="8" xfId="3" applyNumberFormat="1" applyFont="1" applyFill="1" applyBorder="1"/>
    <xf numFmtId="164" fontId="10" fillId="2" borderId="8" xfId="3" applyNumberFormat="1" applyFont="1" applyFill="1" applyBorder="1"/>
    <xf numFmtId="164" fontId="10" fillId="0" borderId="1" xfId="3" applyNumberFormat="1" applyFont="1" applyBorder="1"/>
    <xf numFmtId="0" fontId="10" fillId="0" borderId="7" xfId="3" applyFont="1" applyBorder="1" applyAlignment="1">
      <alignment vertical="center" wrapText="1"/>
    </xf>
    <xf numFmtId="4" fontId="10" fillId="2" borderId="9" xfId="3" applyNumberFormat="1" applyFont="1" applyFill="1" applyBorder="1"/>
    <xf numFmtId="4" fontId="10" fillId="2" borderId="4" xfId="3" applyNumberFormat="1" applyFont="1" applyFill="1" applyBorder="1"/>
    <xf numFmtId="164" fontId="10" fillId="2" borderId="4" xfId="3" applyNumberFormat="1" applyFont="1" applyFill="1" applyBorder="1"/>
    <xf numFmtId="166" fontId="10" fillId="3" borderId="10" xfId="3" applyNumberFormat="1" applyFont="1" applyFill="1" applyBorder="1" applyAlignment="1">
      <alignment vertical="center"/>
    </xf>
    <xf numFmtId="164" fontId="10" fillId="0" borderId="7" xfId="3" applyNumberFormat="1" applyFont="1" applyBorder="1"/>
    <xf numFmtId="0" fontId="10" fillId="0" borderId="11" xfId="3" applyFont="1" applyBorder="1"/>
    <xf numFmtId="0" fontId="10" fillId="9" borderId="2" xfId="3" applyFont="1" applyFill="1" applyBorder="1"/>
    <xf numFmtId="0" fontId="11" fillId="3" borderId="2" xfId="3" applyFont="1" applyFill="1" applyBorder="1" applyAlignment="1">
      <alignment horizontal="center" vertical="center" wrapText="1"/>
    </xf>
    <xf numFmtId="0" fontId="10" fillId="0" borderId="10" xfId="3" applyFont="1" applyBorder="1"/>
    <xf numFmtId="0" fontId="10" fillId="2" borderId="10" xfId="3" applyFont="1" applyFill="1" applyBorder="1"/>
    <xf numFmtId="0" fontId="10" fillId="3" borderId="10" xfId="3" applyFont="1" applyFill="1" applyBorder="1"/>
    <xf numFmtId="0" fontId="10" fillId="0" borderId="1" xfId="3" applyFont="1" applyBorder="1"/>
    <xf numFmtId="165" fontId="10" fillId="2" borderId="10" xfId="3" applyNumberFormat="1" applyFont="1" applyFill="1" applyBorder="1"/>
    <xf numFmtId="165" fontId="10" fillId="3" borderId="10" xfId="3" applyNumberFormat="1" applyFont="1" applyFill="1" applyBorder="1"/>
    <xf numFmtId="165" fontId="10" fillId="0" borderId="10" xfId="3" applyNumberFormat="1" applyFont="1" applyBorder="1"/>
    <xf numFmtId="0" fontId="10" fillId="0" borderId="7" xfId="3" applyFont="1" applyBorder="1"/>
    <xf numFmtId="165" fontId="10" fillId="2" borderId="7" xfId="3" applyNumberFormat="1" applyFont="1" applyFill="1" applyBorder="1"/>
    <xf numFmtId="165" fontId="10" fillId="3" borderId="7" xfId="3" applyNumberFormat="1" applyFont="1" applyFill="1" applyBorder="1"/>
    <xf numFmtId="165" fontId="10" fillId="0" borderId="7" xfId="3" applyNumberFormat="1" applyFont="1" applyBorder="1"/>
    <xf numFmtId="165" fontId="10" fillId="2" borderId="0" xfId="3" applyNumberFormat="1" applyFont="1" applyFill="1"/>
    <xf numFmtId="165" fontId="10" fillId="3" borderId="0" xfId="3" applyNumberFormat="1" applyFont="1" applyFill="1"/>
    <xf numFmtId="165" fontId="10" fillId="0" borderId="0" xfId="3" applyNumberFormat="1" applyFont="1"/>
    <xf numFmtId="164" fontId="11" fillId="0" borderId="0" xfId="3" applyNumberFormat="1" applyFont="1" applyAlignment="1">
      <alignment horizontal="center"/>
    </xf>
    <xf numFmtId="167" fontId="11" fillId="0" borderId="0" xfId="3" applyNumberFormat="1" applyFont="1" applyAlignment="1">
      <alignment horizontal="center"/>
    </xf>
    <xf numFmtId="0" fontId="10" fillId="0" borderId="0" xfId="3" applyFont="1" applyAlignment="1">
      <alignment horizontal="right"/>
    </xf>
    <xf numFmtId="164" fontId="10" fillId="2" borderId="0" xfId="3" applyNumberFormat="1" applyFont="1" applyFill="1" applyAlignment="1">
      <alignment horizontal="center"/>
    </xf>
    <xf numFmtId="164" fontId="10" fillId="3" borderId="0" xfId="3" applyNumberFormat="1" applyFont="1" applyFill="1" applyAlignment="1">
      <alignment horizontal="center"/>
    </xf>
    <xf numFmtId="164" fontId="10" fillId="10" borderId="0" xfId="3" applyNumberFormat="1" applyFont="1" applyFill="1" applyAlignment="1">
      <alignment horizontal="center"/>
    </xf>
    <xf numFmtId="9" fontId="10" fillId="0" borderId="0" xfId="3" applyNumberFormat="1" applyFont="1" applyAlignment="1">
      <alignment horizontal="right"/>
    </xf>
    <xf numFmtId="164" fontId="10" fillId="0" borderId="0" xfId="3" applyNumberFormat="1" applyFont="1" applyAlignment="1">
      <alignment horizontal="center"/>
    </xf>
    <xf numFmtId="165" fontId="10" fillId="0" borderId="0" xfId="2" applyNumberFormat="1" applyFont="1" applyAlignment="1">
      <alignment horizontal="center" vertical="center"/>
    </xf>
    <xf numFmtId="0" fontId="11" fillId="0" borderId="0" xfId="3" applyFont="1" applyAlignment="1">
      <alignment horizontal="center" vertical="center" wrapText="1"/>
    </xf>
    <xf numFmtId="164" fontId="11" fillId="0" borderId="0" xfId="3" applyNumberFormat="1" applyFont="1" applyAlignment="1">
      <alignment horizontal="center" vertical="center" wrapText="1"/>
    </xf>
    <xf numFmtId="9" fontId="10" fillId="0" borderId="0" xfId="3" applyNumberFormat="1" applyFont="1"/>
    <xf numFmtId="0" fontId="10" fillId="0" borderId="0" xfId="3" applyFont="1" applyAlignment="1">
      <alignment horizontal="left"/>
    </xf>
    <xf numFmtId="38" fontId="10" fillId="0" borderId="0" xfId="3" applyNumberFormat="1" applyFont="1"/>
    <xf numFmtId="168" fontId="10" fillId="0" borderId="0" xfId="3" applyNumberFormat="1" applyFont="1"/>
    <xf numFmtId="166" fontId="11" fillId="0" borderId="0" xfId="3" applyNumberFormat="1" applyFont="1" applyAlignment="1">
      <alignment horizontal="center" vertical="center" wrapText="1"/>
    </xf>
    <xf numFmtId="169" fontId="10" fillId="0" borderId="0" xfId="3" applyNumberFormat="1" applyFont="1"/>
    <xf numFmtId="169" fontId="10" fillId="0" borderId="12" xfId="3" applyNumberFormat="1" applyFont="1" applyBorder="1"/>
    <xf numFmtId="9" fontId="10" fillId="0" borderId="0" xfId="2" applyFont="1"/>
    <xf numFmtId="167" fontId="10" fillId="0" borderId="0" xfId="3" applyNumberFormat="1" applyFont="1"/>
    <xf numFmtId="165" fontId="10" fillId="0" borderId="0" xfId="2" applyNumberFormat="1" applyFont="1"/>
    <xf numFmtId="170" fontId="10" fillId="0" borderId="0" xfId="3" applyNumberFormat="1" applyFont="1"/>
    <xf numFmtId="2" fontId="10" fillId="0" borderId="0" xfId="3" applyNumberFormat="1" applyFont="1" applyAlignment="1">
      <alignment vertical="center" wrapText="1"/>
    </xf>
    <xf numFmtId="1" fontId="10" fillId="0" borderId="0" xfId="3" applyNumberFormat="1" applyFont="1"/>
    <xf numFmtId="171" fontId="10" fillId="0" borderId="0" xfId="3" applyNumberFormat="1" applyFont="1" applyAlignment="1">
      <alignment horizontal="right" vertical="center"/>
    </xf>
    <xf numFmtId="171" fontId="10" fillId="0" borderId="0" xfId="3" applyNumberFormat="1" applyFont="1" applyAlignment="1">
      <alignment horizontal="right"/>
    </xf>
    <xf numFmtId="171" fontId="10" fillId="0" borderId="0" xfId="3" applyNumberFormat="1" applyFont="1"/>
    <xf numFmtId="38" fontId="0" fillId="0" borderId="0" xfId="0" applyNumberFormat="1"/>
    <xf numFmtId="0" fontId="14" fillId="11" borderId="0" xfId="0" applyFont="1" applyFill="1"/>
    <xf numFmtId="0" fontId="14" fillId="0" borderId="0" xfId="0" applyFont="1"/>
    <xf numFmtId="0" fontId="14" fillId="11" borderId="16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4" fillId="11" borderId="17" xfId="0" applyFont="1" applyFill="1" applyBorder="1" applyAlignment="1">
      <alignment horizontal="center" vertical="center" wrapText="1"/>
    </xf>
    <xf numFmtId="0" fontId="14" fillId="13" borderId="14" xfId="0" applyFont="1" applyFill="1" applyBorder="1"/>
    <xf numFmtId="164" fontId="14" fillId="13" borderId="13" xfId="0" applyNumberFormat="1" applyFont="1" applyFill="1" applyBorder="1" applyAlignment="1">
      <alignment horizontal="center"/>
    </xf>
    <xf numFmtId="164" fontId="14" fillId="13" borderId="14" xfId="0" applyNumberFormat="1" applyFont="1" applyFill="1" applyBorder="1" applyAlignment="1">
      <alignment horizontal="center"/>
    </xf>
    <xf numFmtId="164" fontId="14" fillId="13" borderId="15" xfId="0" applyNumberFormat="1" applyFont="1" applyFill="1" applyBorder="1" applyAlignment="1">
      <alignment horizontal="center"/>
    </xf>
    <xf numFmtId="164" fontId="14" fillId="11" borderId="16" xfId="0" applyNumberFormat="1" applyFont="1" applyFill="1" applyBorder="1" applyAlignment="1">
      <alignment horizontal="center"/>
    </xf>
    <xf numFmtId="164" fontId="14" fillId="11" borderId="0" xfId="0" applyNumberFormat="1" applyFont="1" applyFill="1" applyAlignment="1">
      <alignment horizontal="center"/>
    </xf>
    <xf numFmtId="164" fontId="14" fillId="11" borderId="17" xfId="0" applyNumberFormat="1" applyFont="1" applyFill="1" applyBorder="1" applyAlignment="1">
      <alignment horizontal="center"/>
    </xf>
    <xf numFmtId="0" fontId="14" fillId="13" borderId="0" xfId="0" applyFont="1" applyFill="1"/>
    <xf numFmtId="164" fontId="14" fillId="13" borderId="16" xfId="0" applyNumberFormat="1" applyFont="1" applyFill="1" applyBorder="1" applyAlignment="1">
      <alignment horizontal="center"/>
    </xf>
    <xf numFmtId="164" fontId="14" fillId="13" borderId="0" xfId="0" applyNumberFormat="1" applyFont="1" applyFill="1" applyAlignment="1">
      <alignment horizontal="center"/>
    </xf>
    <xf numFmtId="164" fontId="14" fillId="13" borderId="17" xfId="0" applyNumberFormat="1" applyFont="1" applyFill="1" applyBorder="1" applyAlignment="1">
      <alignment horizontal="center"/>
    </xf>
    <xf numFmtId="0" fontId="14" fillId="13" borderId="18" xfId="0" applyFont="1" applyFill="1" applyBorder="1"/>
    <xf numFmtId="164" fontId="14" fillId="13" borderId="19" xfId="0" applyNumberFormat="1" applyFont="1" applyFill="1" applyBorder="1" applyAlignment="1">
      <alignment horizontal="center"/>
    </xf>
    <xf numFmtId="164" fontId="14" fillId="13" borderId="18" xfId="0" applyNumberFormat="1" applyFont="1" applyFill="1" applyBorder="1" applyAlignment="1">
      <alignment horizontal="center"/>
    </xf>
    <xf numFmtId="164" fontId="14" fillId="13" borderId="20" xfId="0" applyNumberFormat="1" applyFont="1" applyFill="1" applyBorder="1" applyAlignment="1">
      <alignment horizontal="center"/>
    </xf>
    <xf numFmtId="167" fontId="14" fillId="11" borderId="0" xfId="0" applyNumberFormat="1" applyFont="1" applyFill="1"/>
    <xf numFmtId="0" fontId="16" fillId="11" borderId="0" xfId="0" applyFont="1" applyFill="1" applyAlignment="1">
      <alignment horizontal="right"/>
    </xf>
    <xf numFmtId="0" fontId="17" fillId="11" borderId="0" xfId="0" applyFont="1" applyFill="1" applyAlignment="1">
      <alignment horizontal="right"/>
    </xf>
    <xf numFmtId="0" fontId="17" fillId="13" borderId="14" xfId="0" applyFont="1" applyFill="1" applyBorder="1"/>
    <xf numFmtId="0" fontId="18" fillId="13" borderId="14" xfId="0" applyFont="1" applyFill="1" applyBorder="1"/>
    <xf numFmtId="0" fontId="14" fillId="11" borderId="0" xfId="0" applyFont="1" applyFill="1" applyAlignment="1">
      <alignment horizontal="center"/>
    </xf>
    <xf numFmtId="0" fontId="17" fillId="11" borderId="0" xfId="0" applyFont="1" applyFill="1"/>
    <xf numFmtId="0" fontId="18" fillId="11" borderId="0" xfId="0" applyFont="1" applyFill="1"/>
    <xf numFmtId="0" fontId="14" fillId="11" borderId="0" xfId="0" applyFont="1" applyFill="1" applyAlignment="1">
      <alignment horizontal="right"/>
    </xf>
    <xf numFmtId="167" fontId="14" fillId="11" borderId="0" xfId="0" applyNumberFormat="1" applyFont="1" applyFill="1" applyAlignment="1">
      <alignment horizontal="center"/>
    </xf>
    <xf numFmtId="0" fontId="17" fillId="13" borderId="0" xfId="0" applyFont="1" applyFill="1"/>
    <xf numFmtId="0" fontId="18" fillId="13" borderId="0" xfId="0" applyFont="1" applyFill="1"/>
    <xf numFmtId="2" fontId="14" fillId="11" borderId="0" xfId="0" applyNumberFormat="1" applyFont="1" applyFill="1" applyAlignment="1">
      <alignment horizontal="center"/>
    </xf>
    <xf numFmtId="0" fontId="16" fillId="11" borderId="0" xfId="0" applyFont="1" applyFill="1" applyAlignment="1">
      <alignment horizontal="left"/>
    </xf>
    <xf numFmtId="164" fontId="14" fillId="11" borderId="0" xfId="0" applyNumberFormat="1" applyFont="1" applyFill="1"/>
    <xf numFmtId="0" fontId="19" fillId="11" borderId="0" xfId="0" applyFont="1" applyFill="1"/>
    <xf numFmtId="0" fontId="20" fillId="13" borderId="14" xfId="0" applyFont="1" applyFill="1" applyBorder="1"/>
    <xf numFmtId="0" fontId="21" fillId="11" borderId="0" xfId="0" applyFont="1" applyFill="1" applyAlignment="1">
      <alignment horizontal="center"/>
    </xf>
    <xf numFmtId="0" fontId="20" fillId="11" borderId="0" xfId="0" applyFont="1" applyFill="1"/>
    <xf numFmtId="0" fontId="21" fillId="11" borderId="0" xfId="0" applyFont="1" applyFill="1" applyAlignment="1">
      <alignment horizontal="right"/>
    </xf>
    <xf numFmtId="0" fontId="20" fillId="13" borderId="0" xfId="0" applyFont="1" applyFill="1"/>
    <xf numFmtId="0" fontId="22" fillId="11" borderId="18" xfId="0" applyFont="1" applyFill="1" applyBorder="1" applyAlignment="1">
      <alignment horizontal="right"/>
    </xf>
    <xf numFmtId="0" fontId="14" fillId="11" borderId="18" xfId="0" applyFont="1" applyFill="1" applyBorder="1"/>
    <xf numFmtId="0" fontId="14" fillId="11" borderId="19" xfId="0" applyFont="1" applyFill="1" applyBorder="1" applyAlignment="1">
      <alignment horizontal="center"/>
    </xf>
    <xf numFmtId="0" fontId="14" fillId="11" borderId="18" xfId="0" applyFont="1" applyFill="1" applyBorder="1" applyAlignment="1">
      <alignment horizontal="center"/>
    </xf>
    <xf numFmtId="0" fontId="14" fillId="11" borderId="20" xfId="0" applyFont="1" applyFill="1" applyBorder="1" applyAlignment="1">
      <alignment horizontal="center"/>
    </xf>
    <xf numFmtId="0" fontId="23" fillId="13" borderId="0" xfId="0" applyFont="1" applyFill="1"/>
    <xf numFmtId="164" fontId="23" fillId="13" borderId="16" xfId="0" applyNumberFormat="1" applyFont="1" applyFill="1" applyBorder="1" applyAlignment="1">
      <alignment horizontal="center"/>
    </xf>
    <xf numFmtId="164" fontId="23" fillId="13" borderId="0" xfId="0" applyNumberFormat="1" applyFont="1" applyFill="1" applyAlignment="1">
      <alignment horizontal="center"/>
    </xf>
    <xf numFmtId="164" fontId="23" fillId="13" borderId="17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166" fontId="3" fillId="0" borderId="0" xfId="3" applyNumberFormat="1" applyFont="1" applyAlignment="1">
      <alignment horizontal="center" vertical="center" wrapText="1"/>
    </xf>
    <xf numFmtId="0" fontId="5" fillId="0" borderId="0" xfId="3" applyAlignment="1">
      <alignment horizontal="right"/>
    </xf>
    <xf numFmtId="164" fontId="5" fillId="0" borderId="0" xfId="3" applyNumberFormat="1"/>
    <xf numFmtId="9" fontId="5" fillId="0" borderId="0" xfId="3" applyNumberFormat="1" applyAlignment="1">
      <alignment horizontal="right"/>
    </xf>
    <xf numFmtId="9" fontId="25" fillId="0" borderId="0" xfId="3" applyNumberFormat="1" applyFont="1" applyAlignment="1">
      <alignment horizontal="right"/>
    </xf>
    <xf numFmtId="166" fontId="5" fillId="0" borderId="0" xfId="3" applyNumberFormat="1"/>
    <xf numFmtId="40" fontId="14" fillId="0" borderId="0" xfId="0" applyNumberFormat="1" applyFont="1" applyAlignment="1">
      <alignment horizontal="center"/>
    </xf>
    <xf numFmtId="0" fontId="26" fillId="0" borderId="0" xfId="0" applyFont="1"/>
    <xf numFmtId="164" fontId="14" fillId="0" borderId="0" xfId="0" applyNumberFormat="1" applyFont="1" applyAlignment="1">
      <alignment horizontal="center"/>
    </xf>
    <xf numFmtId="164" fontId="14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40" fontId="17" fillId="0" borderId="0" xfId="0" applyNumberFormat="1" applyFont="1" applyAlignment="1">
      <alignment horizontal="center"/>
    </xf>
    <xf numFmtId="164" fontId="14" fillId="0" borderId="0" xfId="0" quotePrefix="1" applyNumberFormat="1" applyFont="1"/>
    <xf numFmtId="0" fontId="14" fillId="14" borderId="0" xfId="0" applyFont="1" applyFill="1"/>
    <xf numFmtId="0" fontId="17" fillId="14" borderId="0" xfId="0" applyFont="1" applyFill="1" applyAlignment="1">
      <alignment horizontal="right"/>
    </xf>
    <xf numFmtId="40" fontId="17" fillId="14" borderId="0" xfId="0" applyNumberFormat="1" applyFont="1" applyFill="1" applyAlignment="1">
      <alignment horizontal="center"/>
    </xf>
    <xf numFmtId="0" fontId="14" fillId="0" borderId="0" xfId="0" quotePrefix="1" applyFont="1"/>
    <xf numFmtId="0" fontId="27" fillId="0" borderId="0" xfId="0" applyFont="1" applyAlignment="1">
      <alignment horizontal="right"/>
    </xf>
    <xf numFmtId="40" fontId="14" fillId="0" borderId="0" xfId="0" applyNumberFormat="1" applyFont="1"/>
    <xf numFmtId="0" fontId="29" fillId="0" borderId="0" xfId="0" applyFont="1" applyAlignment="1">
      <alignment horizontal="left" vertical="top"/>
    </xf>
    <xf numFmtId="1" fontId="30" fillId="15" borderId="0" xfId="0" applyNumberFormat="1" applyFont="1" applyFill="1" applyAlignment="1">
      <alignment horizontal="right" vertical="top" shrinkToFit="1"/>
    </xf>
    <xf numFmtId="1" fontId="30" fillId="15" borderId="0" xfId="0" applyNumberFormat="1" applyFont="1" applyFill="1" applyAlignment="1">
      <alignment horizontal="right" shrinkToFit="1"/>
    </xf>
    <xf numFmtId="0" fontId="28" fillId="11" borderId="21" xfId="0" applyFont="1" applyFill="1" applyBorder="1" applyAlignment="1">
      <alignment horizontal="left" vertical="top" wrapText="1"/>
    </xf>
    <xf numFmtId="3" fontId="31" fillId="10" borderId="22" xfId="0" applyNumberFormat="1" applyFont="1" applyFill="1" applyBorder="1" applyAlignment="1">
      <alignment horizontal="right" vertical="top" shrinkToFit="1"/>
    </xf>
    <xf numFmtId="3" fontId="31" fillId="11" borderId="22" xfId="0" applyNumberFormat="1" applyFont="1" applyFill="1" applyBorder="1" applyAlignment="1">
      <alignment horizontal="right" vertical="top" shrinkToFit="1"/>
    </xf>
    <xf numFmtId="3" fontId="31" fillId="11" borderId="23" xfId="0" applyNumberFormat="1" applyFont="1" applyFill="1" applyBorder="1" applyAlignment="1">
      <alignment horizontal="right" vertical="top" shrinkToFit="1"/>
    </xf>
    <xf numFmtId="1" fontId="31" fillId="11" borderId="22" xfId="0" applyNumberFormat="1" applyFont="1" applyFill="1" applyBorder="1" applyAlignment="1">
      <alignment horizontal="right" vertical="top" shrinkToFit="1"/>
    </xf>
    <xf numFmtId="38" fontId="32" fillId="11" borderId="22" xfId="0" applyNumberFormat="1" applyFont="1" applyFill="1" applyBorder="1" applyAlignment="1">
      <alignment horizontal="right" vertical="top" shrinkToFit="1"/>
    </xf>
    <xf numFmtId="38" fontId="31" fillId="11" borderId="24" xfId="1" applyNumberFormat="1" applyFont="1" applyFill="1" applyBorder="1" applyAlignment="1">
      <alignment horizontal="right" vertical="center"/>
    </xf>
    <xf numFmtId="0" fontId="28" fillId="11" borderId="24" xfId="0" applyFont="1" applyFill="1" applyBorder="1" applyAlignment="1">
      <alignment horizontal="left" vertical="top" wrapText="1"/>
    </xf>
    <xf numFmtId="3" fontId="31" fillId="10" borderId="25" xfId="0" applyNumberFormat="1" applyFont="1" applyFill="1" applyBorder="1" applyAlignment="1">
      <alignment horizontal="right" vertical="top" shrinkToFit="1"/>
    </xf>
    <xf numFmtId="3" fontId="31" fillId="11" borderId="24" xfId="0" applyNumberFormat="1" applyFont="1" applyFill="1" applyBorder="1" applyAlignment="1">
      <alignment horizontal="right" vertical="top" shrinkToFit="1"/>
    </xf>
    <xf numFmtId="3" fontId="31" fillId="11" borderId="25" xfId="0" applyNumberFormat="1" applyFont="1" applyFill="1" applyBorder="1" applyAlignment="1">
      <alignment horizontal="right" vertical="top" shrinkToFit="1"/>
    </xf>
    <xf numFmtId="3" fontId="31" fillId="11" borderId="24" xfId="0" applyNumberFormat="1" applyFont="1" applyFill="1" applyBorder="1" applyAlignment="1">
      <alignment horizontal="right" vertical="top"/>
    </xf>
    <xf numFmtId="0" fontId="28" fillId="11" borderId="26" xfId="0" applyFont="1" applyFill="1" applyBorder="1" applyAlignment="1">
      <alignment horizontal="left" vertical="top" wrapText="1"/>
    </xf>
    <xf numFmtId="1" fontId="31" fillId="10" borderId="27" xfId="0" applyNumberFormat="1" applyFont="1" applyFill="1" applyBorder="1" applyAlignment="1">
      <alignment horizontal="right" vertical="top" shrinkToFit="1"/>
    </xf>
    <xf numFmtId="1" fontId="31" fillId="11" borderId="26" xfId="0" applyNumberFormat="1" applyFont="1" applyFill="1" applyBorder="1" applyAlignment="1">
      <alignment horizontal="right" vertical="top" shrinkToFit="1"/>
    </xf>
    <xf numFmtId="1" fontId="31" fillId="11" borderId="27" xfId="0" applyNumberFormat="1" applyFont="1" applyFill="1" applyBorder="1" applyAlignment="1">
      <alignment horizontal="right" vertical="top" shrinkToFit="1"/>
    </xf>
    <xf numFmtId="0" fontId="31" fillId="11" borderId="24" xfId="0" applyFont="1" applyFill="1" applyBorder="1" applyAlignment="1">
      <alignment horizontal="right" vertical="top"/>
    </xf>
    <xf numFmtId="0" fontId="33" fillId="11" borderId="28" xfId="0" applyFont="1" applyFill="1" applyBorder="1" applyAlignment="1">
      <alignment horizontal="right" vertical="top" wrapText="1"/>
    </xf>
    <xf numFmtId="3" fontId="34" fillId="10" borderId="29" xfId="0" applyNumberFormat="1" applyFont="1" applyFill="1" applyBorder="1" applyAlignment="1">
      <alignment horizontal="right" vertical="top" shrinkToFit="1"/>
    </xf>
    <xf numFmtId="3" fontId="34" fillId="10" borderId="28" xfId="0" applyNumberFormat="1" applyFont="1" applyFill="1" applyBorder="1" applyAlignment="1">
      <alignment horizontal="right" vertical="top" shrinkToFit="1"/>
    </xf>
    <xf numFmtId="3" fontId="34" fillId="10" borderId="28" xfId="0" applyNumberFormat="1" applyFont="1" applyFill="1" applyBorder="1" applyAlignment="1">
      <alignment horizontal="right" vertical="top"/>
    </xf>
    <xf numFmtId="0" fontId="28" fillId="11" borderId="24" xfId="0" applyFont="1" applyFill="1" applyBorder="1" applyAlignment="1">
      <alignment horizontal="left" vertical="top" wrapText="1" indent="1"/>
    </xf>
    <xf numFmtId="1" fontId="31" fillId="10" borderId="25" xfId="0" applyNumberFormat="1" applyFont="1" applyFill="1" applyBorder="1" applyAlignment="1">
      <alignment horizontal="right" vertical="top" shrinkToFit="1"/>
    </xf>
    <xf numFmtId="1" fontId="31" fillId="11" borderId="24" xfId="0" applyNumberFormat="1" applyFont="1" applyFill="1" applyBorder="1" applyAlignment="1">
      <alignment horizontal="right" vertical="top" shrinkToFit="1"/>
    </xf>
    <xf numFmtId="1" fontId="31" fillId="11" borderId="25" xfId="0" applyNumberFormat="1" applyFont="1" applyFill="1" applyBorder="1" applyAlignment="1">
      <alignment horizontal="right" vertical="top" shrinkToFit="1"/>
    </xf>
    <xf numFmtId="3" fontId="31" fillId="10" borderId="27" xfId="0" applyNumberFormat="1" applyFont="1" applyFill="1" applyBorder="1" applyAlignment="1">
      <alignment horizontal="right" vertical="top" shrinkToFit="1"/>
    </xf>
    <xf numFmtId="3" fontId="31" fillId="11" borderId="26" xfId="0" applyNumberFormat="1" applyFont="1" applyFill="1" applyBorder="1" applyAlignment="1">
      <alignment horizontal="right" vertical="top" shrinkToFit="1"/>
    </xf>
    <xf numFmtId="3" fontId="31" fillId="11" borderId="27" xfId="0" applyNumberFormat="1" applyFont="1" applyFill="1" applyBorder="1" applyAlignment="1">
      <alignment horizontal="right" vertical="top" shrinkToFit="1"/>
    </xf>
    <xf numFmtId="3" fontId="31" fillId="10" borderId="25" xfId="0" applyNumberFormat="1" applyFont="1" applyFill="1" applyBorder="1" applyAlignment="1">
      <alignment horizontal="right" vertical="top" wrapText="1"/>
    </xf>
    <xf numFmtId="0" fontId="28" fillId="11" borderId="24" xfId="0" applyFont="1" applyFill="1" applyBorder="1" applyAlignment="1">
      <alignment horizontal="right" vertical="top" wrapText="1"/>
    </xf>
    <xf numFmtId="3" fontId="31" fillId="11" borderId="25" xfId="0" applyNumberFormat="1" applyFont="1" applyFill="1" applyBorder="1" applyAlignment="1">
      <alignment horizontal="right" vertical="top" wrapText="1"/>
    </xf>
    <xf numFmtId="0" fontId="28" fillId="11" borderId="25" xfId="0" applyFont="1" applyFill="1" applyBorder="1" applyAlignment="1">
      <alignment horizontal="right" vertical="top" wrapText="1"/>
    </xf>
    <xf numFmtId="38" fontId="31" fillId="11" borderId="25" xfId="0" applyNumberFormat="1" applyFont="1" applyFill="1" applyBorder="1" applyAlignment="1">
      <alignment horizontal="right" vertical="top" wrapText="1"/>
    </xf>
    <xf numFmtId="0" fontId="32" fillId="11" borderId="25" xfId="0" applyFont="1" applyFill="1" applyBorder="1" applyAlignment="1">
      <alignment horizontal="right" vertical="top" wrapText="1"/>
    </xf>
    <xf numFmtId="38" fontId="31" fillId="11" borderId="24" xfId="0" applyNumberFormat="1" applyFont="1" applyFill="1" applyBorder="1" applyAlignment="1">
      <alignment horizontal="right" vertical="top"/>
    </xf>
    <xf numFmtId="0" fontId="35" fillId="11" borderId="30" xfId="0" applyFont="1" applyFill="1" applyBorder="1" applyAlignment="1">
      <alignment vertical="top"/>
    </xf>
    <xf numFmtId="40" fontId="35" fillId="10" borderId="30" xfId="0" applyNumberFormat="1" applyFont="1" applyFill="1" applyBorder="1" applyAlignment="1">
      <alignment horizontal="center" vertical="top"/>
    </xf>
    <xf numFmtId="40" fontId="35" fillId="11" borderId="30" xfId="0" applyNumberFormat="1" applyFont="1" applyFill="1" applyBorder="1" applyAlignment="1">
      <alignment horizontal="center"/>
    </xf>
    <xf numFmtId="0" fontId="29" fillId="11" borderId="0" xfId="0" applyFont="1" applyFill="1" applyAlignment="1">
      <alignment horizontal="left" vertical="top"/>
    </xf>
    <xf numFmtId="1" fontId="30" fillId="15" borderId="31" xfId="0" applyNumberFormat="1" applyFont="1" applyFill="1" applyBorder="1" applyAlignment="1">
      <alignment horizontal="left" shrinkToFit="1"/>
    </xf>
    <xf numFmtId="1" fontId="30" fillId="15" borderId="31" xfId="0" applyNumberFormat="1" applyFont="1" applyFill="1" applyBorder="1" applyAlignment="1">
      <alignment horizontal="right" shrinkToFit="1"/>
    </xf>
    <xf numFmtId="1" fontId="30" fillId="15" borderId="30" xfId="0" applyNumberFormat="1" applyFont="1" applyFill="1" applyBorder="1" applyAlignment="1">
      <alignment horizontal="right" shrinkToFit="1"/>
    </xf>
    <xf numFmtId="1" fontId="30" fillId="15" borderId="32" xfId="0" applyNumberFormat="1" applyFont="1" applyFill="1" applyBorder="1" applyAlignment="1">
      <alignment horizontal="right" shrinkToFit="1"/>
    </xf>
    <xf numFmtId="0" fontId="35" fillId="11" borderId="33" xfId="0" applyFont="1" applyFill="1" applyBorder="1" applyAlignment="1">
      <alignment horizontal="left"/>
    </xf>
    <xf numFmtId="40" fontId="35" fillId="11" borderId="34" xfId="0" applyNumberFormat="1" applyFont="1" applyFill="1" applyBorder="1" applyAlignment="1">
      <alignment horizontal="center"/>
    </xf>
    <xf numFmtId="40" fontId="35" fillId="11" borderId="35" xfId="0" applyNumberFormat="1" applyFont="1" applyFill="1" applyBorder="1" applyAlignment="1">
      <alignment horizontal="center"/>
    </xf>
    <xf numFmtId="40" fontId="35" fillId="11" borderId="36" xfId="0" applyNumberFormat="1" applyFont="1" applyFill="1" applyBorder="1" applyAlignment="1">
      <alignment horizontal="center"/>
    </xf>
    <xf numFmtId="40" fontId="35" fillId="11" borderId="37" xfId="0" applyNumberFormat="1" applyFont="1" applyFill="1" applyBorder="1" applyAlignment="1">
      <alignment horizontal="center"/>
    </xf>
    <xf numFmtId="0" fontId="2" fillId="11" borderId="0" xfId="0" applyFont="1" applyFill="1"/>
    <xf numFmtId="38" fontId="2" fillId="11" borderId="0" xfId="0" applyNumberFormat="1" applyFont="1" applyFill="1"/>
    <xf numFmtId="38" fontId="2" fillId="11" borderId="38" xfId="0" applyNumberFormat="1" applyFont="1" applyFill="1" applyBorder="1"/>
    <xf numFmtId="1" fontId="30" fillId="15" borderId="39" xfId="0" applyNumberFormat="1" applyFont="1" applyFill="1" applyBorder="1" applyAlignment="1">
      <alignment horizontal="right" vertical="top" indent="1" shrinkToFit="1"/>
    </xf>
    <xf numFmtId="1" fontId="30" fillId="16" borderId="0" xfId="0" applyNumberFormat="1" applyFont="1" applyFill="1" applyAlignment="1">
      <alignment horizontal="right" shrinkToFit="1"/>
    </xf>
    <xf numFmtId="38" fontId="37" fillId="10" borderId="40" xfId="0" applyNumberFormat="1" applyFont="1" applyFill="1" applyBorder="1"/>
    <xf numFmtId="38" fontId="37" fillId="11" borderId="41" xfId="0" applyNumberFormat="1" applyFont="1" applyFill="1" applyBorder="1"/>
    <xf numFmtId="38" fontId="37" fillId="11" borderId="42" xfId="0" applyNumberFormat="1" applyFont="1" applyFill="1" applyBorder="1"/>
    <xf numFmtId="38" fontId="37" fillId="10" borderId="24" xfId="0" applyNumberFormat="1" applyFont="1" applyFill="1" applyBorder="1"/>
    <xf numFmtId="38" fontId="37" fillId="11" borderId="24" xfId="0" applyNumberFormat="1" applyFont="1" applyFill="1" applyBorder="1"/>
    <xf numFmtId="38" fontId="37" fillId="11" borderId="43" xfId="0" applyNumberFormat="1" applyFont="1" applyFill="1" applyBorder="1"/>
    <xf numFmtId="38" fontId="37" fillId="11" borderId="44" xfId="0" applyNumberFormat="1" applyFont="1" applyFill="1" applyBorder="1"/>
    <xf numFmtId="38" fontId="37" fillId="10" borderId="26" xfId="0" applyNumberFormat="1" applyFont="1" applyFill="1" applyBorder="1"/>
    <xf numFmtId="38" fontId="35" fillId="10" borderId="45" xfId="0" applyNumberFormat="1" applyFont="1" applyFill="1" applyBorder="1"/>
    <xf numFmtId="38" fontId="35" fillId="10" borderId="46" xfId="0" applyNumberFormat="1" applyFont="1" applyFill="1" applyBorder="1"/>
    <xf numFmtId="38" fontId="35" fillId="10" borderId="29" xfId="0" applyNumberFormat="1" applyFont="1" applyFill="1" applyBorder="1"/>
    <xf numFmtId="38" fontId="35" fillId="10" borderId="28" xfId="0" applyNumberFormat="1" applyFont="1" applyFill="1" applyBorder="1"/>
    <xf numFmtId="3" fontId="31" fillId="10" borderId="24" xfId="0" applyNumberFormat="1" applyFont="1" applyFill="1" applyBorder="1" applyAlignment="1">
      <alignment horizontal="right" vertical="top" shrinkToFit="1"/>
    </xf>
    <xf numFmtId="3" fontId="31" fillId="11" borderId="25" xfId="0" applyNumberFormat="1" applyFont="1" applyFill="1" applyBorder="1" applyAlignment="1">
      <alignment horizontal="right" vertical="top"/>
    </xf>
    <xf numFmtId="0" fontId="28" fillId="11" borderId="47" xfId="0" applyFont="1" applyFill="1" applyBorder="1" applyAlignment="1">
      <alignment vertical="top" wrapText="1"/>
    </xf>
    <xf numFmtId="38" fontId="37" fillId="10" borderId="48" xfId="0" applyNumberFormat="1" applyFont="1" applyFill="1" applyBorder="1"/>
    <xf numFmtId="38" fontId="37" fillId="11" borderId="25" xfId="0" applyNumberFormat="1" applyFont="1" applyFill="1" applyBorder="1"/>
    <xf numFmtId="0" fontId="28" fillId="11" borderId="47" xfId="0" applyFont="1" applyFill="1" applyBorder="1" applyAlignment="1">
      <alignment horizontal="left" vertical="top" wrapText="1" indent="1"/>
    </xf>
    <xf numFmtId="38" fontId="37" fillId="10" borderId="44" xfId="0" applyNumberFormat="1" applyFont="1" applyFill="1" applyBorder="1"/>
    <xf numFmtId="38" fontId="37" fillId="11" borderId="48" xfId="0" applyNumberFormat="1" applyFont="1" applyFill="1" applyBorder="1"/>
    <xf numFmtId="0" fontId="28" fillId="11" borderId="49" xfId="0" applyFont="1" applyFill="1" applyBorder="1" applyAlignment="1">
      <alignment horizontal="left" vertical="top" wrapText="1"/>
    </xf>
    <xf numFmtId="38" fontId="37" fillId="11" borderId="50" xfId="0" applyNumberFormat="1" applyFont="1" applyFill="1" applyBorder="1"/>
    <xf numFmtId="0" fontId="33" fillId="11" borderId="51" xfId="0" applyFont="1" applyFill="1" applyBorder="1" applyAlignment="1">
      <alignment horizontal="right" vertical="top" wrapText="1"/>
    </xf>
    <xf numFmtId="38" fontId="35" fillId="10" borderId="52" xfId="0" applyNumberFormat="1" applyFont="1" applyFill="1" applyBorder="1"/>
    <xf numFmtId="38" fontId="37" fillId="10" borderId="43" xfId="0" applyNumberFormat="1" applyFont="1" applyFill="1" applyBorder="1"/>
    <xf numFmtId="0" fontId="35" fillId="11" borderId="30" xfId="0" applyFont="1" applyFill="1" applyBorder="1"/>
    <xf numFmtId="40" fontId="38" fillId="10" borderId="30" xfId="0" applyNumberFormat="1" applyFont="1" applyFill="1" applyBorder="1" applyAlignment="1">
      <alignment horizontal="center"/>
    </xf>
    <xf numFmtId="40" fontId="38" fillId="11" borderId="30" xfId="0" applyNumberFormat="1" applyFont="1" applyFill="1" applyBorder="1" applyAlignment="1">
      <alignment horizontal="center"/>
    </xf>
    <xf numFmtId="1" fontId="30" fillId="15" borderId="30" xfId="0" applyNumberFormat="1" applyFont="1" applyFill="1" applyBorder="1" applyAlignment="1">
      <alignment horizontal="left" shrinkToFit="1"/>
    </xf>
    <xf numFmtId="1" fontId="30" fillId="15" borderId="38" xfId="0" applyNumberFormat="1" applyFont="1" applyFill="1" applyBorder="1" applyAlignment="1">
      <alignment horizontal="right" shrinkToFit="1"/>
    </xf>
    <xf numFmtId="1" fontId="30" fillId="15" borderId="53" xfId="0" applyNumberFormat="1" applyFont="1" applyFill="1" applyBorder="1" applyAlignment="1">
      <alignment horizontal="right" shrinkToFit="1"/>
    </xf>
    <xf numFmtId="0" fontId="35" fillId="11" borderId="30" xfId="0" applyFont="1" applyFill="1" applyBorder="1" applyAlignment="1">
      <alignment horizontal="left"/>
    </xf>
    <xf numFmtId="40" fontId="35" fillId="10" borderId="30" xfId="0" applyNumberFormat="1" applyFont="1" applyFill="1" applyBorder="1" applyAlignment="1">
      <alignment horizontal="center"/>
    </xf>
    <xf numFmtId="40" fontId="38" fillId="11" borderId="54" xfId="0" applyNumberFormat="1" applyFont="1" applyFill="1" applyBorder="1" applyAlignment="1">
      <alignment horizontal="center"/>
    </xf>
    <xf numFmtId="40" fontId="38" fillId="11" borderId="55" xfId="0" applyNumberFormat="1" applyFont="1" applyFill="1" applyBorder="1" applyAlignment="1">
      <alignment horizontal="center"/>
    </xf>
    <xf numFmtId="1" fontId="40" fillId="17" borderId="56" xfId="0" applyNumberFormat="1" applyFont="1" applyFill="1" applyBorder="1" applyAlignment="1">
      <alignment horizontal="right" vertical="top" indent="1" shrinkToFit="1"/>
    </xf>
    <xf numFmtId="1" fontId="40" fillId="17" borderId="0" xfId="0" applyNumberFormat="1" applyFont="1" applyFill="1" applyAlignment="1">
      <alignment horizontal="right" vertical="top" indent="1" shrinkToFit="1"/>
    </xf>
    <xf numFmtId="1" fontId="40" fillId="15" borderId="0" xfId="0" applyNumberFormat="1" applyFont="1" applyFill="1" applyAlignment="1">
      <alignment horizontal="right" vertical="top" indent="1" shrinkToFit="1"/>
    </xf>
    <xf numFmtId="1" fontId="40" fillId="15" borderId="0" xfId="0" applyNumberFormat="1" applyFont="1" applyFill="1" applyAlignment="1">
      <alignment horizontal="left" vertical="top" indent="4" shrinkToFit="1"/>
    </xf>
    <xf numFmtId="1" fontId="40" fillId="16" borderId="0" xfId="0" applyNumberFormat="1" applyFont="1" applyFill="1" applyAlignment="1">
      <alignment horizontal="right" vertical="top" shrinkToFit="1"/>
    </xf>
    <xf numFmtId="0" fontId="39" fillId="11" borderId="21" xfId="0" applyFont="1" applyFill="1" applyBorder="1" applyAlignment="1">
      <alignment horizontal="left" vertical="top" wrapText="1"/>
    </xf>
    <xf numFmtId="1" fontId="41" fillId="10" borderId="22" xfId="0" applyNumberFormat="1" applyFont="1" applyFill="1" applyBorder="1" applyAlignment="1">
      <alignment horizontal="right" vertical="top" shrinkToFit="1"/>
    </xf>
    <xf numFmtId="1" fontId="41" fillId="11" borderId="22" xfId="0" applyNumberFormat="1" applyFont="1" applyFill="1" applyBorder="1" applyAlignment="1">
      <alignment horizontal="right" vertical="top" shrinkToFit="1"/>
    </xf>
    <xf numFmtId="1" fontId="42" fillId="11" borderId="22" xfId="0" applyNumberFormat="1" applyFont="1" applyFill="1" applyBorder="1" applyAlignment="1">
      <alignment horizontal="right" vertical="top" shrinkToFit="1"/>
    </xf>
    <xf numFmtId="0" fontId="39" fillId="11" borderId="24" xfId="0" applyFont="1" applyFill="1" applyBorder="1" applyAlignment="1">
      <alignment horizontal="left" vertical="top" wrapText="1"/>
    </xf>
    <xf numFmtId="3" fontId="41" fillId="10" borderId="25" xfId="0" applyNumberFormat="1" applyFont="1" applyFill="1" applyBorder="1" applyAlignment="1">
      <alignment horizontal="right" vertical="top" shrinkToFit="1"/>
    </xf>
    <xf numFmtId="38" fontId="43" fillId="11" borderId="25" xfId="0" applyNumberFormat="1" applyFont="1" applyFill="1" applyBorder="1"/>
    <xf numFmtId="0" fontId="39" fillId="11" borderId="26" xfId="0" applyFont="1" applyFill="1" applyBorder="1" applyAlignment="1">
      <alignment horizontal="left" vertical="top" wrapText="1"/>
    </xf>
    <xf numFmtId="1" fontId="41" fillId="10" borderId="27" xfId="0" applyNumberFormat="1" applyFont="1" applyFill="1" applyBorder="1" applyAlignment="1">
      <alignment horizontal="right" vertical="top" shrinkToFit="1"/>
    </xf>
    <xf numFmtId="1" fontId="41" fillId="11" borderId="27" xfId="0" applyNumberFormat="1" applyFont="1" applyFill="1" applyBorder="1" applyAlignment="1">
      <alignment horizontal="right" vertical="top" shrinkToFit="1"/>
    </xf>
    <xf numFmtId="3" fontId="41" fillId="11" borderId="25" xfId="0" applyNumberFormat="1" applyFont="1" applyFill="1" applyBorder="1" applyAlignment="1">
      <alignment horizontal="right" vertical="top"/>
    </xf>
    <xf numFmtId="0" fontId="44" fillId="11" borderId="28" xfId="0" applyFont="1" applyFill="1" applyBorder="1" applyAlignment="1">
      <alignment horizontal="right" vertical="top" wrapText="1"/>
    </xf>
    <xf numFmtId="3" fontId="45" fillId="10" borderId="29" xfId="0" applyNumberFormat="1" applyFont="1" applyFill="1" applyBorder="1" applyAlignment="1">
      <alignment horizontal="right" vertical="top" shrinkToFit="1"/>
    </xf>
    <xf numFmtId="3" fontId="41" fillId="11" borderId="25" xfId="0" applyNumberFormat="1" applyFont="1" applyFill="1" applyBorder="1" applyAlignment="1">
      <alignment horizontal="right" vertical="top" shrinkToFit="1"/>
    </xf>
    <xf numFmtId="0" fontId="39" fillId="11" borderId="24" xfId="0" applyFont="1" applyFill="1" applyBorder="1" applyAlignment="1">
      <alignment vertical="top" wrapText="1"/>
    </xf>
    <xf numFmtId="3" fontId="41" fillId="0" borderId="57" xfId="0" applyNumberFormat="1" applyFont="1" applyBorder="1" applyAlignment="1">
      <alignment horizontal="right" vertical="top" shrinkToFit="1"/>
    </xf>
    <xf numFmtId="0" fontId="39" fillId="11" borderId="24" xfId="0" applyFont="1" applyFill="1" applyBorder="1" applyAlignment="1">
      <alignment horizontal="left" vertical="top" wrapText="1" indent="1"/>
    </xf>
    <xf numFmtId="1" fontId="41" fillId="10" borderId="25" xfId="0" applyNumberFormat="1" applyFont="1" applyFill="1" applyBorder="1" applyAlignment="1">
      <alignment horizontal="right" vertical="top" shrinkToFit="1"/>
    </xf>
    <xf numFmtId="1" fontId="41" fillId="0" borderId="25" xfId="0" applyNumberFormat="1" applyFont="1" applyBorder="1" applyAlignment="1">
      <alignment horizontal="right" vertical="top" shrinkToFit="1"/>
    </xf>
    <xf numFmtId="0" fontId="41" fillId="11" borderId="25" xfId="0" applyFont="1" applyFill="1" applyBorder="1" applyAlignment="1">
      <alignment horizontal="right" vertical="top"/>
    </xf>
    <xf numFmtId="1" fontId="41" fillId="11" borderId="25" xfId="0" applyNumberFormat="1" applyFont="1" applyFill="1" applyBorder="1" applyAlignment="1">
      <alignment horizontal="right" vertical="top" shrinkToFit="1"/>
    </xf>
    <xf numFmtId="3" fontId="41" fillId="10" borderId="25" xfId="0" applyNumberFormat="1" applyFont="1" applyFill="1" applyBorder="1" applyAlignment="1">
      <alignment horizontal="right" vertical="top" wrapText="1"/>
    </xf>
    <xf numFmtId="3" fontId="41" fillId="0" borderId="25" xfId="0" applyNumberFormat="1" applyFont="1" applyBorder="1" applyAlignment="1">
      <alignment horizontal="right" vertical="top" wrapText="1"/>
    </xf>
    <xf numFmtId="3" fontId="42" fillId="0" borderId="25" xfId="0" applyNumberFormat="1" applyFont="1" applyBorder="1" applyAlignment="1">
      <alignment horizontal="right" vertical="top" wrapText="1"/>
    </xf>
    <xf numFmtId="0" fontId="38" fillId="11" borderId="30" xfId="0" applyFont="1" applyFill="1" applyBorder="1"/>
    <xf numFmtId="1" fontId="40" fillId="15" borderId="58" xfId="0" applyNumberFormat="1" applyFont="1" applyFill="1" applyBorder="1" applyAlignment="1">
      <alignment vertical="top" shrinkToFit="1"/>
    </xf>
    <xf numFmtId="1" fontId="40" fillId="15" borderId="38" xfId="0" applyNumberFormat="1" applyFont="1" applyFill="1" applyBorder="1" applyAlignment="1">
      <alignment horizontal="right" shrinkToFit="1"/>
    </xf>
    <xf numFmtId="1" fontId="40" fillId="15" borderId="59" xfId="0" applyNumberFormat="1" applyFont="1" applyFill="1" applyBorder="1" applyAlignment="1">
      <alignment horizontal="right" shrinkToFit="1"/>
    </xf>
    <xf numFmtId="1" fontId="40" fillId="15" borderId="30" xfId="0" applyNumberFormat="1" applyFont="1" applyFill="1" applyBorder="1" applyAlignment="1">
      <alignment horizontal="right" shrinkToFit="1"/>
    </xf>
    <xf numFmtId="1" fontId="40" fillId="15" borderId="60" xfId="0" applyNumberFormat="1" applyFont="1" applyFill="1" applyBorder="1" applyAlignment="1">
      <alignment horizontal="right" shrinkToFit="1"/>
    </xf>
    <xf numFmtId="1" fontId="40" fillId="15" borderId="31" xfId="0" applyNumberFormat="1" applyFont="1" applyFill="1" applyBorder="1" applyAlignment="1">
      <alignment horizontal="right" shrinkToFit="1"/>
    </xf>
    <xf numFmtId="1" fontId="40" fillId="15" borderId="61" xfId="0" applyNumberFormat="1" applyFont="1" applyFill="1" applyBorder="1" applyAlignment="1">
      <alignment horizontal="right" shrinkToFit="1"/>
    </xf>
    <xf numFmtId="1" fontId="40" fillId="15" borderId="53" xfId="0" applyNumberFormat="1" applyFont="1" applyFill="1" applyBorder="1" applyAlignment="1">
      <alignment horizontal="right" shrinkToFit="1"/>
    </xf>
    <xf numFmtId="0" fontId="38" fillId="11" borderId="62" xfId="0" applyFont="1" applyFill="1" applyBorder="1"/>
    <xf numFmtId="40" fontId="45" fillId="18" borderId="54" xfId="0" applyNumberFormat="1" applyFont="1" applyFill="1" applyBorder="1" applyAlignment="1">
      <alignment horizontal="center"/>
    </xf>
    <xf numFmtId="40" fontId="38" fillId="11" borderId="63" xfId="0" applyNumberFormat="1" applyFont="1" applyFill="1" applyBorder="1" applyAlignment="1">
      <alignment horizontal="center"/>
    </xf>
    <xf numFmtId="40" fontId="38" fillId="11" borderId="64" xfId="0" applyNumberFormat="1" applyFont="1" applyFill="1" applyBorder="1" applyAlignment="1">
      <alignment horizontal="center"/>
    </xf>
    <xf numFmtId="40" fontId="38" fillId="11" borderId="65" xfId="0" applyNumberFormat="1" applyFont="1" applyFill="1" applyBorder="1" applyAlignment="1">
      <alignment horizontal="center"/>
    </xf>
    <xf numFmtId="0" fontId="47" fillId="0" borderId="0" xfId="0" applyFont="1"/>
    <xf numFmtId="0" fontId="43" fillId="11" borderId="0" xfId="0" applyFont="1" applyFill="1"/>
    <xf numFmtId="0" fontId="48" fillId="19" borderId="66" xfId="0" applyFont="1" applyFill="1" applyBorder="1"/>
    <xf numFmtId="168" fontId="49" fillId="19" borderId="66" xfId="1" quotePrefix="1" applyNumberFormat="1" applyFont="1" applyFill="1" applyBorder="1" applyAlignment="1" applyProtection="1">
      <alignment horizontal="right"/>
    </xf>
    <xf numFmtId="38" fontId="43" fillId="10" borderId="42" xfId="0" applyNumberFormat="1" applyFont="1" applyFill="1" applyBorder="1"/>
    <xf numFmtId="38" fontId="43" fillId="11" borderId="42" xfId="0" applyNumberFormat="1" applyFont="1" applyFill="1" applyBorder="1"/>
    <xf numFmtId="38" fontId="43" fillId="10" borderId="44" xfId="0" applyNumberFormat="1" applyFont="1" applyFill="1" applyBorder="1"/>
    <xf numFmtId="38" fontId="43" fillId="11" borderId="44" xfId="0" applyNumberFormat="1" applyFont="1" applyFill="1" applyBorder="1"/>
    <xf numFmtId="0" fontId="38" fillId="11" borderId="67" xfId="0" applyFont="1" applyFill="1" applyBorder="1" applyAlignment="1">
      <alignment horizontal="right"/>
    </xf>
    <xf numFmtId="38" fontId="38" fillId="10" borderId="52" xfId="0" applyNumberFormat="1" applyFont="1" applyFill="1" applyBorder="1"/>
    <xf numFmtId="0" fontId="43" fillId="11" borderId="0" xfId="0" applyFont="1" applyFill="1" applyAlignment="1">
      <alignment horizontal="left" indent="1"/>
    </xf>
    <xf numFmtId="38" fontId="43" fillId="0" borderId="44" xfId="0" applyNumberFormat="1" applyFont="1" applyBorder="1"/>
    <xf numFmtId="0" fontId="50" fillId="11" borderId="0" xfId="0" applyFont="1" applyFill="1"/>
    <xf numFmtId="0" fontId="51" fillId="11" borderId="32" xfId="0" applyFont="1" applyFill="1" applyBorder="1"/>
    <xf numFmtId="0" fontId="51" fillId="11" borderId="0" xfId="0" applyFont="1" applyFill="1"/>
    <xf numFmtId="1" fontId="40" fillId="15" borderId="30" xfId="0" applyNumberFormat="1" applyFont="1" applyFill="1" applyBorder="1" applyAlignment="1">
      <alignment vertical="top" shrinkToFit="1"/>
    </xf>
    <xf numFmtId="1" fontId="40" fillId="15" borderId="38" xfId="0" applyNumberFormat="1" applyFont="1" applyFill="1" applyBorder="1" applyAlignment="1">
      <alignment horizontal="right" vertical="top" shrinkToFit="1"/>
    </xf>
    <xf numFmtId="1" fontId="40" fillId="15" borderId="30" xfId="0" applyNumberFormat="1" applyFont="1" applyFill="1" applyBorder="1" applyAlignment="1">
      <alignment horizontal="right" vertical="top" shrinkToFit="1"/>
    </xf>
    <xf numFmtId="1" fontId="40" fillId="15" borderId="31" xfId="0" applyNumberFormat="1" applyFont="1" applyFill="1" applyBorder="1" applyAlignment="1">
      <alignment horizontal="right" vertical="top" shrinkToFit="1"/>
    </xf>
    <xf numFmtId="3" fontId="41" fillId="11" borderId="22" xfId="0" applyNumberFormat="1" applyFont="1" applyFill="1" applyBorder="1" applyAlignment="1">
      <alignment horizontal="right" vertical="top" shrinkToFit="1"/>
    </xf>
    <xf numFmtId="168" fontId="42" fillId="11" borderId="22" xfId="0" applyNumberFormat="1" applyFont="1" applyFill="1" applyBorder="1" applyAlignment="1">
      <alignment horizontal="right" vertical="top" shrinkToFit="1"/>
    </xf>
    <xf numFmtId="38" fontId="42" fillId="11" borderId="22" xfId="0" applyNumberFormat="1" applyFont="1" applyFill="1" applyBorder="1" applyAlignment="1">
      <alignment horizontal="right" vertical="top" shrinkToFit="1"/>
    </xf>
    <xf numFmtId="38" fontId="41" fillId="11" borderId="25" xfId="0" applyNumberFormat="1" applyFont="1" applyFill="1" applyBorder="1" applyAlignment="1">
      <alignment horizontal="right" vertical="top"/>
    </xf>
    <xf numFmtId="3" fontId="41" fillId="10" borderId="29" xfId="0" applyNumberFormat="1" applyFont="1" applyFill="1" applyBorder="1" applyAlignment="1">
      <alignment horizontal="right" vertical="top" shrinkToFit="1"/>
    </xf>
    <xf numFmtId="3" fontId="41" fillId="11" borderId="29" xfId="0" applyNumberFormat="1" applyFont="1" applyFill="1" applyBorder="1" applyAlignment="1">
      <alignment horizontal="right" vertical="top" shrinkToFit="1"/>
    </xf>
    <xf numFmtId="3" fontId="41" fillId="11" borderId="29" xfId="0" applyNumberFormat="1" applyFont="1" applyFill="1" applyBorder="1" applyAlignment="1">
      <alignment horizontal="right" vertical="top"/>
    </xf>
    <xf numFmtId="0" fontId="41" fillId="11" borderId="27" xfId="0" applyFont="1" applyFill="1" applyBorder="1" applyAlignment="1">
      <alignment horizontal="right" vertical="top"/>
    </xf>
    <xf numFmtId="0" fontId="41" fillId="10" borderId="68" xfId="0" applyFont="1" applyFill="1" applyBorder="1" applyAlignment="1">
      <alignment horizontal="right" vertical="top" wrapText="1"/>
    </xf>
    <xf numFmtId="0" fontId="41" fillId="11" borderId="68" xfId="0" applyFont="1" applyFill="1" applyBorder="1" applyAlignment="1">
      <alignment horizontal="right" vertical="top" wrapText="1"/>
    </xf>
    <xf numFmtId="3" fontId="41" fillId="11" borderId="68" xfId="0" applyNumberFormat="1" applyFont="1" applyFill="1" applyBorder="1" applyAlignment="1">
      <alignment horizontal="right" vertical="top" wrapText="1"/>
    </xf>
    <xf numFmtId="168" fontId="41" fillId="11" borderId="68" xfId="0" applyNumberFormat="1" applyFont="1" applyFill="1" applyBorder="1" applyAlignment="1">
      <alignment horizontal="right" vertical="top" wrapText="1"/>
    </xf>
    <xf numFmtId="38" fontId="41" fillId="11" borderId="68" xfId="0" applyNumberFormat="1" applyFont="1" applyFill="1" applyBorder="1" applyAlignment="1">
      <alignment horizontal="right" vertical="top" wrapText="1"/>
    </xf>
    <xf numFmtId="38" fontId="41" fillId="11" borderId="68" xfId="0" applyNumberFormat="1" applyFont="1" applyFill="1" applyBorder="1" applyAlignment="1">
      <alignment horizontal="right" vertical="top"/>
    </xf>
    <xf numFmtId="1" fontId="40" fillId="15" borderId="69" xfId="0" applyNumberFormat="1" applyFont="1" applyFill="1" applyBorder="1" applyAlignment="1">
      <alignment horizontal="left" vertical="center" shrinkToFit="1"/>
    </xf>
    <xf numFmtId="1" fontId="40" fillId="15" borderId="53" xfId="0" applyNumberFormat="1" applyFont="1" applyFill="1" applyBorder="1" applyAlignment="1">
      <alignment horizontal="right" vertical="top" shrinkToFit="1"/>
    </xf>
    <xf numFmtId="40" fontId="45" fillId="20" borderId="30" xfId="0" applyNumberFormat="1" applyFont="1" applyFill="1" applyBorder="1" applyAlignment="1">
      <alignment horizontal="center"/>
    </xf>
    <xf numFmtId="40" fontId="45" fillId="21" borderId="30" xfId="0" applyNumberFormat="1" applyFont="1" applyFill="1" applyBorder="1" applyAlignment="1">
      <alignment horizontal="center"/>
    </xf>
    <xf numFmtId="0" fontId="38" fillId="0" borderId="0" xfId="0" applyFont="1"/>
    <xf numFmtId="40" fontId="45" fillId="0" borderId="0" xfId="0" applyNumberFormat="1" applyFont="1" applyAlignment="1">
      <alignment horizontal="center"/>
    </xf>
    <xf numFmtId="0" fontId="49" fillId="19" borderId="30" xfId="0" applyFont="1" applyFill="1" applyBorder="1"/>
    <xf numFmtId="168" fontId="49" fillId="17" borderId="60" xfId="1" quotePrefix="1" applyNumberFormat="1" applyFont="1" applyFill="1" applyBorder="1" applyAlignment="1" applyProtection="1">
      <alignment horizontal="right"/>
    </xf>
    <xf numFmtId="168" fontId="49" fillId="17" borderId="30" xfId="1" quotePrefix="1" applyNumberFormat="1" applyFont="1" applyFill="1" applyBorder="1" applyAlignment="1" applyProtection="1">
      <alignment horizontal="right"/>
    </xf>
    <xf numFmtId="168" fontId="49" fillId="17" borderId="31" xfId="1" quotePrefix="1" applyNumberFormat="1" applyFont="1" applyFill="1" applyBorder="1" applyAlignment="1" applyProtection="1">
      <alignment horizontal="right"/>
    </xf>
    <xf numFmtId="168" fontId="49" fillId="19" borderId="66" xfId="1" quotePrefix="1" applyNumberFormat="1" applyFont="1" applyFill="1" applyBorder="1" applyAlignment="1" applyProtection="1">
      <alignment horizontal="center"/>
    </xf>
    <xf numFmtId="38" fontId="43" fillId="10" borderId="42" xfId="0" applyNumberFormat="1" applyFont="1" applyFill="1" applyBorder="1" applyAlignment="1">
      <alignment horizontal="right"/>
    </xf>
    <xf numFmtId="38" fontId="43" fillId="11" borderId="42" xfId="0" applyNumberFormat="1" applyFont="1" applyFill="1" applyBorder="1" applyAlignment="1">
      <alignment horizontal="right"/>
    </xf>
    <xf numFmtId="38" fontId="43" fillId="10" borderId="44" xfId="0" applyNumberFormat="1" applyFont="1" applyFill="1" applyBorder="1" applyAlignment="1">
      <alignment horizontal="right"/>
    </xf>
    <xf numFmtId="38" fontId="43" fillId="11" borderId="44" xfId="0" applyNumberFormat="1" applyFont="1" applyFill="1" applyBorder="1" applyAlignment="1">
      <alignment horizontal="right"/>
    </xf>
    <xf numFmtId="38" fontId="43" fillId="10" borderId="70" xfId="0" applyNumberFormat="1" applyFont="1" applyFill="1" applyBorder="1" applyAlignment="1">
      <alignment horizontal="right"/>
    </xf>
    <xf numFmtId="38" fontId="43" fillId="11" borderId="70" xfId="0" applyNumberFormat="1" applyFont="1" applyFill="1" applyBorder="1" applyAlignment="1">
      <alignment horizontal="right"/>
    </xf>
    <xf numFmtId="38" fontId="43" fillId="11" borderId="71" xfId="0" applyNumberFormat="1" applyFont="1" applyFill="1" applyBorder="1" applyAlignment="1">
      <alignment horizontal="right"/>
    </xf>
    <xf numFmtId="38" fontId="43" fillId="11" borderId="72" xfId="0" applyNumberFormat="1" applyFont="1" applyFill="1" applyBorder="1" applyAlignment="1">
      <alignment horizontal="right"/>
    </xf>
    <xf numFmtId="0" fontId="38" fillId="11" borderId="45" xfId="0" applyFont="1" applyFill="1" applyBorder="1" applyAlignment="1">
      <alignment horizontal="right"/>
    </xf>
    <xf numFmtId="38" fontId="38" fillId="10" borderId="48" xfId="0" applyNumberFormat="1" applyFont="1" applyFill="1" applyBorder="1" applyAlignment="1">
      <alignment horizontal="right"/>
    </xf>
    <xf numFmtId="38" fontId="38" fillId="10" borderId="25" xfId="0" applyNumberFormat="1" applyFont="1" applyFill="1" applyBorder="1" applyAlignment="1">
      <alignment horizontal="right"/>
    </xf>
    <xf numFmtId="38" fontId="38" fillId="10" borderId="24" xfId="0" applyNumberFormat="1" applyFont="1" applyFill="1" applyBorder="1" applyAlignment="1">
      <alignment horizontal="right"/>
    </xf>
    <xf numFmtId="38" fontId="43" fillId="11" borderId="48" xfId="0" applyNumberFormat="1" applyFont="1" applyFill="1" applyBorder="1" applyAlignment="1">
      <alignment horizontal="right"/>
    </xf>
    <xf numFmtId="38" fontId="43" fillId="11" borderId="43" xfId="0" applyNumberFormat="1" applyFont="1" applyFill="1" applyBorder="1" applyAlignment="1">
      <alignment horizontal="right"/>
    </xf>
    <xf numFmtId="0" fontId="43" fillId="11" borderId="44" xfId="0" applyFont="1" applyFill="1" applyBorder="1" applyAlignment="1">
      <alignment horizontal="right"/>
    </xf>
    <xf numFmtId="0" fontId="0" fillId="0" borderId="73" xfId="0" applyBorder="1"/>
    <xf numFmtId="0" fontId="43" fillId="11" borderId="24" xfId="0" applyFont="1" applyFill="1" applyBorder="1"/>
    <xf numFmtId="38" fontId="43" fillId="10" borderId="43" xfId="0" applyNumberFormat="1" applyFont="1" applyFill="1" applyBorder="1" applyAlignment="1">
      <alignment horizontal="right"/>
    </xf>
    <xf numFmtId="0" fontId="38" fillId="11" borderId="30" xfId="0" applyFont="1" applyFill="1" applyBorder="1" applyAlignment="1">
      <alignment vertical="center"/>
    </xf>
    <xf numFmtId="0" fontId="50" fillId="11" borderId="38" xfId="0" applyFont="1" applyFill="1" applyBorder="1"/>
    <xf numFmtId="38" fontId="43" fillId="11" borderId="38" xfId="0" applyNumberFormat="1" applyFont="1" applyFill="1" applyBorder="1"/>
    <xf numFmtId="1" fontId="40" fillId="15" borderId="69" xfId="0" applyNumberFormat="1" applyFont="1" applyFill="1" applyBorder="1" applyAlignment="1">
      <alignment vertical="top" shrinkToFit="1"/>
    </xf>
    <xf numFmtId="168" fontId="49" fillId="19" borderId="30" xfId="1" quotePrefix="1" applyNumberFormat="1" applyFont="1" applyFill="1" applyBorder="1" applyAlignment="1" applyProtection="1">
      <alignment horizontal="right"/>
    </xf>
    <xf numFmtId="168" fontId="49" fillId="19" borderId="38" xfId="1" quotePrefix="1" applyNumberFormat="1" applyFont="1" applyFill="1" applyBorder="1" applyAlignment="1" applyProtection="1">
      <alignment horizontal="right"/>
    </xf>
    <xf numFmtId="168" fontId="49" fillId="19" borderId="31" xfId="1" quotePrefix="1" applyNumberFormat="1" applyFont="1" applyFill="1" applyBorder="1" applyAlignment="1" applyProtection="1">
      <alignment horizontal="right"/>
    </xf>
    <xf numFmtId="0" fontId="43" fillId="0" borderId="0" xfId="0" applyFont="1"/>
    <xf numFmtId="38" fontId="43" fillId="10" borderId="74" xfId="0" applyNumberFormat="1" applyFont="1" applyFill="1" applyBorder="1"/>
    <xf numFmtId="38" fontId="43" fillId="11" borderId="75" xfId="0" applyNumberFormat="1" applyFont="1" applyFill="1" applyBorder="1"/>
    <xf numFmtId="38" fontId="43" fillId="11" borderId="11" xfId="0" applyNumberFormat="1" applyFont="1" applyFill="1" applyBorder="1"/>
    <xf numFmtId="38" fontId="43" fillId="11" borderId="76" xfId="0" applyNumberFormat="1" applyFont="1" applyFill="1" applyBorder="1"/>
    <xf numFmtId="38" fontId="43" fillId="11" borderId="77" xfId="0" applyNumberFormat="1" applyFont="1" applyFill="1" applyBorder="1"/>
    <xf numFmtId="0" fontId="43" fillId="10" borderId="2" xfId="0" applyFont="1" applyFill="1" applyBorder="1"/>
    <xf numFmtId="38" fontId="43" fillId="0" borderId="2" xfId="0" applyNumberFormat="1" applyFont="1" applyBorder="1"/>
    <xf numFmtId="0" fontId="43" fillId="11" borderId="78" xfId="0" applyFont="1" applyFill="1" applyBorder="1"/>
    <xf numFmtId="0" fontId="43" fillId="11" borderId="40" xfId="0" applyFont="1" applyFill="1" applyBorder="1"/>
    <xf numFmtId="3" fontId="41" fillId="10" borderId="79" xfId="0" applyNumberFormat="1" applyFont="1" applyFill="1" applyBorder="1" applyAlignment="1">
      <alignment horizontal="right" vertical="top" shrinkToFit="1"/>
    </xf>
    <xf numFmtId="3" fontId="41" fillId="11" borderId="79" xfId="0" applyNumberFormat="1" applyFont="1" applyFill="1" applyBorder="1" applyAlignment="1">
      <alignment horizontal="right" vertical="top" shrinkToFit="1"/>
    </xf>
    <xf numFmtId="3" fontId="41" fillId="11" borderId="79" xfId="0" applyNumberFormat="1" applyFont="1" applyFill="1" applyBorder="1" applyAlignment="1">
      <alignment horizontal="right" vertical="top"/>
    </xf>
    <xf numFmtId="0" fontId="38" fillId="11" borderId="28" xfId="0" applyFont="1" applyFill="1" applyBorder="1" applyAlignment="1">
      <alignment horizontal="right"/>
    </xf>
    <xf numFmtId="3" fontId="45" fillId="10" borderId="25" xfId="0" applyNumberFormat="1" applyFont="1" applyFill="1" applyBorder="1" applyAlignment="1">
      <alignment horizontal="right" vertical="top"/>
    </xf>
    <xf numFmtId="0" fontId="43" fillId="11" borderId="24" xfId="0" applyFont="1" applyFill="1" applyBorder="1" applyAlignment="1">
      <alignment horizontal="left" indent="1"/>
    </xf>
    <xf numFmtId="3" fontId="41" fillId="10" borderId="27" xfId="0" applyNumberFormat="1" applyFont="1" applyFill="1" applyBorder="1" applyAlignment="1">
      <alignment horizontal="right" vertical="top" shrinkToFit="1"/>
    </xf>
    <xf numFmtId="3" fontId="41" fillId="11" borderId="27" xfId="0" applyNumberFormat="1" applyFont="1" applyFill="1" applyBorder="1" applyAlignment="1">
      <alignment horizontal="right" vertical="top" shrinkToFit="1"/>
    </xf>
    <xf numFmtId="3" fontId="41" fillId="11" borderId="27" xfId="0" applyNumberFormat="1" applyFont="1" applyFill="1" applyBorder="1" applyAlignment="1">
      <alignment horizontal="right" vertical="top"/>
    </xf>
    <xf numFmtId="3" fontId="41" fillId="10" borderId="25" xfId="0" applyNumberFormat="1" applyFont="1" applyFill="1" applyBorder="1" applyAlignment="1">
      <alignment horizontal="right"/>
    </xf>
    <xf numFmtId="3" fontId="41" fillId="11" borderId="25" xfId="0" applyNumberFormat="1" applyFont="1" applyFill="1" applyBorder="1" applyAlignment="1">
      <alignment horizontal="right"/>
    </xf>
    <xf numFmtId="3" fontId="39" fillId="11" borderId="25" xfId="0" applyNumberFormat="1" applyFont="1" applyFill="1" applyBorder="1" applyAlignment="1">
      <alignment horizontal="right" wrapText="1"/>
    </xf>
    <xf numFmtId="0" fontId="50" fillId="11" borderId="24" xfId="0" applyFont="1" applyFill="1" applyBorder="1"/>
    <xf numFmtId="0" fontId="38" fillId="11" borderId="0" xfId="0" applyFont="1" applyFill="1"/>
    <xf numFmtId="0" fontId="38" fillId="11" borderId="32" xfId="0" applyFont="1" applyFill="1" applyBorder="1"/>
    <xf numFmtId="1" fontId="40" fillId="15" borderId="61" xfId="0" applyNumberFormat="1" applyFont="1" applyFill="1" applyBorder="1" applyAlignment="1">
      <alignment horizontal="left" vertical="top" shrinkToFit="1"/>
    </xf>
    <xf numFmtId="40" fontId="38" fillId="11" borderId="60" xfId="0" applyNumberFormat="1" applyFont="1" applyFill="1" applyBorder="1" applyAlignment="1">
      <alignment horizontal="center"/>
    </xf>
    <xf numFmtId="0" fontId="47" fillId="11" borderId="0" xfId="0" applyFont="1" applyFill="1"/>
    <xf numFmtId="1" fontId="41" fillId="10" borderId="79" xfId="0" applyNumberFormat="1" applyFont="1" applyFill="1" applyBorder="1" applyAlignment="1">
      <alignment horizontal="right" vertical="top" shrinkToFit="1"/>
    </xf>
    <xf numFmtId="1" fontId="43" fillId="11" borderId="79" xfId="0" applyNumberFormat="1" applyFont="1" applyFill="1" applyBorder="1" applyAlignment="1">
      <alignment horizontal="right" vertical="top" shrinkToFit="1"/>
    </xf>
    <xf numFmtId="1" fontId="43" fillId="11" borderId="23" xfId="0" applyNumberFormat="1" applyFont="1" applyFill="1" applyBorder="1" applyAlignment="1">
      <alignment horizontal="right" vertical="top" shrinkToFit="1"/>
    </xf>
    <xf numFmtId="1" fontId="43" fillId="11" borderId="40" xfId="0" applyNumberFormat="1" applyFont="1" applyFill="1" applyBorder="1" applyAlignment="1">
      <alignment horizontal="right" vertical="top" shrinkToFit="1"/>
    </xf>
    <xf numFmtId="38" fontId="43" fillId="11" borderId="24" xfId="0" applyNumberFormat="1" applyFont="1" applyFill="1" applyBorder="1"/>
    <xf numFmtId="3" fontId="45" fillId="10" borderId="28" xfId="0" applyNumberFormat="1" applyFont="1" applyFill="1" applyBorder="1" applyAlignment="1">
      <alignment horizontal="right" vertical="top" shrinkToFit="1"/>
    </xf>
    <xf numFmtId="3" fontId="41" fillId="11" borderId="24" xfId="0" applyNumberFormat="1" applyFont="1" applyFill="1" applyBorder="1" applyAlignment="1">
      <alignment horizontal="right" vertical="top"/>
    </xf>
    <xf numFmtId="3" fontId="41" fillId="0" borderId="25" xfId="0" applyNumberFormat="1" applyFont="1" applyBorder="1" applyAlignment="1">
      <alignment horizontal="right" vertical="top" shrinkToFit="1"/>
    </xf>
    <xf numFmtId="3" fontId="41" fillId="0" borderId="24" xfId="0" applyNumberFormat="1" applyFont="1" applyBorder="1" applyAlignment="1">
      <alignment horizontal="right" vertical="top" shrinkToFit="1"/>
    </xf>
    <xf numFmtId="38" fontId="43" fillId="10" borderId="25" xfId="0" applyNumberFormat="1" applyFont="1" applyFill="1" applyBorder="1"/>
    <xf numFmtId="1" fontId="41" fillId="11" borderId="80" xfId="0" applyNumberFormat="1" applyFont="1" applyFill="1" applyBorder="1" applyAlignment="1">
      <alignment horizontal="right" vertical="top" shrinkToFit="1"/>
    </xf>
    <xf numFmtId="1" fontId="41" fillId="11" borderId="81" xfId="0" applyNumberFormat="1" applyFont="1" applyFill="1" applyBorder="1" applyAlignment="1">
      <alignment horizontal="right" vertical="top" shrinkToFit="1"/>
    </xf>
    <xf numFmtId="0" fontId="41" fillId="11" borderId="81" xfId="0" applyFont="1" applyFill="1" applyBorder="1" applyAlignment="1">
      <alignment horizontal="right" vertical="top"/>
    </xf>
    <xf numFmtId="3" fontId="45" fillId="10" borderId="25" xfId="0" applyNumberFormat="1" applyFont="1" applyFill="1" applyBorder="1" applyAlignment="1">
      <alignment horizontal="right" vertical="top" shrinkToFit="1"/>
    </xf>
    <xf numFmtId="3" fontId="45" fillId="10" borderId="82" xfId="0" applyNumberFormat="1" applyFont="1" applyFill="1" applyBorder="1" applyAlignment="1">
      <alignment horizontal="right" vertical="top" shrinkToFit="1"/>
    </xf>
    <xf numFmtId="3" fontId="45" fillId="10" borderId="83" xfId="0" applyNumberFormat="1" applyFont="1" applyFill="1" applyBorder="1" applyAlignment="1">
      <alignment horizontal="right" vertical="top" shrinkToFit="1"/>
    </xf>
    <xf numFmtId="38" fontId="41" fillId="10" borderId="25" xfId="0" applyNumberFormat="1" applyFont="1" applyFill="1" applyBorder="1" applyAlignment="1">
      <alignment horizontal="right" vertical="top"/>
    </xf>
    <xf numFmtId="38" fontId="41" fillId="0" borderId="25" xfId="0" applyNumberFormat="1" applyFont="1" applyBorder="1" applyAlignment="1">
      <alignment horizontal="right" vertical="top"/>
    </xf>
    <xf numFmtId="38" fontId="41" fillId="0" borderId="68" xfId="0" applyNumberFormat="1" applyFont="1" applyBorder="1" applyAlignment="1">
      <alignment horizontal="right" vertical="top"/>
    </xf>
    <xf numFmtId="38" fontId="41" fillId="0" borderId="84" xfId="0" applyNumberFormat="1" applyFont="1" applyBorder="1" applyAlignment="1">
      <alignment horizontal="right" vertical="top"/>
    </xf>
    <xf numFmtId="0" fontId="50" fillId="11" borderId="53" xfId="0" applyFont="1" applyFill="1" applyBorder="1"/>
    <xf numFmtId="0" fontId="38" fillId="11" borderId="53" xfId="0" applyFont="1" applyFill="1" applyBorder="1"/>
    <xf numFmtId="0" fontId="38" fillId="11" borderId="58" xfId="0" applyFont="1" applyFill="1" applyBorder="1"/>
    <xf numFmtId="1" fontId="40" fillId="15" borderId="60" xfId="0" applyNumberFormat="1" applyFont="1" applyFill="1" applyBorder="1" applyAlignment="1">
      <alignment horizontal="right" vertical="top" shrinkToFit="1"/>
    </xf>
    <xf numFmtId="0" fontId="0" fillId="11" borderId="0" xfId="0" applyFill="1"/>
    <xf numFmtId="40" fontId="0" fillId="11" borderId="0" xfId="0" applyNumberFormat="1" applyFill="1"/>
    <xf numFmtId="0" fontId="48" fillId="19" borderId="85" xfId="0" applyFont="1" applyFill="1" applyBorder="1"/>
    <xf numFmtId="168" fontId="49" fillId="19" borderId="86" xfId="1" quotePrefix="1" applyNumberFormat="1" applyFont="1" applyFill="1" applyBorder="1" applyAlignment="1" applyProtection="1">
      <alignment horizontal="right"/>
    </xf>
    <xf numFmtId="168" fontId="49" fillId="19" borderId="87" xfId="1" quotePrefix="1" applyNumberFormat="1" applyFont="1" applyFill="1" applyBorder="1" applyAlignment="1" applyProtection="1">
      <alignment horizontal="right"/>
    </xf>
    <xf numFmtId="168" fontId="49" fillId="19" borderId="85" xfId="1" quotePrefix="1" applyNumberFormat="1" applyFont="1" applyFill="1" applyBorder="1" applyAlignment="1" applyProtection="1">
      <alignment horizontal="right"/>
    </xf>
    <xf numFmtId="168" fontId="49" fillId="19" borderId="88" xfId="1" quotePrefix="1" applyNumberFormat="1" applyFont="1" applyFill="1" applyBorder="1" applyAlignment="1" applyProtection="1">
      <alignment horizontal="right"/>
    </xf>
    <xf numFmtId="1" fontId="42" fillId="11" borderId="23" xfId="0" applyNumberFormat="1" applyFont="1" applyFill="1" applyBorder="1" applyAlignment="1">
      <alignment horizontal="right" vertical="top" shrinkToFit="1"/>
    </xf>
    <xf numFmtId="1" fontId="42" fillId="11" borderId="79" xfId="0" applyNumberFormat="1" applyFont="1" applyFill="1" applyBorder="1" applyAlignment="1">
      <alignment horizontal="right" vertical="top" shrinkToFit="1"/>
    </xf>
    <xf numFmtId="0" fontId="0" fillId="0" borderId="89" xfId="0" applyBorder="1"/>
    <xf numFmtId="1" fontId="41" fillId="11" borderId="26" xfId="0" applyNumberFormat="1" applyFont="1" applyFill="1" applyBorder="1" applyAlignment="1">
      <alignment horizontal="right" vertical="top" shrinkToFit="1"/>
    </xf>
    <xf numFmtId="3" fontId="41" fillId="11" borderId="24" xfId="0" applyNumberFormat="1" applyFont="1" applyFill="1" applyBorder="1" applyAlignment="1">
      <alignment horizontal="right" vertical="top" shrinkToFit="1"/>
    </xf>
    <xf numFmtId="1" fontId="41" fillId="11" borderId="24" xfId="0" applyNumberFormat="1" applyFont="1" applyFill="1" applyBorder="1" applyAlignment="1">
      <alignment horizontal="right" vertical="top" shrinkToFit="1"/>
    </xf>
    <xf numFmtId="0" fontId="41" fillId="11" borderId="80" xfId="0" applyFont="1" applyFill="1" applyBorder="1" applyAlignment="1">
      <alignment horizontal="right" vertical="top"/>
    </xf>
    <xf numFmtId="3" fontId="45" fillId="10" borderId="24" xfId="0" applyNumberFormat="1" applyFont="1" applyFill="1" applyBorder="1" applyAlignment="1">
      <alignment horizontal="right" vertical="top" shrinkToFit="1"/>
    </xf>
    <xf numFmtId="38" fontId="41" fillId="0" borderId="47" xfId="0" applyNumberFormat="1" applyFont="1" applyBorder="1" applyAlignment="1">
      <alignment horizontal="right" vertical="top"/>
    </xf>
    <xf numFmtId="38" fontId="41" fillId="0" borderId="90" xfId="0" applyNumberFormat="1" applyFont="1" applyBorder="1" applyAlignment="1">
      <alignment horizontal="right" vertical="top"/>
    </xf>
    <xf numFmtId="38" fontId="41" fillId="0" borderId="0" xfId="0" applyNumberFormat="1" applyFont="1" applyAlignment="1">
      <alignment horizontal="right" vertical="top"/>
    </xf>
    <xf numFmtId="38" fontId="43" fillId="11" borderId="0" xfId="0" applyNumberFormat="1" applyFont="1" applyFill="1"/>
    <xf numFmtId="0" fontId="38" fillId="11" borderId="31" xfId="0" applyFont="1" applyFill="1" applyBorder="1"/>
    <xf numFmtId="2" fontId="45" fillId="10" borderId="30" xfId="0" applyNumberFormat="1" applyFont="1" applyFill="1" applyBorder="1" applyAlignment="1">
      <alignment horizontal="center" vertical="top"/>
    </xf>
    <xf numFmtId="38" fontId="43" fillId="10" borderId="79" xfId="0" applyNumberFormat="1" applyFont="1" applyFill="1" applyBorder="1"/>
    <xf numFmtId="38" fontId="43" fillId="11" borderId="41" xfId="0" applyNumberFormat="1" applyFont="1" applyFill="1" applyBorder="1"/>
    <xf numFmtId="38" fontId="43" fillId="11" borderId="43" xfId="0" applyNumberFormat="1" applyFont="1" applyFill="1" applyBorder="1"/>
    <xf numFmtId="38" fontId="38" fillId="10" borderId="29" xfId="0" applyNumberFormat="1" applyFont="1" applyFill="1" applyBorder="1"/>
    <xf numFmtId="38" fontId="38" fillId="10" borderId="45" xfId="0" applyNumberFormat="1" applyFont="1" applyFill="1" applyBorder="1"/>
    <xf numFmtId="40" fontId="38" fillId="0" borderId="30" xfId="0" applyNumberFormat="1" applyFont="1" applyBorder="1" applyAlignment="1">
      <alignment horizontal="center"/>
    </xf>
    <xf numFmtId="0" fontId="43" fillId="11" borderId="53" xfId="0" applyFont="1" applyFill="1" applyBorder="1"/>
    <xf numFmtId="1" fontId="40" fillId="16" borderId="30" xfId="0" applyNumberFormat="1" applyFont="1" applyFill="1" applyBorder="1" applyAlignment="1">
      <alignment vertical="top" shrinkToFit="1"/>
    </xf>
    <xf numFmtId="1" fontId="40" fillId="16" borderId="60" xfId="0" applyNumberFormat="1" applyFont="1" applyFill="1" applyBorder="1" applyAlignment="1">
      <alignment horizontal="right" vertical="top" shrinkToFit="1"/>
    </xf>
    <xf numFmtId="1" fontId="40" fillId="16" borderId="30" xfId="0" applyNumberFormat="1" applyFont="1" applyFill="1" applyBorder="1" applyAlignment="1">
      <alignment horizontal="right" vertical="top" shrinkToFit="1"/>
    </xf>
    <xf numFmtId="1" fontId="40" fillId="16" borderId="53" xfId="0" applyNumberFormat="1" applyFont="1" applyFill="1" applyBorder="1" applyAlignment="1">
      <alignment horizontal="right" vertical="top" shrinkToFit="1"/>
    </xf>
    <xf numFmtId="0" fontId="45" fillId="21" borderId="30" xfId="0" applyFont="1" applyFill="1" applyBorder="1"/>
    <xf numFmtId="40" fontId="45" fillId="22" borderId="30" xfId="0" applyNumberFormat="1" applyFont="1" applyFill="1" applyBorder="1" applyAlignment="1">
      <alignment horizontal="center"/>
    </xf>
    <xf numFmtId="1" fontId="40" fillId="15" borderId="61" xfId="0" applyNumberFormat="1" applyFont="1" applyFill="1" applyBorder="1" applyAlignment="1">
      <alignment vertical="top" shrinkToFit="1"/>
    </xf>
    <xf numFmtId="1" fontId="40" fillId="15" borderId="61" xfId="0" applyNumberFormat="1" applyFont="1" applyFill="1" applyBorder="1" applyAlignment="1">
      <alignment horizontal="right" vertical="top" shrinkToFit="1"/>
    </xf>
    <xf numFmtId="40" fontId="38" fillId="0" borderId="54" xfId="0" applyNumberFormat="1" applyFont="1" applyBorder="1" applyAlignment="1">
      <alignment horizontal="center"/>
    </xf>
    <xf numFmtId="0" fontId="38" fillId="11" borderId="91" xfId="0" applyFont="1" applyFill="1" applyBorder="1"/>
    <xf numFmtId="40" fontId="38" fillId="10" borderId="75" xfId="0" applyNumberFormat="1" applyFont="1" applyFill="1" applyBorder="1" applyAlignment="1">
      <alignment horizontal="center"/>
    </xf>
    <xf numFmtId="40" fontId="38" fillId="11" borderId="75" xfId="0" applyNumberFormat="1" applyFont="1" applyFill="1" applyBorder="1" applyAlignment="1">
      <alignment horizontal="center"/>
    </xf>
    <xf numFmtId="40" fontId="38" fillId="11" borderId="92" xfId="0" applyNumberFormat="1" applyFont="1" applyFill="1" applyBorder="1" applyAlignment="1">
      <alignment horizontal="center"/>
    </xf>
    <xf numFmtId="38" fontId="43" fillId="10" borderId="93" xfId="0" applyNumberFormat="1" applyFont="1" applyFill="1" applyBorder="1"/>
    <xf numFmtId="38" fontId="43" fillId="11" borderId="79" xfId="0" applyNumberFormat="1" applyFont="1" applyFill="1" applyBorder="1"/>
    <xf numFmtId="38" fontId="43" fillId="10" borderId="24" xfId="0" applyNumberFormat="1" applyFont="1" applyFill="1" applyBorder="1"/>
    <xf numFmtId="38" fontId="43" fillId="10" borderId="43" xfId="0" applyNumberFormat="1" applyFont="1" applyFill="1" applyBorder="1"/>
    <xf numFmtId="0" fontId="38" fillId="11" borderId="94" xfId="0" applyFont="1" applyFill="1" applyBorder="1"/>
    <xf numFmtId="40" fontId="38" fillId="10" borderId="94" xfId="0" applyNumberFormat="1" applyFont="1" applyFill="1" applyBorder="1" applyAlignment="1">
      <alignment horizontal="center"/>
    </xf>
    <xf numFmtId="40" fontId="38" fillId="11" borderId="94" xfId="0" applyNumberFormat="1" applyFont="1" applyFill="1" applyBorder="1" applyAlignment="1">
      <alignment horizontal="center"/>
    </xf>
    <xf numFmtId="0" fontId="50" fillId="11" borderId="95" xfId="0" applyFont="1" applyFill="1" applyBorder="1"/>
    <xf numFmtId="0" fontId="43" fillId="11" borderId="96" xfId="0" applyFont="1" applyFill="1" applyBorder="1"/>
    <xf numFmtId="0" fontId="43" fillId="11" borderId="56" xfId="0" applyFont="1" applyFill="1" applyBorder="1"/>
    <xf numFmtId="0" fontId="43" fillId="11" borderId="95" xfId="0" applyFont="1" applyFill="1" applyBorder="1"/>
    <xf numFmtId="0" fontId="49" fillId="19" borderId="61" xfId="0" applyFont="1" applyFill="1" applyBorder="1"/>
    <xf numFmtId="168" fontId="49" fillId="19" borderId="60" xfId="1" quotePrefix="1" applyNumberFormat="1" applyFont="1" applyFill="1" applyBorder="1" applyAlignment="1" applyProtection="1">
      <alignment horizontal="right"/>
    </xf>
    <xf numFmtId="168" fontId="49" fillId="19" borderId="61" xfId="1" quotePrefix="1" applyNumberFormat="1" applyFont="1" applyFill="1" applyBorder="1" applyAlignment="1" applyProtection="1">
      <alignment horizontal="right"/>
    </xf>
    <xf numFmtId="168" fontId="49" fillId="19" borderId="97" xfId="1" quotePrefix="1" applyNumberFormat="1" applyFont="1" applyFill="1" applyBorder="1" applyAlignment="1" applyProtection="1">
      <alignment horizontal="right"/>
    </xf>
    <xf numFmtId="40" fontId="38" fillId="10" borderId="30" xfId="0" applyNumberFormat="1" applyFont="1" applyFill="1" applyBorder="1"/>
    <xf numFmtId="38" fontId="43" fillId="10" borderId="91" xfId="0" applyNumberFormat="1" applyFont="1" applyFill="1" applyBorder="1"/>
    <xf numFmtId="38" fontId="43" fillId="10" borderId="2" xfId="0" applyNumberFormat="1" applyFont="1" applyFill="1" applyBorder="1"/>
    <xf numFmtId="3" fontId="41" fillId="11" borderId="40" xfId="0" applyNumberFormat="1" applyFont="1" applyFill="1" applyBorder="1" applyAlignment="1">
      <alignment horizontal="right" vertical="top" shrinkToFit="1"/>
    </xf>
    <xf numFmtId="3" fontId="45" fillId="10" borderId="29" xfId="0" applyNumberFormat="1" applyFont="1" applyFill="1" applyBorder="1" applyAlignment="1">
      <alignment horizontal="right" vertical="top"/>
    </xf>
    <xf numFmtId="3" fontId="41" fillId="11" borderId="26" xfId="0" applyNumberFormat="1" applyFont="1" applyFill="1" applyBorder="1" applyAlignment="1">
      <alignment horizontal="right" vertical="top" shrinkToFit="1"/>
    </xf>
    <xf numFmtId="0" fontId="43" fillId="11" borderId="98" xfId="0" applyFont="1" applyFill="1" applyBorder="1"/>
    <xf numFmtId="3" fontId="41" fillId="10" borderId="99" xfId="0" applyNumberFormat="1" applyFont="1" applyFill="1" applyBorder="1" applyAlignment="1">
      <alignment horizontal="right" vertical="top"/>
    </xf>
    <xf numFmtId="3" fontId="41" fillId="11" borderId="99" xfId="0" applyNumberFormat="1" applyFont="1" applyFill="1" applyBorder="1" applyAlignment="1">
      <alignment horizontal="right" vertical="top"/>
    </xf>
    <xf numFmtId="3" fontId="39" fillId="11" borderId="99" xfId="0" applyNumberFormat="1" applyFont="1" applyFill="1" applyBorder="1" applyAlignment="1">
      <alignment horizontal="right" vertical="top" wrapText="1"/>
    </xf>
    <xf numFmtId="3" fontId="39" fillId="11" borderId="47" xfId="0" applyNumberFormat="1" applyFont="1" applyFill="1" applyBorder="1" applyAlignment="1">
      <alignment horizontal="right" vertical="top" wrapText="1"/>
    </xf>
    <xf numFmtId="3" fontId="41" fillId="11" borderId="100" xfId="0" applyNumberFormat="1" applyFont="1" applyFill="1" applyBorder="1" applyAlignment="1">
      <alignment horizontal="right" vertical="top"/>
    </xf>
    <xf numFmtId="40" fontId="45" fillId="18" borderId="101" xfId="0" applyNumberFormat="1" applyFont="1" applyFill="1" applyBorder="1" applyAlignment="1">
      <alignment horizontal="center"/>
    </xf>
    <xf numFmtId="40" fontId="45" fillId="21" borderId="101" xfId="0" applyNumberFormat="1" applyFont="1" applyFill="1" applyBorder="1" applyAlignment="1">
      <alignment horizontal="center"/>
    </xf>
    <xf numFmtId="40" fontId="45" fillId="21" borderId="92" xfId="0" applyNumberFormat="1" applyFont="1" applyFill="1" applyBorder="1" applyAlignment="1">
      <alignment horizontal="center"/>
    </xf>
    <xf numFmtId="0" fontId="38" fillId="11" borderId="54" xfId="0" applyFont="1" applyFill="1" applyBorder="1"/>
    <xf numFmtId="40" fontId="45" fillId="18" borderId="30" xfId="0" applyNumberFormat="1" applyFont="1" applyFill="1" applyBorder="1" applyAlignment="1">
      <alignment horizontal="center"/>
    </xf>
    <xf numFmtId="40" fontId="45" fillId="21" borderId="60" xfId="0" applyNumberFormat="1" applyFont="1" applyFill="1" applyBorder="1" applyAlignment="1">
      <alignment horizontal="center"/>
    </xf>
    <xf numFmtId="40" fontId="45" fillId="21" borderId="54" xfId="0" applyNumberFormat="1" applyFont="1" applyFill="1" applyBorder="1" applyAlignment="1">
      <alignment horizontal="center"/>
    </xf>
    <xf numFmtId="40" fontId="45" fillId="21" borderId="55" xfId="0" applyNumberFormat="1" applyFont="1" applyFill="1" applyBorder="1" applyAlignment="1">
      <alignment horizontal="center"/>
    </xf>
    <xf numFmtId="1" fontId="41" fillId="11" borderId="79" xfId="0" applyNumberFormat="1" applyFont="1" applyFill="1" applyBorder="1" applyAlignment="1">
      <alignment horizontal="right" vertical="top" shrinkToFit="1"/>
    </xf>
    <xf numFmtId="41" fontId="41" fillId="10" borderId="25" xfId="0" applyNumberFormat="1" applyFont="1" applyFill="1" applyBorder="1" applyAlignment="1">
      <alignment horizontal="left" vertical="top"/>
    </xf>
    <xf numFmtId="0" fontId="3" fillId="0" borderId="0" xfId="0" applyFont="1"/>
    <xf numFmtId="0" fontId="43" fillId="11" borderId="84" xfId="0" applyFont="1" applyFill="1" applyBorder="1"/>
    <xf numFmtId="3" fontId="41" fillId="10" borderId="25" xfId="0" applyNumberFormat="1" applyFont="1" applyFill="1" applyBorder="1" applyAlignment="1">
      <alignment horizontal="right" vertical="top"/>
    </xf>
    <xf numFmtId="1" fontId="40" fillId="15" borderId="102" xfId="0" applyNumberFormat="1" applyFont="1" applyFill="1" applyBorder="1" applyAlignment="1">
      <alignment horizontal="right" vertical="top" shrinkToFit="1"/>
    </xf>
    <xf numFmtId="1" fontId="40" fillId="15" borderId="58" xfId="0" applyNumberFormat="1" applyFont="1" applyFill="1" applyBorder="1" applyAlignment="1">
      <alignment horizontal="right" vertical="top" shrinkToFit="1"/>
    </xf>
    <xf numFmtId="40" fontId="38" fillId="10" borderId="54" xfId="0" applyNumberFormat="1" applyFont="1" applyFill="1" applyBorder="1" applyAlignment="1">
      <alignment horizontal="center"/>
    </xf>
    <xf numFmtId="40" fontId="43" fillId="11" borderId="0" xfId="0" applyNumberFormat="1" applyFont="1" applyFill="1"/>
    <xf numFmtId="1" fontId="41" fillId="11" borderId="40" xfId="0" applyNumberFormat="1" applyFont="1" applyFill="1" applyBorder="1" applyAlignment="1">
      <alignment horizontal="right" vertical="top" shrinkToFit="1"/>
    </xf>
    <xf numFmtId="3" fontId="41" fillId="11" borderId="98" xfId="0" applyNumberFormat="1" applyFont="1" applyFill="1" applyBorder="1" applyAlignment="1">
      <alignment horizontal="right" vertical="top"/>
    </xf>
    <xf numFmtId="3" fontId="41" fillId="11" borderId="47" xfId="0" applyNumberFormat="1" applyFont="1" applyFill="1" applyBorder="1" applyAlignment="1">
      <alignment horizontal="right" vertical="top"/>
    </xf>
    <xf numFmtId="40" fontId="38" fillId="11" borderId="101" xfId="0" applyNumberFormat="1" applyFont="1" applyFill="1" applyBorder="1" applyAlignment="1">
      <alignment horizontal="center"/>
    </xf>
    <xf numFmtId="0" fontId="43" fillId="11" borderId="103" xfId="0" applyFont="1" applyFill="1" applyBorder="1"/>
    <xf numFmtId="0" fontId="43" fillId="11" borderId="104" xfId="0" applyFont="1" applyFill="1" applyBorder="1"/>
    <xf numFmtId="38" fontId="43" fillId="11" borderId="104" xfId="0" applyNumberFormat="1" applyFont="1" applyFill="1" applyBorder="1"/>
    <xf numFmtId="40" fontId="38" fillId="11" borderId="105" xfId="0" applyNumberFormat="1" applyFont="1" applyFill="1" applyBorder="1" applyAlignment="1">
      <alignment horizontal="center"/>
    </xf>
    <xf numFmtId="38" fontId="43" fillId="11" borderId="93" xfId="0" applyNumberFormat="1" applyFont="1" applyFill="1" applyBorder="1"/>
    <xf numFmtId="38" fontId="43" fillId="11" borderId="48" xfId="0" applyNumberFormat="1" applyFont="1" applyFill="1" applyBorder="1"/>
    <xf numFmtId="38" fontId="38" fillId="10" borderId="46" xfId="0" applyNumberFormat="1" applyFont="1" applyFill="1" applyBorder="1"/>
    <xf numFmtId="40" fontId="38" fillId="0" borderId="75" xfId="0" applyNumberFormat="1" applyFont="1" applyBorder="1" applyAlignment="1">
      <alignment horizontal="center"/>
    </xf>
    <xf numFmtId="40" fontId="38" fillId="0" borderId="92" xfId="0" applyNumberFormat="1" applyFont="1" applyBorder="1" applyAlignment="1">
      <alignment horizontal="center"/>
    </xf>
    <xf numFmtId="40" fontId="38" fillId="0" borderId="55" xfId="0" applyNumberFormat="1" applyFont="1" applyBorder="1" applyAlignment="1">
      <alignment horizontal="center"/>
    </xf>
    <xf numFmtId="41" fontId="41" fillId="10" borderId="25" xfId="0" applyNumberFormat="1" applyFont="1" applyFill="1" applyBorder="1" applyAlignment="1">
      <alignment vertical="top"/>
    </xf>
    <xf numFmtId="41" fontId="41" fillId="0" borderId="25" xfId="0" applyNumberFormat="1" applyFont="1" applyBorder="1" applyAlignment="1">
      <alignment vertical="top"/>
    </xf>
    <xf numFmtId="0" fontId="41" fillId="10" borderId="99" xfId="0" applyFont="1" applyFill="1" applyBorder="1" applyAlignment="1">
      <alignment horizontal="right" vertical="top"/>
    </xf>
    <xf numFmtId="0" fontId="41" fillId="11" borderId="98" xfId="0" applyFont="1" applyFill="1" applyBorder="1" applyAlignment="1">
      <alignment horizontal="right" vertical="top"/>
    </xf>
    <xf numFmtId="3" fontId="41" fillId="11" borderId="106" xfId="0" applyNumberFormat="1" applyFont="1" applyFill="1" applyBorder="1" applyAlignment="1">
      <alignment horizontal="right" vertical="top"/>
    </xf>
    <xf numFmtId="40" fontId="38" fillId="10" borderId="101" xfId="0" applyNumberFormat="1" applyFont="1" applyFill="1" applyBorder="1" applyAlignment="1">
      <alignment horizontal="center"/>
    </xf>
    <xf numFmtId="0" fontId="43" fillId="11" borderId="63" xfId="0" applyFont="1" applyFill="1" applyBorder="1"/>
    <xf numFmtId="38" fontId="43" fillId="10" borderId="107" xfId="0" applyNumberFormat="1" applyFont="1" applyFill="1" applyBorder="1"/>
    <xf numFmtId="38" fontId="43" fillId="11" borderId="107" xfId="0" applyNumberFormat="1" applyFont="1" applyFill="1" applyBorder="1"/>
    <xf numFmtId="0" fontId="50" fillId="11" borderId="108" xfId="0" applyFont="1" applyFill="1" applyBorder="1"/>
    <xf numFmtId="38" fontId="43" fillId="11" borderId="2" xfId="0" applyNumberFormat="1" applyFont="1" applyFill="1" applyBorder="1"/>
    <xf numFmtId="166" fontId="10" fillId="6" borderId="2" xfId="3" applyNumberFormat="1" applyFont="1" applyFill="1" applyBorder="1"/>
    <xf numFmtId="0" fontId="11" fillId="23" borderId="3" xfId="3" applyFont="1" applyFill="1" applyBorder="1" applyAlignment="1">
      <alignment horizontal="center" vertical="center" wrapText="1"/>
    </xf>
    <xf numFmtId="166" fontId="10" fillId="23" borderId="1" xfId="3" applyNumberFormat="1" applyFont="1" applyFill="1" applyBorder="1" applyAlignment="1">
      <alignment vertical="center"/>
    </xf>
    <xf numFmtId="166" fontId="10" fillId="23" borderId="2" xfId="3" applyNumberFormat="1" applyFont="1" applyFill="1" applyBorder="1"/>
    <xf numFmtId="166" fontId="10" fillId="23" borderId="2" xfId="3" applyNumberFormat="1" applyFont="1" applyFill="1" applyBorder="1" applyAlignment="1">
      <alignment vertical="center"/>
    </xf>
    <xf numFmtId="166" fontId="11" fillId="23" borderId="2" xfId="3" applyNumberFormat="1" applyFont="1" applyFill="1" applyBorder="1" applyAlignment="1">
      <alignment vertical="center"/>
    </xf>
    <xf numFmtId="165" fontId="11" fillId="23" borderId="2" xfId="4" applyNumberFormat="1" applyFont="1" applyFill="1" applyBorder="1" applyAlignment="1">
      <alignment vertical="center" wrapText="1"/>
    </xf>
    <xf numFmtId="164" fontId="10" fillId="23" borderId="1" xfId="3" applyNumberFormat="1" applyFont="1" applyFill="1" applyBorder="1"/>
    <xf numFmtId="164" fontId="10" fillId="23" borderId="7" xfId="3" applyNumberFormat="1" applyFont="1" applyFill="1" applyBorder="1"/>
    <xf numFmtId="0" fontId="11" fillId="23" borderId="2" xfId="3" applyFont="1" applyFill="1" applyBorder="1" applyAlignment="1">
      <alignment horizontal="center" vertical="center" wrapText="1"/>
    </xf>
    <xf numFmtId="0" fontId="10" fillId="23" borderId="10" xfId="3" applyFont="1" applyFill="1" applyBorder="1"/>
    <xf numFmtId="165" fontId="10" fillId="23" borderId="10" xfId="3" applyNumberFormat="1" applyFont="1" applyFill="1" applyBorder="1"/>
    <xf numFmtId="165" fontId="10" fillId="23" borderId="7" xfId="3" applyNumberFormat="1" applyFont="1" applyFill="1" applyBorder="1"/>
    <xf numFmtId="165" fontId="10" fillId="23" borderId="0" xfId="3" applyNumberFormat="1" applyFont="1" applyFill="1"/>
    <xf numFmtId="164" fontId="10" fillId="23" borderId="0" xfId="3" applyNumberFormat="1" applyFont="1" applyFill="1" applyAlignment="1">
      <alignment horizontal="center"/>
    </xf>
    <xf numFmtId="164" fontId="11" fillId="23" borderId="0" xfId="3" applyNumberFormat="1" applyFont="1" applyFill="1" applyAlignment="1">
      <alignment horizontal="center"/>
    </xf>
    <xf numFmtId="164" fontId="52" fillId="0" borderId="0" xfId="3" applyNumberFormat="1" applyFont="1" applyAlignment="1">
      <alignment horizontal="center"/>
    </xf>
    <xf numFmtId="164" fontId="53" fillId="0" borderId="0" xfId="3" applyNumberFormat="1" applyFont="1" applyAlignment="1">
      <alignment horizontal="center"/>
    </xf>
    <xf numFmtId="9" fontId="10" fillId="0" borderId="0" xfId="3" applyNumberFormat="1" applyFont="1" applyAlignment="1">
      <alignment horizontal="left" wrapText="1"/>
    </xf>
    <xf numFmtId="164" fontId="24" fillId="11" borderId="0" xfId="0" applyNumberFormat="1" applyFont="1" applyFill="1" applyAlignment="1">
      <alignment horizontal="center" vertical="center"/>
    </xf>
    <xf numFmtId="164" fontId="24" fillId="13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0" xfId="0" applyFont="1" applyFill="1" applyAlignment="1">
      <alignment horizontal="left"/>
    </xf>
    <xf numFmtId="0" fontId="14" fillId="13" borderId="16" xfId="0" applyFont="1" applyFill="1" applyBorder="1" applyAlignment="1">
      <alignment horizontal="center"/>
    </xf>
    <xf numFmtId="0" fontId="14" fillId="13" borderId="0" xfId="0" applyFont="1" applyFill="1" applyAlignment="1">
      <alignment horizontal="center"/>
    </xf>
    <xf numFmtId="0" fontId="14" fillId="13" borderId="17" xfId="0" applyFont="1" applyFill="1" applyBorder="1" applyAlignment="1">
      <alignment horizontal="center"/>
    </xf>
    <xf numFmtId="0" fontId="24" fillId="11" borderId="0" xfId="0" applyFont="1" applyFill="1" applyAlignment="1">
      <alignment horizontal="left" vertical="center"/>
    </xf>
    <xf numFmtId="164" fontId="24" fillId="11" borderId="16" xfId="0" applyNumberFormat="1" applyFont="1" applyFill="1" applyBorder="1" applyAlignment="1">
      <alignment horizontal="center" vertical="center"/>
    </xf>
    <xf numFmtId="164" fontId="24" fillId="11" borderId="17" xfId="0" applyNumberFormat="1" applyFont="1" applyFill="1" applyBorder="1" applyAlignment="1">
      <alignment horizontal="center" vertical="center"/>
    </xf>
    <xf numFmtId="0" fontId="24" fillId="13" borderId="0" xfId="0" applyFont="1" applyFill="1" applyAlignment="1">
      <alignment horizontal="left" vertical="center"/>
    </xf>
    <xf numFmtId="164" fontId="24" fillId="13" borderId="16" xfId="0" applyNumberFormat="1" applyFont="1" applyFill="1" applyBorder="1" applyAlignment="1">
      <alignment horizontal="center" vertical="center"/>
    </xf>
    <xf numFmtId="164" fontId="24" fillId="13" borderId="17" xfId="0" applyNumberFormat="1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center"/>
    </xf>
    <xf numFmtId="0" fontId="15" fillId="12" borderId="14" xfId="0" applyFont="1" applyFill="1" applyBorder="1" applyAlignment="1">
      <alignment horizontal="center"/>
    </xf>
    <xf numFmtId="0" fontId="15" fillId="12" borderId="15" xfId="0" applyFont="1" applyFill="1" applyBorder="1" applyAlignment="1">
      <alignment horizontal="center"/>
    </xf>
    <xf numFmtId="0" fontId="39" fillId="0" borderId="0" xfId="0" applyFont="1" applyAlignment="1">
      <alignment horizontal="left" vertical="top" wrapText="1"/>
    </xf>
    <xf numFmtId="0" fontId="46" fillId="11" borderId="0" xfId="0" applyFont="1" applyFill="1" applyAlignment="1">
      <alignment horizontal="left" wrapText="1"/>
    </xf>
    <xf numFmtId="0" fontId="28" fillId="0" borderId="0" xfId="0" applyFont="1" applyAlignment="1">
      <alignment horizontal="left" vertical="top" wrapText="1"/>
    </xf>
    <xf numFmtId="0" fontId="36" fillId="11" borderId="0" xfId="0" applyFont="1" applyFill="1" applyAlignment="1">
      <alignment horizontal="left" vertical="top" wrapText="1"/>
    </xf>
    <xf numFmtId="0" fontId="39" fillId="11" borderId="0" xfId="0" applyFont="1" applyFill="1" applyAlignment="1">
      <alignment horizontal="left" vertical="top" wrapText="1"/>
    </xf>
    <xf numFmtId="0" fontId="46" fillId="11" borderId="38" xfId="0" applyFont="1" applyFill="1" applyBorder="1" applyAlignment="1">
      <alignment horizontal="left" vertical="center" wrapText="1"/>
    </xf>
    <xf numFmtId="0" fontId="46" fillId="11" borderId="53" xfId="0" applyFont="1" applyFill="1" applyBorder="1" applyAlignment="1">
      <alignment horizontal="left" vertical="center" wrapText="1"/>
    </xf>
  </cellXfs>
  <cellStyles count="5">
    <cellStyle name="Comma" xfId="1" builtinId="3"/>
    <cellStyle name="Normal" xfId="0" builtinId="0"/>
    <cellStyle name="Normal 2" xfId="3" xr:uid="{FFBBA915-3BCA-449B-825D-D9CF822A62FC}"/>
    <cellStyle name="Percent" xfId="2" builtinId="5"/>
    <cellStyle name="Percent 2" xfId="4" xr:uid="{CE3E2AA3-54D6-4DD5-BB49-DDFCCFEA7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worksheet" Target="worksheets/sheet7.xml"/><Relationship Id="rId18" Type="http://schemas.openxmlformats.org/officeDocument/2006/relationships/theme" Target="theme/theme1.xml"/><Relationship Id="rId3" Type="http://schemas.openxmlformats.org/officeDocument/2006/relationships/chartsheet" Target="chart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2.xml"/><Relationship Id="rId12" Type="http://schemas.openxmlformats.org/officeDocument/2006/relationships/worksheet" Target="worksheets/sheet6.xml"/><Relationship Id="rId17" Type="http://schemas.openxmlformats.org/officeDocument/2006/relationships/externalLink" Target="externalLinks/externalLink4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5.xml"/><Relationship Id="rId5" Type="http://schemas.openxmlformats.org/officeDocument/2006/relationships/chartsheet" Target="chart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4.xml"/><Relationship Id="rId19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Biomass-Based Diesel Production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Year RFS Curves (2020)'!$L$67</c:f>
              <c:strCache>
                <c:ptCount val="1"/>
                <c:pt idx="0">
                  <c:v>Unadjusted 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(2020)'!$M$64:$P$64</c:f>
              <c:numCache>
                <c:formatCode>General</c:formatCode>
                <c:ptCount val="4"/>
                <c:pt idx="0">
                  <c:v>3.2379983996285371</c:v>
                </c:pt>
                <c:pt idx="1">
                  <c:v>5.1918914080902097</c:v>
                </c:pt>
                <c:pt idx="2">
                  <c:v>5.3320043163002113</c:v>
                </c:pt>
                <c:pt idx="3">
                  <c:v>5.755768350051226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2-4315-A0ED-C6482F0E6A06}"/>
            </c:ext>
          </c:extLst>
        </c:ser>
        <c:ser>
          <c:idx val="1"/>
          <c:order val="1"/>
          <c:tx>
            <c:strRef>
              <c:f>'10 Year RFS Curves (2020)'!$L$62</c:f>
              <c:strCache>
                <c:ptCount val="1"/>
                <c:pt idx="0">
                  <c:v>2 billion gallons added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(2020)'!$M$68:$P$68</c:f>
              <c:numCache>
                <c:formatCode>General</c:formatCode>
                <c:ptCount val="4"/>
                <c:pt idx="0">
                  <c:v>3.2379983996285371</c:v>
                </c:pt>
                <c:pt idx="1">
                  <c:v>3.1918914080902097</c:v>
                </c:pt>
                <c:pt idx="2">
                  <c:v>3.3320043163002113</c:v>
                </c:pt>
                <c:pt idx="3">
                  <c:v>3.755768350051226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2-4315-A0ED-C6482F0E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8"/>
        <c:axId val="107498991"/>
        <c:axId val="107500631"/>
      </c:barChart>
      <c:catAx>
        <c:axId val="10749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500631"/>
        <c:crosses val="autoZero"/>
        <c:auto val="1"/>
        <c:lblAlgn val="ctr"/>
        <c:lblOffset val="100"/>
        <c:noMultiLvlLbl val="0"/>
      </c:catAx>
      <c:valAx>
        <c:axId val="107500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billion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222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498991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8.5015887557686173E-2"/>
          <c:y val="0.19462913153554928"/>
          <c:w val="0.35654785879949558"/>
          <c:h val="4.5488862564745776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Adjusted</a:t>
            </a:r>
            <a:r>
              <a:rPr lang="en-US" sz="2800" baseline="0"/>
              <a:t> </a:t>
            </a:r>
            <a:r>
              <a:rPr lang="en-US" sz="2800"/>
              <a:t>Domestic Biodiesel and Renewable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528146547559353E-2"/>
          <c:y val="0.17984289147824736"/>
          <c:w val="0.90575185325013308"/>
          <c:h val="0.73731311582945436"/>
        </c:manualLayout>
      </c:layout>
      <c:barChart>
        <c:barDir val="col"/>
        <c:grouping val="stacked"/>
        <c:varyColors val="0"/>
        <c:ser>
          <c:idx val="0"/>
          <c:order val="0"/>
          <c:tx>
            <c:v>Biodiesel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(2020)'!$M$65:$P$65</c:f>
              <c:numCache>
                <c:formatCode>General</c:formatCode>
                <c:ptCount val="4"/>
                <c:pt idx="0">
                  <c:v>1.653807682610275</c:v>
                </c:pt>
                <c:pt idx="1">
                  <c:v>2.2675585724833991</c:v>
                </c:pt>
                <c:pt idx="2">
                  <c:v>1.0580029564618691</c:v>
                </c:pt>
                <c:pt idx="3">
                  <c:v>0.86336525250768392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E-4A86-921A-03D28DD8D6C9}"/>
            </c:ext>
          </c:extLst>
        </c:ser>
        <c:ser>
          <c:idx val="1"/>
          <c:order val="1"/>
          <c:tx>
            <c:v>Renewable Diesel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(2020)'!$M$66:$P$66</c:f>
              <c:numCache>
                <c:formatCode>General</c:formatCode>
                <c:ptCount val="4"/>
                <c:pt idx="0">
                  <c:v>1.5056692558272697</c:v>
                </c:pt>
                <c:pt idx="1">
                  <c:v>2.7932375775525329</c:v>
                </c:pt>
                <c:pt idx="2">
                  <c:v>4.1482993580815641</c:v>
                </c:pt>
                <c:pt idx="3">
                  <c:v>4.7772877305425174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E-4A86-921A-03D28DD8D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623383008"/>
        <c:axId val="1623382352"/>
      </c:barChart>
      <c:catAx>
        <c:axId val="162338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382352"/>
        <c:crosses val="autoZero"/>
        <c:auto val="1"/>
        <c:lblAlgn val="ctr"/>
        <c:lblOffset val="100"/>
        <c:noMultiLvlLbl val="0"/>
      </c:catAx>
      <c:valAx>
        <c:axId val="16233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</a:t>
                </a:r>
                <a:r>
                  <a:rPr lang="en-US" baseline="0"/>
                  <a:t> gallons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38300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9.9627321626946708E-2"/>
          <c:y val="0.2028627473663204"/>
          <c:w val="0.33505797224990197"/>
          <c:h val="7.2002399943609505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Unadjusted Biodiesel and Renewable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528146547559353E-2"/>
          <c:y val="8.5362780378563957E-2"/>
          <c:w val="0.90575185325013308"/>
          <c:h val="0.83179322692913771"/>
        </c:manualLayout>
      </c:layout>
      <c:barChart>
        <c:barDir val="col"/>
        <c:grouping val="stacked"/>
        <c:varyColors val="0"/>
        <c:ser>
          <c:idx val="0"/>
          <c:order val="0"/>
          <c:tx>
            <c:v>Biodiesel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(2020)'!$M$69:$P$69</c:f>
              <c:numCache>
                <c:formatCode>General</c:formatCode>
                <c:ptCount val="4"/>
                <c:pt idx="0">
                  <c:v>1.653807682610275</c:v>
                </c:pt>
                <c:pt idx="1">
                  <c:v>1.3940585724833989</c:v>
                </c:pt>
                <c:pt idx="2">
                  <c:v>0.66115295646186933</c:v>
                </c:pt>
                <c:pt idx="3">
                  <c:v>0.56336525250768388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0-4BEA-A049-CC05D59C2D4D}"/>
            </c:ext>
          </c:extLst>
        </c:ser>
        <c:ser>
          <c:idx val="1"/>
          <c:order val="1"/>
          <c:tx>
            <c:v>Renewable Diesel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(2020)'!$M$70:$P$70</c:f>
              <c:numCache>
                <c:formatCode>General</c:formatCode>
                <c:ptCount val="4"/>
                <c:pt idx="0">
                  <c:v>1.5056692558272697</c:v>
                </c:pt>
                <c:pt idx="1">
                  <c:v>1.7172375775525328</c:v>
                </c:pt>
                <c:pt idx="2">
                  <c:v>2.5922993580815645</c:v>
                </c:pt>
                <c:pt idx="3">
                  <c:v>3.1172877305425173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0-4BEA-A049-CC05D59C2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623383008"/>
        <c:axId val="1623382352"/>
      </c:barChart>
      <c:catAx>
        <c:axId val="162338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382352"/>
        <c:crosses val="autoZero"/>
        <c:auto val="1"/>
        <c:lblAlgn val="ctr"/>
        <c:lblOffset val="100"/>
        <c:noMultiLvlLbl val="0"/>
      </c:catAx>
      <c:valAx>
        <c:axId val="16233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</a:t>
                </a:r>
                <a:r>
                  <a:rPr lang="en-US" baseline="0"/>
                  <a:t> gallons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38300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8.6245503261212358E-2"/>
          <c:y val="0.10602063348914492"/>
          <c:w val="0.33505797224990197"/>
          <c:h val="7.2002399943609505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Will the EPA Reduce the D3 Mandate?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668283755018065E-2"/>
          <c:y val="0.14288628396656161"/>
          <c:w val="0.89363059416105528"/>
          <c:h val="0.757934641503102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'10 Year RFS Curves (2020)'!$G$129</c:f>
              <c:strCache>
                <c:ptCount val="1"/>
                <c:pt idx="0">
                  <c:v>D3 ex. eRINs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 Year RFS Curves (2020)'!$H$128:$J$128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'10 Year RFS Curves (2020)'!$H$129:$J$129</c:f>
              <c:numCache>
                <c:formatCode>_(* #,##0.000_);_(* \(#,##0.000\);_(* "-"???_);_(@_)</c:formatCode>
                <c:ptCount val="3"/>
                <c:pt idx="0">
                  <c:v>0.84</c:v>
                </c:pt>
                <c:pt idx="1">
                  <c:v>0.4900000000000001</c:v>
                </c:pt>
                <c:pt idx="2">
                  <c:v>0.17999999999999994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5-4BFB-8C99-AF459FE59A2D}"/>
            </c:ext>
          </c:extLst>
        </c:ser>
        <c:ser>
          <c:idx val="1"/>
          <c:order val="1"/>
          <c:tx>
            <c:strRef>
              <c:f>'10 Year RFS Curves (2020)'!$G$130</c:f>
              <c:strCache>
                <c:ptCount val="1"/>
                <c:pt idx="0">
                  <c:v>eRIN Mandates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95-4BFB-8C99-AF459FE59A2D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 Year RFS Curves (2020)'!$H$128:$J$128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'10 Year RFS Curves (2020)'!$H$130:$J$130</c:f>
              <c:numCache>
                <c:formatCode>General</c:formatCode>
                <c:ptCount val="3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95-4BFB-8C99-AF459FE59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7065296"/>
        <c:axId val="1577067376"/>
      </c:barChart>
      <c:catAx>
        <c:axId val="157706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067376"/>
        <c:crosses val="autoZero"/>
        <c:auto val="1"/>
        <c:lblAlgn val="ctr"/>
        <c:lblOffset val="100"/>
        <c:noMultiLvlLbl val="0"/>
      </c:catAx>
      <c:valAx>
        <c:axId val="157706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billion</a:t>
                </a:r>
                <a:r>
                  <a:rPr lang="en-US" sz="1200" baseline="0"/>
                  <a:t> gallons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_);_(* \(#,##0.0\);_(* &quot;-&quot;?_);_(@_)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065296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4451687082670189"/>
          <c:y val="0.26810488869024263"/>
          <c:w val="0.34210174060443604"/>
          <c:h val="5.0642793477885611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EMTS Production by Fuel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091354985946244E-2"/>
          <c:y val="0.11967481327660233"/>
          <c:w val="0.92918124735259999"/>
          <c:h val="0.778481392076501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'Production by Fuel Cat'!$B$2</c:f>
              <c:strCache>
                <c:ptCount val="1"/>
                <c:pt idx="0">
                  <c:v>D3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08-485A-A83B-097E25155E1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08-485A-A83B-097E25155E1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08-485A-A83B-097E25155E1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'Production by Fuel Cat'!$A$3:$A$16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'Production by Fuel Cat'!$B$3:$B$16</c:f>
              <c:numCache>
                <c:formatCode>#,##0_);[Red]\(#,##0\)</c:formatCode>
                <c:ptCount val="14"/>
                <c:pt idx="0">
                  <c:v>20069</c:v>
                </c:pt>
                <c:pt idx="1">
                  <c:v>281819</c:v>
                </c:pt>
                <c:pt idx="2">
                  <c:v>33345837</c:v>
                </c:pt>
                <c:pt idx="3">
                  <c:v>142040241</c:v>
                </c:pt>
                <c:pt idx="4">
                  <c:v>192361795</c:v>
                </c:pt>
                <c:pt idx="5">
                  <c:v>250624473</c:v>
                </c:pt>
                <c:pt idx="6">
                  <c:v>312348198</c:v>
                </c:pt>
                <c:pt idx="7">
                  <c:v>414122810</c:v>
                </c:pt>
                <c:pt idx="8">
                  <c:v>505872211</c:v>
                </c:pt>
                <c:pt idx="9">
                  <c:v>568414154</c:v>
                </c:pt>
                <c:pt idx="10">
                  <c:v>668618747</c:v>
                </c:pt>
                <c:pt idx="11">
                  <c:v>774731508</c:v>
                </c:pt>
                <c:pt idx="12">
                  <c:v>921163090</c:v>
                </c:pt>
                <c:pt idx="13">
                  <c:v>642893076.81687927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08-485A-A83B-097E25155E1E}"/>
            </c:ext>
          </c:extLst>
        </c:ser>
        <c:ser>
          <c:idx val="1"/>
          <c:order val="1"/>
          <c:tx>
            <c:strRef>
              <c:f>'Production by Fuel Cat'!$C$2</c:f>
              <c:strCache>
                <c:ptCount val="1"/>
                <c:pt idx="0">
                  <c:v>D4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'Production by Fuel Cat'!$A$3:$A$16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'Production by Fuel Cat'!$C$3:$C$16</c:f>
              <c:numCache>
                <c:formatCode>#,##0_);[Red]\(#,##0\)</c:formatCode>
                <c:ptCount val="14"/>
                <c:pt idx="0">
                  <c:v>1146899177</c:v>
                </c:pt>
                <c:pt idx="1">
                  <c:v>1794304869</c:v>
                </c:pt>
                <c:pt idx="2">
                  <c:v>1763434468</c:v>
                </c:pt>
                <c:pt idx="3">
                  <c:v>1823117873</c:v>
                </c:pt>
                <c:pt idx="4">
                  <c:v>2616026976</c:v>
                </c:pt>
                <c:pt idx="5">
                  <c:v>2505344787</c:v>
                </c:pt>
                <c:pt idx="6">
                  <c:v>2517304692</c:v>
                </c:pt>
                <c:pt idx="7">
                  <c:v>2662800495</c:v>
                </c:pt>
                <c:pt idx="8">
                  <c:v>2881104219</c:v>
                </c:pt>
                <c:pt idx="9">
                  <c:v>3093329263</c:v>
                </c:pt>
                <c:pt idx="10">
                  <c:v>3627527131</c:v>
                </c:pt>
                <c:pt idx="11">
                  <c:v>4975757093</c:v>
                </c:pt>
                <c:pt idx="12">
                  <c:v>5667378440</c:v>
                </c:pt>
                <c:pt idx="13">
                  <c:v>4833141884.6898079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08-485A-A83B-097E25155E1E}"/>
            </c:ext>
          </c:extLst>
        </c:ser>
        <c:ser>
          <c:idx val="2"/>
          <c:order val="2"/>
          <c:tx>
            <c:strRef>
              <c:f>'Production by Fuel Cat'!$D$2</c:f>
              <c:strCache>
                <c:ptCount val="1"/>
                <c:pt idx="0">
                  <c:v>D5</c:v>
                </c:pt>
              </c:strCache>
            </c:strRef>
          </c:tx>
          <c:spPr>
            <a:solidFill>
              <a:schemeClr val="bg1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'Production by Fuel Cat'!$A$3:$A$16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'Production by Fuel Cat'!$D$3:$D$16</c:f>
              <c:numCache>
                <c:formatCode>#,##0_);[Red]\(#,##0\)</c:formatCode>
                <c:ptCount val="14"/>
                <c:pt idx="0">
                  <c:v>618671889</c:v>
                </c:pt>
                <c:pt idx="1">
                  <c:v>527775069</c:v>
                </c:pt>
                <c:pt idx="2">
                  <c:v>131427352</c:v>
                </c:pt>
                <c:pt idx="3">
                  <c:v>135291787</c:v>
                </c:pt>
                <c:pt idx="4">
                  <c:v>85201935</c:v>
                </c:pt>
                <c:pt idx="5">
                  <c:v>128800020</c:v>
                </c:pt>
                <c:pt idx="6">
                  <c:v>150976112</c:v>
                </c:pt>
                <c:pt idx="7">
                  <c:v>284667030</c:v>
                </c:pt>
                <c:pt idx="8">
                  <c:v>287574491</c:v>
                </c:pt>
                <c:pt idx="9">
                  <c:v>178038588</c:v>
                </c:pt>
                <c:pt idx="10">
                  <c:v>256398192</c:v>
                </c:pt>
                <c:pt idx="11">
                  <c:v>184397469</c:v>
                </c:pt>
                <c:pt idx="12">
                  <c:v>164671255</c:v>
                </c:pt>
                <c:pt idx="13">
                  <c:v>187865954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08-485A-A83B-097E25155E1E}"/>
            </c:ext>
          </c:extLst>
        </c:ser>
        <c:ser>
          <c:idx val="3"/>
          <c:order val="3"/>
          <c:tx>
            <c:strRef>
              <c:f>'Production by Fuel Cat'!$E$2</c:f>
              <c:strCache>
                <c:ptCount val="1"/>
                <c:pt idx="0">
                  <c:v>D6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'Production by Fuel Cat'!$E$3:$E$16</c:f>
              <c:numCache>
                <c:formatCode>#,##0_);[Red]\(#,##0\)</c:formatCode>
                <c:ptCount val="14"/>
                <c:pt idx="0">
                  <c:v>12987468760</c:v>
                </c:pt>
                <c:pt idx="1">
                  <c:v>13251265535</c:v>
                </c:pt>
                <c:pt idx="2">
                  <c:v>14226497803</c:v>
                </c:pt>
                <c:pt idx="3">
                  <c:v>14668303446</c:v>
                </c:pt>
                <c:pt idx="4">
                  <c:v>15003278197</c:v>
                </c:pt>
                <c:pt idx="5">
                  <c:v>15008327443</c:v>
                </c:pt>
                <c:pt idx="6">
                  <c:v>15074084106</c:v>
                </c:pt>
                <c:pt idx="7">
                  <c:v>14846758241</c:v>
                </c:pt>
                <c:pt idx="8">
                  <c:v>12933461982</c:v>
                </c:pt>
                <c:pt idx="9">
                  <c:v>14202821885</c:v>
                </c:pt>
                <c:pt idx="10">
                  <c:v>14498466195</c:v>
                </c:pt>
                <c:pt idx="11">
                  <c:v>14773865497</c:v>
                </c:pt>
                <c:pt idx="12">
                  <c:v>14885505634</c:v>
                </c:pt>
                <c:pt idx="13">
                  <c:v>14602831599.552595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08-485A-A83B-097E25155E1E}"/>
            </c:ext>
          </c:extLst>
        </c:ser>
        <c:ser>
          <c:idx val="4"/>
          <c:order val="4"/>
          <c:tx>
            <c:strRef>
              <c:f>'Production by Fuel Cat'!$F$2</c:f>
              <c:strCache>
                <c:ptCount val="1"/>
                <c:pt idx="0">
                  <c:v>D7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'Production by Fuel Cat'!$A$3:$A$16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'Production by Fuel Cat'!$F$3:$F$16</c:f>
              <c:numCache>
                <c:formatCode>#,##0_);[Red]\(#,##0\)</c:formatCode>
                <c:ptCount val="14"/>
                <c:pt idx="0">
                  <c:v>1024</c:v>
                </c:pt>
                <c:pt idx="1">
                  <c:v>232808</c:v>
                </c:pt>
                <c:pt idx="2">
                  <c:v>55657</c:v>
                </c:pt>
                <c:pt idx="3">
                  <c:v>275315</c:v>
                </c:pt>
                <c:pt idx="4">
                  <c:v>534429</c:v>
                </c:pt>
                <c:pt idx="5">
                  <c:v>1743705</c:v>
                </c:pt>
                <c:pt idx="6">
                  <c:v>2446620</c:v>
                </c:pt>
                <c:pt idx="7">
                  <c:v>1315943</c:v>
                </c:pt>
                <c:pt idx="8">
                  <c:v>55892</c:v>
                </c:pt>
                <c:pt idx="9">
                  <c:v>247518</c:v>
                </c:pt>
                <c:pt idx="10">
                  <c:v>236352</c:v>
                </c:pt>
                <c:pt idx="11">
                  <c:v>208643</c:v>
                </c:pt>
                <c:pt idx="12">
                  <c:v>227964</c:v>
                </c:pt>
                <c:pt idx="13">
                  <c:v>217771.19999998808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08-485A-A83B-097E25155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421717104"/>
        <c:axId val="1421722864"/>
      </c:barChart>
      <c:catAx>
        <c:axId val="142171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1722864"/>
        <c:crosses val="autoZero"/>
        <c:auto val="1"/>
        <c:lblAlgn val="ctr"/>
        <c:lblOffset val="100"/>
        <c:noMultiLvlLbl val="0"/>
      </c:catAx>
      <c:valAx>
        <c:axId val="142172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1717104"/>
        <c:crosses val="autoZero"/>
        <c:crossBetween val="between"/>
        <c:dispUnits>
          <c:builtInUnit val="billions"/>
        </c:dispUnits>
      </c:valAx>
      <c:spPr>
        <a:noFill/>
        <a:ln w="158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2866345492847025"/>
          <c:y val="0.20891666359479258"/>
          <c:w val="0.22000035392592329"/>
          <c:h val="4.5532155815633496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US Biofuel Mandate and Supply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3600" b="1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36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US Biofuel Mandate and Supply</a:t>
          </a:r>
        </a:p>
      </cx:txPr>
    </cx:title>
    <cx:plotArea>
      <cx:plotAreaRegion>
        <cx:plotSurface>
          <cx:spPr>
            <a:noFill/>
            <a:ln w="22225">
              <a:solidFill>
                <a:srgbClr val="8C8C8C"/>
              </a:solidFill>
            </a:ln>
          </cx:spPr>
        </cx:plotSurface>
        <cx:series layoutId="waterfall" uniqueId="{9BE430A2-7F91-45BA-8750-4A133FCD912E}">
          <cx:dataPt idx="0">
            <cx:spPr>
              <a:solidFill>
                <a:srgbClr val="8C8C8C"/>
              </a:solidFill>
              <a:ln w="6350">
                <a:solidFill>
                  <a:sysClr val="windowText" lastClr="000000"/>
                </a:solidFill>
              </a:ln>
            </cx:spPr>
          </cx:dataPt>
          <cx:dataPt idx="1">
            <cx:spPr>
              <a:solidFill>
                <a:srgbClr val="FF0000"/>
              </a:solidFill>
              <a:ln w="6350">
                <a:solidFill>
                  <a:sysClr val="windowText" lastClr="000000"/>
                </a:solidFill>
              </a:ln>
            </cx:spPr>
          </cx:dataPt>
          <cx:dataPt idx="2">
            <cx:spPr>
              <a:solidFill>
                <a:srgbClr val="FF0000"/>
              </a:solidFill>
              <a:ln w="6350">
                <a:solidFill>
                  <a:sysClr val="windowText" lastClr="000000"/>
                </a:solidFill>
              </a:ln>
            </cx:spPr>
          </cx:dataPt>
          <cx:dataPt idx="3">
            <cx:spPr>
              <a:solidFill>
                <a:srgbClr val="FF0000"/>
              </a:solidFill>
              <a:ln w="6350">
                <a:solidFill>
                  <a:sysClr val="windowText" lastClr="000000"/>
                </a:solidFill>
              </a:ln>
            </cx:spPr>
          </cx:dataPt>
          <cx:dataPt idx="4">
            <cx:spPr>
              <a:solidFill>
                <a:srgbClr val="FF0000"/>
              </a:solidFill>
              <a:ln w="6350">
                <a:solidFill>
                  <a:sysClr val="windowText" lastClr="000000"/>
                </a:solidFill>
              </a:ln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1" i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05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5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billion gallons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 b="1">
                  <a:solidFill>
                    <a:sysClr val="windowText" lastClr="000000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1200" b="1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billion gallons</a:t>
              </a:r>
            </a:p>
          </cx:txPr>
        </cx:title>
        <cx:majorGridlines>
          <cx:spPr>
            <a:ln>
              <a:solidFill>
                <a:schemeClr val="bg1">
                  <a:lumMod val="65000"/>
                </a:schemeClr>
              </a:solidFill>
            </a:ln>
          </cx:spPr>
        </cx:majorGridlines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2387DE-3609-4D5F-AC01-E3708A684F9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84F1BD-F280-412F-A784-AEEF7EFE0143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D05374-D9DE-4713-9822-1F782BEE1EFC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953E1E-D9B0-4BF6-A098-A98213FA744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865E7C-2BE0-49FB-85EC-CE61DB7136F6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37168E-A92C-452E-93BD-CA6093547D1C}">
  <sheetPr/>
  <sheetViews>
    <sheetView zoomScale="80" workbookViewId="0" zoomToFit="1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07073-2630-9605-36F4-3B9F494BD9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0.95221</cdr:y>
    </cdr:from>
    <cdr:to>
      <cdr:x>0.35105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946E8-2BB3-FF68-52C6-BAFC65607DCA}"/>
            </a:ext>
          </a:extLst>
        </cdr:cNvPr>
        <cdr:cNvSpPr txBox="1"/>
      </cdr:nvSpPr>
      <cdr:spPr>
        <a:xfrm xmlns:a="http://schemas.openxmlformats.org/drawingml/2006/main">
          <a:off x="0" y="5124450"/>
          <a:ext cx="333375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EPA,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8A4E4-97FB-A0BC-3F2F-53D6742EE8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0.95815</cdr:y>
    </cdr:from>
    <cdr:to>
      <cdr:x>0.27142</cdr:x>
      <cdr:y>0.99974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E0E17E-FA16-5EC0-5BA0-30DEB4F7ABA5}"/>
            </a:ext>
          </a:extLst>
        </cdr:cNvPr>
        <cdr:cNvSpPr txBox="1"/>
      </cdr:nvSpPr>
      <cdr:spPr>
        <a:xfrm xmlns:a="http://schemas.openxmlformats.org/drawingml/2006/main">
          <a:off x="0" y="5151783"/>
          <a:ext cx="2575891" cy="223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2D299-60DB-14E8-2BA6-1597FE99A8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0.95815</cdr:y>
    </cdr:from>
    <cdr:to>
      <cdr:x>0.27142</cdr:x>
      <cdr:y>0.99974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E0E17E-FA16-5EC0-5BA0-30DEB4F7ABA5}"/>
            </a:ext>
          </a:extLst>
        </cdr:cNvPr>
        <cdr:cNvSpPr txBox="1"/>
      </cdr:nvSpPr>
      <cdr:spPr>
        <a:xfrm xmlns:a="http://schemas.openxmlformats.org/drawingml/2006/main">
          <a:off x="0" y="5151783"/>
          <a:ext cx="2575891" cy="223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47116D2-E22D-6FF1-47AD-782E0129274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ABED94C-EABD-2ABF-313F-780F6B3A8D1E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491870" cy="537541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4F110-8260-03F0-F726-5CA68B90E2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0.95403</cdr:y>
    </cdr:from>
    <cdr:to>
      <cdr:x>0.14233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6226F7-7B4E-4604-1DEC-4E2C8F790276}"/>
            </a:ext>
          </a:extLst>
        </cdr:cNvPr>
        <cdr:cNvSpPr txBox="1"/>
      </cdr:nvSpPr>
      <cdr:spPr>
        <a:xfrm xmlns:a="http://schemas.openxmlformats.org/drawingml/2006/main">
          <a:off x="0" y="5139928"/>
          <a:ext cx="13525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EPA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9DC67-EB51-713A-E51D-A3F2B06326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0.9543</cdr:y>
    </cdr:from>
    <cdr:to>
      <cdr:x>0.42029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D60779D-DAC1-BE76-38AB-23DE3A55DB73}"/>
            </a:ext>
          </a:extLst>
        </cdr:cNvPr>
        <cdr:cNvSpPr txBox="1"/>
      </cdr:nvSpPr>
      <cdr:spPr>
        <a:xfrm xmlns:a="http://schemas.openxmlformats.org/drawingml/2006/main">
          <a:off x="0" y="5125825"/>
          <a:ext cx="3986752" cy="2454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EPA,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EMTS%20Data.xlsx" TargetMode="External"/><Relationship Id="rId1" Type="http://schemas.openxmlformats.org/officeDocument/2006/relationships/externalLinkPath" Target="EMT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RIN%20Balance%20Sheets.xlsx" TargetMode="External"/><Relationship Id="rId1" Type="http://schemas.openxmlformats.org/officeDocument/2006/relationships/externalLinkPath" Target="RIN%20Balance%20Shee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Credit%20Generation%20and%20Tracking.xlsx" TargetMode="External"/><Relationship Id="rId1" Type="http://schemas.openxmlformats.org/officeDocument/2006/relationships/externalLinkPath" Target="US%20Credit%20Generation%20and%20Trackin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US%20BBD%20Profitabi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</sheetNames>
    <sheetDataSet>
      <sheetData sheetId="0"/>
      <sheetData sheetId="1"/>
      <sheetData sheetId="2"/>
      <sheetData sheetId="3">
        <row r="176">
          <cell r="C176">
            <v>1143591192</v>
          </cell>
        </row>
      </sheetData>
      <sheetData sheetId="4"/>
      <sheetData sheetId="5">
        <row r="74">
          <cell r="O74">
            <v>20677715718</v>
          </cell>
        </row>
      </sheetData>
      <sheetData sheetId="6">
        <row r="3">
          <cell r="J3">
            <v>8158168</v>
          </cell>
          <cell r="K3">
            <v>9815841</v>
          </cell>
          <cell r="L3">
            <v>2051172</v>
          </cell>
          <cell r="M3">
            <v>585099</v>
          </cell>
          <cell r="N3">
            <v>1396503</v>
          </cell>
          <cell r="O3">
            <v>1294545</v>
          </cell>
          <cell r="P3">
            <v>43263342</v>
          </cell>
          <cell r="Q3">
            <v>108893076.81687927</v>
          </cell>
        </row>
        <row r="6">
          <cell r="J6">
            <v>221510255</v>
          </cell>
          <cell r="K6">
            <v>328054595</v>
          </cell>
          <cell r="L6">
            <v>412276935</v>
          </cell>
          <cell r="M6">
            <v>483723044</v>
          </cell>
          <cell r="N6">
            <v>576704400</v>
          </cell>
          <cell r="O6">
            <v>687948873</v>
          </cell>
          <cell r="P6">
            <v>803554679</v>
          </cell>
          <cell r="Q6">
            <v>454000000</v>
          </cell>
        </row>
        <row r="9">
          <cell r="J9">
            <v>82679775</v>
          </cell>
          <cell r="K9">
            <v>76252374</v>
          </cell>
          <cell r="L9">
            <v>91544104</v>
          </cell>
          <cell r="M9">
            <v>84106011</v>
          </cell>
          <cell r="N9">
            <v>90517844</v>
          </cell>
          <cell r="O9">
            <v>85488090</v>
          </cell>
          <cell r="P9">
            <v>74345069</v>
          </cell>
          <cell r="Q9">
            <v>80000000</v>
          </cell>
        </row>
        <row r="12"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5">
          <cell r="D15">
            <v>20069</v>
          </cell>
          <cell r="E15">
            <v>281819</v>
          </cell>
          <cell r="F15">
            <v>33345837</v>
          </cell>
          <cell r="G15">
            <v>142040241</v>
          </cell>
          <cell r="H15">
            <v>192361795</v>
          </cell>
          <cell r="I15">
            <v>250624473</v>
          </cell>
          <cell r="J15">
            <v>312348198</v>
          </cell>
          <cell r="K15">
            <v>414122810</v>
          </cell>
          <cell r="L15">
            <v>505872211</v>
          </cell>
          <cell r="M15">
            <v>568414154</v>
          </cell>
          <cell r="N15">
            <v>668618747</v>
          </cell>
          <cell r="O15">
            <v>774731508</v>
          </cell>
          <cell r="P15">
            <v>921163090</v>
          </cell>
          <cell r="Q15">
            <v>642893076.81687927</v>
          </cell>
        </row>
      </sheetData>
      <sheetData sheetId="7"/>
      <sheetData sheetId="8">
        <row r="15">
          <cell r="B15">
            <v>0</v>
          </cell>
        </row>
      </sheetData>
      <sheetData sheetId="9"/>
      <sheetData sheetId="10">
        <row r="4">
          <cell r="B4">
            <v>201955850</v>
          </cell>
          <cell r="J4">
            <v>1855120823</v>
          </cell>
          <cell r="K4">
            <v>1713762399</v>
          </cell>
          <cell r="L4">
            <v>1824873638</v>
          </cell>
          <cell r="M4">
            <v>1704627334</v>
          </cell>
          <cell r="N4">
            <v>1620209063</v>
          </cell>
          <cell r="O4">
            <v>1669248877</v>
          </cell>
          <cell r="P4">
            <v>1660766492</v>
          </cell>
          <cell r="Q4">
            <v>1580916041.0664113</v>
          </cell>
        </row>
        <row r="5"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J6">
            <v>175141321</v>
          </cell>
          <cell r="K6">
            <v>184741553</v>
          </cell>
          <cell r="L6">
            <v>209493674</v>
          </cell>
          <cell r="M6">
            <v>208450727</v>
          </cell>
          <cell r="N6">
            <v>240324591</v>
          </cell>
          <cell r="O6">
            <v>504934303</v>
          </cell>
          <cell r="P6">
            <v>398051318</v>
          </cell>
          <cell r="Q6">
            <v>340000000</v>
          </cell>
        </row>
        <row r="8">
          <cell r="J8">
            <v>281876562</v>
          </cell>
          <cell r="K8">
            <v>457843380</v>
          </cell>
          <cell r="L8">
            <v>482911676</v>
          </cell>
          <cell r="M8">
            <v>782990100</v>
          </cell>
          <cell r="N8">
            <v>1379369642</v>
          </cell>
          <cell r="O8">
            <v>2355081277</v>
          </cell>
          <cell r="P8">
            <v>3070181870</v>
          </cell>
          <cell r="Q8">
            <v>2489424885.5975428</v>
          </cell>
        </row>
        <row r="12">
          <cell r="J12">
            <v>203337808</v>
          </cell>
          <cell r="K12">
            <v>304019646</v>
          </cell>
          <cell r="L12">
            <v>359210967</v>
          </cell>
          <cell r="M12">
            <v>388929141</v>
          </cell>
          <cell r="N12">
            <v>371460083</v>
          </cell>
          <cell r="O12">
            <v>421261921</v>
          </cell>
          <cell r="P12">
            <v>313982105</v>
          </cell>
          <cell r="Q12">
            <v>210578706.25</v>
          </cell>
          <cell r="R12">
            <v>273752318.125</v>
          </cell>
          <cell r="S12">
            <v>252694447.49999997</v>
          </cell>
        </row>
        <row r="16">
          <cell r="J16">
            <v>0</v>
          </cell>
          <cell r="K16">
            <v>0</v>
          </cell>
          <cell r="L16">
            <v>0</v>
          </cell>
          <cell r="M16">
            <v>2859906</v>
          </cell>
          <cell r="N16">
            <v>0</v>
          </cell>
          <cell r="O16">
            <v>0</v>
          </cell>
          <cell r="P16">
            <v>112476722</v>
          </cell>
          <cell r="Q16">
            <v>12677402</v>
          </cell>
          <cell r="R16">
            <v>0</v>
          </cell>
          <cell r="S16">
            <v>0</v>
          </cell>
        </row>
        <row r="21">
          <cell r="J21">
            <v>1828178</v>
          </cell>
          <cell r="K21">
            <v>2428702</v>
          </cell>
          <cell r="L21">
            <v>4608399</v>
          </cell>
          <cell r="M21">
            <v>5076623</v>
          </cell>
          <cell r="N21">
            <v>7893137</v>
          </cell>
          <cell r="O21">
            <v>12190797</v>
          </cell>
          <cell r="P21">
            <v>38670770</v>
          </cell>
          <cell r="Q21">
            <v>139544849.77585417</v>
          </cell>
        </row>
        <row r="24"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7926740</v>
          </cell>
          <cell r="O24">
            <v>12283992</v>
          </cell>
          <cell r="P24">
            <v>73150417</v>
          </cell>
          <cell r="Q24">
            <v>60000000</v>
          </cell>
        </row>
        <row r="25">
          <cell r="J25">
            <v>0</v>
          </cell>
          <cell r="K25">
            <v>4815</v>
          </cell>
          <cell r="L25">
            <v>5865</v>
          </cell>
          <cell r="M25">
            <v>395432</v>
          </cell>
          <cell r="N25">
            <v>343875</v>
          </cell>
          <cell r="O25">
            <v>755926</v>
          </cell>
          <cell r="P25">
            <v>98746</v>
          </cell>
          <cell r="Q25">
            <v>0</v>
          </cell>
        </row>
        <row r="27">
          <cell r="D27">
            <v>1146899177</v>
          </cell>
          <cell r="E27">
            <v>1794304869</v>
          </cell>
          <cell r="F27">
            <v>1763434468</v>
          </cell>
          <cell r="G27">
            <v>1823117873</v>
          </cell>
          <cell r="H27">
            <v>2616026976</v>
          </cell>
          <cell r="I27">
            <v>2505344787</v>
          </cell>
          <cell r="J27">
            <v>2517304692</v>
          </cell>
          <cell r="K27">
            <v>2662800495</v>
          </cell>
          <cell r="L27">
            <v>2881104219</v>
          </cell>
          <cell r="M27">
            <v>3093329263</v>
          </cell>
          <cell r="N27">
            <v>3627527131</v>
          </cell>
          <cell r="O27">
            <v>4975757093</v>
          </cell>
          <cell r="P27">
            <v>5667378440</v>
          </cell>
          <cell r="Q27">
            <v>4833141884.6898079</v>
          </cell>
        </row>
      </sheetData>
      <sheetData sheetId="11"/>
      <sheetData sheetId="12">
        <row r="27">
          <cell r="B27">
            <v>323276448</v>
          </cell>
        </row>
      </sheetData>
      <sheetData sheetId="13"/>
      <sheetData sheetId="14">
        <row r="3">
          <cell r="J3">
            <v>102382010</v>
          </cell>
          <cell r="K3">
            <v>219495304</v>
          </cell>
          <cell r="L3">
            <v>208638249</v>
          </cell>
          <cell r="M3">
            <v>85586001</v>
          </cell>
          <cell r="N3">
            <v>109468380</v>
          </cell>
          <cell r="O3">
            <v>51164831</v>
          </cell>
          <cell r="P3">
            <v>28685489</v>
          </cell>
          <cell r="Q3">
            <v>33387387.181493059</v>
          </cell>
        </row>
        <row r="7">
          <cell r="J7">
            <v>23607885</v>
          </cell>
          <cell r="K7">
            <v>34293809</v>
          </cell>
          <cell r="L7">
            <v>50596671</v>
          </cell>
          <cell r="M7">
            <v>62444807</v>
          </cell>
          <cell r="N7">
            <v>75967064</v>
          </cell>
          <cell r="O7">
            <v>72161104</v>
          </cell>
          <cell r="P7">
            <v>67136623</v>
          </cell>
          <cell r="Q7">
            <v>61713905.573394053</v>
          </cell>
        </row>
        <row r="10"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J11">
            <v>1764134</v>
          </cell>
          <cell r="K11">
            <v>2047511</v>
          </cell>
          <cell r="L11">
            <v>1792583</v>
          </cell>
          <cell r="M11">
            <v>1350563</v>
          </cell>
          <cell r="N11">
            <v>1901608</v>
          </cell>
          <cell r="O11">
            <v>2490118</v>
          </cell>
          <cell r="P11">
            <v>2773152</v>
          </cell>
          <cell r="Q11">
            <v>2750000</v>
          </cell>
        </row>
        <row r="14"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7">
          <cell r="J17">
            <v>21401280</v>
          </cell>
          <cell r="K17">
            <v>24537999</v>
          </cell>
          <cell r="L17">
            <v>22154856</v>
          </cell>
          <cell r="M17">
            <v>22407484</v>
          </cell>
          <cell r="N17">
            <v>63522153</v>
          </cell>
          <cell r="O17">
            <v>52308409</v>
          </cell>
          <cell r="P17">
            <v>64025718</v>
          </cell>
          <cell r="Q17">
            <v>95242314.380266696</v>
          </cell>
        </row>
        <row r="22">
          <cell r="J22">
            <v>1160742</v>
          </cell>
          <cell r="K22">
            <v>83027</v>
          </cell>
          <cell r="L22">
            <v>85371</v>
          </cell>
          <cell r="M22">
            <v>1659418</v>
          </cell>
          <cell r="N22">
            <v>1053739</v>
          </cell>
          <cell r="O22">
            <v>1553570</v>
          </cell>
          <cell r="P22">
            <v>1120471</v>
          </cell>
          <cell r="Q22">
            <v>-5287492.1351538002</v>
          </cell>
        </row>
        <row r="25">
          <cell r="J25">
            <v>660061</v>
          </cell>
          <cell r="K25">
            <v>4209380</v>
          </cell>
          <cell r="L25">
            <v>4306761</v>
          </cell>
          <cell r="M25">
            <v>4590315</v>
          </cell>
          <cell r="N25">
            <v>4485248</v>
          </cell>
          <cell r="O25">
            <v>4719437</v>
          </cell>
          <cell r="P25">
            <v>929802</v>
          </cell>
          <cell r="Q25">
            <v>59839</v>
          </cell>
        </row>
        <row r="28">
          <cell r="D28">
            <v>618671889</v>
          </cell>
          <cell r="E28">
            <v>527775069</v>
          </cell>
          <cell r="F28">
            <v>131427352</v>
          </cell>
          <cell r="G28">
            <v>135291787</v>
          </cell>
          <cell r="H28">
            <v>85201935</v>
          </cell>
          <cell r="I28">
            <v>128800020</v>
          </cell>
          <cell r="J28">
            <v>150976112</v>
          </cell>
          <cell r="K28">
            <v>284667030</v>
          </cell>
          <cell r="L28">
            <v>287574491</v>
          </cell>
          <cell r="M28">
            <v>178038588</v>
          </cell>
          <cell r="N28">
            <v>256398192</v>
          </cell>
          <cell r="O28">
            <v>184397469</v>
          </cell>
          <cell r="P28">
            <v>164671255</v>
          </cell>
          <cell r="Q28">
            <v>187865954</v>
          </cell>
        </row>
      </sheetData>
      <sheetData sheetId="15"/>
      <sheetData sheetId="16">
        <row r="28">
          <cell r="B28">
            <v>28611632</v>
          </cell>
          <cell r="AF28">
            <v>1.4259683792080682</v>
          </cell>
          <cell r="AG28">
            <v>1.4766142943405636</v>
          </cell>
          <cell r="AH28">
            <v>1.4576243638244581</v>
          </cell>
        </row>
      </sheetData>
      <sheetData sheetId="17"/>
      <sheetData sheetId="18">
        <row r="4">
          <cell r="B4">
            <v>12519647</v>
          </cell>
          <cell r="J4">
            <v>331927</v>
          </cell>
          <cell r="K4">
            <v>11178</v>
          </cell>
          <cell r="L4">
            <v>0</v>
          </cell>
          <cell r="M4">
            <v>0</v>
          </cell>
          <cell r="N4">
            <v>0</v>
          </cell>
          <cell r="O4">
            <v>2898456</v>
          </cell>
          <cell r="P4">
            <v>8939840</v>
          </cell>
          <cell r="Q4">
            <v>5038395.7978156004</v>
          </cell>
        </row>
        <row r="5"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6412348</v>
          </cell>
          <cell r="P5">
            <v>6232414</v>
          </cell>
          <cell r="Q5">
            <v>0</v>
          </cell>
        </row>
        <row r="7">
          <cell r="O7">
            <v>14666291777</v>
          </cell>
        </row>
        <row r="13"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554028</v>
          </cell>
          <cell r="P13">
            <v>147171</v>
          </cell>
          <cell r="Q13">
            <v>82943.961856176349</v>
          </cell>
        </row>
        <row r="14">
          <cell r="J14">
            <v>106508829</v>
          </cell>
          <cell r="K14">
            <v>116353451</v>
          </cell>
          <cell r="L14">
            <v>76268925</v>
          </cell>
          <cell r="M14">
            <v>79217986</v>
          </cell>
          <cell r="N14">
            <v>74962365</v>
          </cell>
          <cell r="O14">
            <v>59490005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23">
          <cell r="D23">
            <v>12987468760</v>
          </cell>
          <cell r="E23">
            <v>13251265535</v>
          </cell>
          <cell r="F23">
            <v>14226497803</v>
          </cell>
          <cell r="G23">
            <v>14668303446</v>
          </cell>
          <cell r="H23">
            <v>15003278197</v>
          </cell>
          <cell r="I23">
            <v>15008327443</v>
          </cell>
          <cell r="J23">
            <v>15074084106</v>
          </cell>
          <cell r="K23">
            <v>14846758241</v>
          </cell>
          <cell r="L23">
            <v>12933461982</v>
          </cell>
          <cell r="M23">
            <v>14202821885</v>
          </cell>
          <cell r="N23">
            <v>14498466195</v>
          </cell>
          <cell r="O23">
            <v>14773865497</v>
          </cell>
          <cell r="P23">
            <v>14885505634</v>
          </cell>
          <cell r="Q23">
            <v>14602831599.552595</v>
          </cell>
        </row>
        <row r="141">
          <cell r="O141">
            <v>12449754</v>
          </cell>
        </row>
      </sheetData>
      <sheetData sheetId="19"/>
      <sheetData sheetId="20">
        <row r="23">
          <cell r="B23">
            <v>6796087849</v>
          </cell>
          <cell r="AP23">
            <v>1.0030464314918521</v>
          </cell>
          <cell r="AQ23">
            <v>1.0014158203893386</v>
          </cell>
          <cell r="AR23">
            <v>1.0003379701115769</v>
          </cell>
        </row>
      </sheetData>
      <sheetData sheetId="21"/>
      <sheetData sheetId="22">
        <row r="13">
          <cell r="D13">
            <v>1024</v>
          </cell>
          <cell r="E13">
            <v>232808</v>
          </cell>
          <cell r="F13">
            <v>55657</v>
          </cell>
          <cell r="G13">
            <v>275315</v>
          </cell>
          <cell r="H13">
            <v>534429</v>
          </cell>
          <cell r="I13">
            <v>1743705</v>
          </cell>
          <cell r="J13">
            <v>2446620</v>
          </cell>
          <cell r="K13">
            <v>1315943</v>
          </cell>
          <cell r="L13">
            <v>55892</v>
          </cell>
          <cell r="M13">
            <v>247518</v>
          </cell>
          <cell r="N13">
            <v>236352</v>
          </cell>
          <cell r="O13">
            <v>208643</v>
          </cell>
          <cell r="P13">
            <v>227964</v>
          </cell>
          <cell r="Q13">
            <v>217771.19999998808</v>
          </cell>
        </row>
      </sheetData>
      <sheetData sheetId="23"/>
      <sheetData sheetId="24">
        <row r="13">
          <cell r="B13">
            <v>0</v>
          </cell>
        </row>
      </sheetData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 Refinery Exemptions"/>
      <sheetName val="Final % Std"/>
      <sheetName val="RFS % Std Formula"/>
      <sheetName val="Mandate Levels and Rules"/>
      <sheetName val="RVO Table"/>
      <sheetName val="RVO Forecast"/>
      <sheetName val="RIN Balance Sheet"/>
      <sheetName val="RIN Carryover"/>
      <sheetName val="D3 RIN Balance Sheet"/>
      <sheetName val="D4 RIN Balance Sheet"/>
      <sheetName val="D5 RIN Balance Sheet"/>
      <sheetName val="D6 RIN Balance Sheet"/>
      <sheetName val="D7 RIN Balance Sheet"/>
      <sheetName val="RIN Retirements"/>
      <sheetName val="RIN Assignments-Separations"/>
      <sheetName val="Fuel Balance Sheet"/>
    </sheetNames>
    <sheetDataSet>
      <sheetData sheetId="0"/>
      <sheetData sheetId="1"/>
      <sheetData sheetId="2"/>
      <sheetData sheetId="3"/>
      <sheetData sheetId="4"/>
      <sheetData sheetId="5">
        <row r="10">
          <cell r="K10">
            <v>2430000000</v>
          </cell>
          <cell r="L10">
            <v>2430000000</v>
          </cell>
          <cell r="M10">
            <v>2760000000</v>
          </cell>
          <cell r="N10">
            <v>2820000000</v>
          </cell>
          <cell r="O10">
            <v>3040000000</v>
          </cell>
          <cell r="P10">
            <v>3500000000</v>
          </cell>
        </row>
        <row r="40">
          <cell r="I40">
            <v>1806639604.8989706</v>
          </cell>
          <cell r="J40">
            <v>1796606385.5119176</v>
          </cell>
          <cell r="K40">
            <v>2566876968.4628825</v>
          </cell>
          <cell r="L40">
            <v>3050228744.085372</v>
          </cell>
          <cell r="M40">
            <v>3306787386.8070478</v>
          </cell>
          <cell r="N40">
            <v>3566086746.6309071</v>
          </cell>
          <cell r="O40">
            <v>3904006220.1100922</v>
          </cell>
          <cell r="P40">
            <v>4294651759.3702483</v>
          </cell>
          <cell r="Q40">
            <v>6892014315.2316589</v>
          </cell>
          <cell r="R40">
            <v>7059184670.1891232</v>
          </cell>
          <cell r="S40">
            <v>7568032445.5881491</v>
          </cell>
          <cell r="T40">
            <v>7850972638.3421192</v>
          </cell>
          <cell r="U40">
            <v>8093830704.5861301</v>
          </cell>
          <cell r="V40">
            <v>8373622268.0734377</v>
          </cell>
          <cell r="W40">
            <v>9040131864.3901024</v>
          </cell>
          <cell r="X40">
            <v>9583498274.4238815</v>
          </cell>
          <cell r="Y40">
            <v>10167558979.757011</v>
          </cell>
          <cell r="Z40">
            <v>11011685733.881256</v>
          </cell>
          <cell r="AA40">
            <v>11361954276.701214</v>
          </cell>
          <cell r="AB40">
            <v>11751801157.107193</v>
          </cell>
          <cell r="AC40">
            <v>12129539858.927601</v>
          </cell>
          <cell r="AD40">
            <v>11899718529.984678</v>
          </cell>
          <cell r="AE40">
            <v>12450313934.257202</v>
          </cell>
          <cell r="AF40">
            <v>13168939355.492687</v>
          </cell>
          <cell r="AG40">
            <v>13415277332.306061</v>
          </cell>
          <cell r="AH40">
            <v>13517209121.158144</v>
          </cell>
          <cell r="AI40">
            <v>13586354502.999199</v>
          </cell>
          <cell r="AJ40">
            <v>13639722466.299505</v>
          </cell>
          <cell r="AK40">
            <v>13728345279.855606</v>
          </cell>
          <cell r="AL40">
            <v>13839729563.473976</v>
          </cell>
          <cell r="AM40">
            <v>13915892199.79987</v>
          </cell>
          <cell r="AN40">
            <v>13914935361.438046</v>
          </cell>
          <cell r="AO40">
            <v>13940011762.146578</v>
          </cell>
          <cell r="AP40">
            <v>15833834212.528208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stic BBD Production Chart"/>
      <sheetName val="Chart1"/>
      <sheetName val="Chart2"/>
      <sheetName val="Chart3"/>
      <sheetName val="Chart4"/>
      <sheetName val="Chart5"/>
      <sheetName val="Graph Dashboard"/>
      <sheetName val="Dom Production"/>
      <sheetName val="Feedstock Yields"/>
      <sheetName val="Feedstock Use"/>
      <sheetName val="Feedstock Use - chart data"/>
      <sheetName val="BBD Prod and Profit - data"/>
      <sheetName val="Biodiesel"/>
      <sheetName val="Renewable Diesel"/>
      <sheetName val="SAF"/>
      <sheetName val="Renewable Fuel - E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>
        <row r="165">
          <cell r="O165">
            <v>985688252</v>
          </cell>
        </row>
        <row r="187">
          <cell r="O187">
            <v>5085600323</v>
          </cell>
        </row>
      </sheetData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Controls 2"/>
      <sheetName val="Calculator"/>
      <sheetName val="Gross Margins Calculations"/>
      <sheetName val="LCFS Categorized"/>
      <sheetName val="LCFS Table"/>
      <sheetName val="Profit-Production Chart Data"/>
      <sheetName val="BTC Weekly Calc"/>
      <sheetName val="US BBD Profitability"/>
    </sheetNames>
    <sheetDataSet>
      <sheetData sheetId="0"/>
      <sheetData sheetId="1"/>
      <sheetData sheetId="2"/>
      <sheetData sheetId="3"/>
      <sheetData sheetId="4"/>
      <sheetData sheetId="5">
        <row r="224">
          <cell r="AR224">
            <v>1.5485</v>
          </cell>
        </row>
        <row r="246">
          <cell r="AR246">
            <v>1.413</v>
          </cell>
        </row>
      </sheetData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4455-2F25-4E43-93C1-A66912E8734D}">
  <dimension ref="A1:X26"/>
  <sheetViews>
    <sheetView workbookViewId="0">
      <selection activeCell="D78" sqref="D78"/>
    </sheetView>
  </sheetViews>
  <sheetFormatPr defaultColWidth="9.140625" defaultRowHeight="13.5"/>
  <cols>
    <col min="1" max="1" width="29.28515625" style="1" bestFit="1" customWidth="1"/>
    <col min="2" max="16384" width="9.140625" style="1"/>
  </cols>
  <sheetData>
    <row r="1" spans="1:24" ht="14.25" thickBot="1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</row>
    <row r="2" spans="1:24" ht="14.25" thickBot="1">
      <c r="A2" s="1" t="s">
        <v>0</v>
      </c>
      <c r="B2" s="2">
        <v>2.4300000000000002</v>
      </c>
      <c r="C2" s="2">
        <v>2.4300000000000002</v>
      </c>
      <c r="D2" s="2">
        <v>2.76</v>
      </c>
      <c r="E2" s="2">
        <v>2.82</v>
      </c>
      <c r="F2" s="3">
        <v>3.04</v>
      </c>
      <c r="G2" s="3">
        <v>3.35</v>
      </c>
      <c r="H2" s="4">
        <v>3.75</v>
      </c>
      <c r="I2" s="4">
        <v>4.0999999999999996</v>
      </c>
      <c r="J2" s="4">
        <v>4.3</v>
      </c>
      <c r="K2" s="4">
        <v>4.5</v>
      </c>
      <c r="L2" s="4">
        <v>4.75</v>
      </c>
      <c r="M2" s="4">
        <v>4.95</v>
      </c>
      <c r="N2" s="4">
        <v>5.15</v>
      </c>
      <c r="O2" s="4">
        <v>5.45</v>
      </c>
      <c r="P2" s="4">
        <v>5.75</v>
      </c>
      <c r="Q2" s="4">
        <v>6.1</v>
      </c>
      <c r="R2" s="4">
        <v>6.5</v>
      </c>
      <c r="S2" s="4">
        <v>6.75</v>
      </c>
      <c r="T2" s="4">
        <v>7.05</v>
      </c>
      <c r="U2" s="4">
        <v>7.45</v>
      </c>
      <c r="V2" s="4">
        <v>8.1</v>
      </c>
      <c r="W2" s="4">
        <v>8.75</v>
      </c>
    </row>
    <row r="3" spans="1:24" ht="14.25" thickBot="1">
      <c r="A3" s="1" t="s">
        <v>1</v>
      </c>
      <c r="B3" s="2">
        <v>1.1870000000000001</v>
      </c>
      <c r="C3" s="2">
        <f t="shared" ref="C3:W3" si="0">C4*1.55</f>
        <v>3.1930000000000001</v>
      </c>
      <c r="D3" s="2">
        <f t="shared" si="0"/>
        <v>3.4720000000000004</v>
      </c>
      <c r="E3" s="2">
        <f t="shared" si="0"/>
        <v>3.5340000000000011</v>
      </c>
      <c r="F3" s="5">
        <f t="shared" si="0"/>
        <v>3.7355000000000005</v>
      </c>
      <c r="G3" s="5">
        <f t="shared" si="0"/>
        <v>4.03</v>
      </c>
      <c r="H3" s="6">
        <f t="shared" si="0"/>
        <v>4.2625000000000002</v>
      </c>
      <c r="I3" s="6">
        <f t="shared" si="0"/>
        <v>4.495000000000001</v>
      </c>
      <c r="J3" s="6">
        <f t="shared" si="0"/>
        <v>4.5725000000000007</v>
      </c>
      <c r="K3" s="6">
        <f t="shared" si="0"/>
        <v>4.8049999999999997</v>
      </c>
      <c r="L3" s="6">
        <f t="shared" si="0"/>
        <v>4.8825000000000003</v>
      </c>
      <c r="M3" s="6">
        <f t="shared" si="0"/>
        <v>4.9600000000000009</v>
      </c>
      <c r="N3" s="6">
        <f t="shared" si="0"/>
        <v>5.0375000000000005</v>
      </c>
      <c r="O3" s="6">
        <f t="shared" si="0"/>
        <v>5.1150000000000002</v>
      </c>
      <c r="P3" s="6">
        <f t="shared" si="0"/>
        <v>5.1924999999999999</v>
      </c>
      <c r="Q3" s="6">
        <f t="shared" si="0"/>
        <v>5.2700000000000005</v>
      </c>
      <c r="R3" s="6">
        <f t="shared" si="0"/>
        <v>5.4249999999999998</v>
      </c>
      <c r="S3" s="6">
        <f t="shared" si="0"/>
        <v>5.5799999999999992</v>
      </c>
      <c r="T3" s="6">
        <f t="shared" si="0"/>
        <v>5.7350000000000003</v>
      </c>
      <c r="U3" s="6">
        <f t="shared" si="0"/>
        <v>5.89</v>
      </c>
      <c r="V3" s="6">
        <f t="shared" si="0"/>
        <v>6.0450000000000008</v>
      </c>
      <c r="W3" s="6">
        <f t="shared" si="0"/>
        <v>6.2</v>
      </c>
    </row>
    <row r="4" spans="1:24" ht="14.25" thickBot="1">
      <c r="A4" s="1" t="s">
        <v>2</v>
      </c>
      <c r="B4" s="2">
        <f t="shared" ref="B4:W4" si="1">B8-B6-B2</f>
        <v>1.69</v>
      </c>
      <c r="C4" s="2">
        <f t="shared" si="1"/>
        <v>2.06</v>
      </c>
      <c r="D4" s="2">
        <f t="shared" si="1"/>
        <v>2.2400000000000002</v>
      </c>
      <c r="E4" s="2">
        <f t="shared" si="1"/>
        <v>2.2800000000000007</v>
      </c>
      <c r="F4" s="7">
        <f t="shared" si="1"/>
        <v>2.41</v>
      </c>
      <c r="G4" s="7">
        <f t="shared" si="1"/>
        <v>2.6</v>
      </c>
      <c r="H4" s="6">
        <f t="shared" si="1"/>
        <v>2.75</v>
      </c>
      <c r="I4" s="6">
        <f t="shared" si="1"/>
        <v>2.9000000000000004</v>
      </c>
      <c r="J4" s="6">
        <f t="shared" si="1"/>
        <v>2.95</v>
      </c>
      <c r="K4" s="6">
        <f t="shared" si="1"/>
        <v>3.0999999999999996</v>
      </c>
      <c r="L4" s="6">
        <f t="shared" si="1"/>
        <v>3.1500000000000004</v>
      </c>
      <c r="M4" s="6">
        <f t="shared" si="1"/>
        <v>3.2</v>
      </c>
      <c r="N4" s="6">
        <f t="shared" si="1"/>
        <v>3.25</v>
      </c>
      <c r="O4" s="6">
        <f t="shared" si="1"/>
        <v>3.3</v>
      </c>
      <c r="P4" s="6">
        <f t="shared" si="1"/>
        <v>3.3499999999999996</v>
      </c>
      <c r="Q4" s="6">
        <f t="shared" si="1"/>
        <v>3.4000000000000004</v>
      </c>
      <c r="R4" s="6">
        <f>R8-R6-R2</f>
        <v>3.5</v>
      </c>
      <c r="S4" s="6">
        <f t="shared" si="1"/>
        <v>3.5999999999999996</v>
      </c>
      <c r="T4" s="6">
        <f t="shared" si="1"/>
        <v>3.7</v>
      </c>
      <c r="U4" s="6">
        <f t="shared" si="1"/>
        <v>3.8</v>
      </c>
      <c r="V4" s="6">
        <f t="shared" si="1"/>
        <v>3.9000000000000004</v>
      </c>
      <c r="W4" s="6">
        <f t="shared" si="1"/>
        <v>4</v>
      </c>
    </row>
    <row r="5" spans="1:24" ht="14.25" thickBot="1">
      <c r="A5" s="1" t="s">
        <v>3</v>
      </c>
      <c r="B5" s="2">
        <f>B7-B2-B6-B4</f>
        <v>12.5</v>
      </c>
      <c r="C5" s="2">
        <f>C7-C2-C6-C4</f>
        <v>13.79</v>
      </c>
      <c r="D5" s="2">
        <f>D7-D2-D6-D4</f>
        <v>14.999999999999998</v>
      </c>
      <c r="E5" s="2">
        <f>E7-E2-E4-E6+0.25</f>
        <v>15.25</v>
      </c>
      <c r="F5" s="8">
        <f t="shared" ref="F5:W5" si="2">F7-F2-F4-F6</f>
        <v>15</v>
      </c>
      <c r="G5" s="8">
        <f t="shared" si="2"/>
        <v>14.999999999999996</v>
      </c>
      <c r="H5" s="9">
        <f t="shared" si="2"/>
        <v>14.850000000000001</v>
      </c>
      <c r="I5" s="9">
        <f t="shared" si="2"/>
        <v>14.700000000000003</v>
      </c>
      <c r="J5" s="9">
        <f t="shared" si="2"/>
        <v>14.7</v>
      </c>
      <c r="K5" s="9">
        <f t="shared" si="2"/>
        <v>14.649999999999999</v>
      </c>
      <c r="L5" s="9">
        <f t="shared" si="2"/>
        <v>14.600000000000001</v>
      </c>
      <c r="M5" s="9">
        <f t="shared" si="2"/>
        <v>14.600000000000001</v>
      </c>
      <c r="N5" s="9">
        <f t="shared" si="2"/>
        <v>14.600000000000001</v>
      </c>
      <c r="O5" s="9">
        <f t="shared" si="2"/>
        <v>14.5</v>
      </c>
      <c r="P5" s="9">
        <f t="shared" si="2"/>
        <v>14.5</v>
      </c>
      <c r="Q5" s="9">
        <f t="shared" si="2"/>
        <v>14.5</v>
      </c>
      <c r="R5" s="9">
        <f t="shared" si="2"/>
        <v>14.5</v>
      </c>
      <c r="S5" s="9">
        <f t="shared" si="2"/>
        <v>14.5</v>
      </c>
      <c r="T5" s="9">
        <f t="shared" si="2"/>
        <v>14.5</v>
      </c>
      <c r="U5" s="9">
        <f t="shared" si="2"/>
        <v>14.5</v>
      </c>
      <c r="V5" s="9">
        <f t="shared" si="2"/>
        <v>14.5</v>
      </c>
      <c r="W5" s="9">
        <f t="shared" si="2"/>
        <v>14.5</v>
      </c>
    </row>
    <row r="6" spans="1:24" ht="14.25" thickBot="1">
      <c r="A6" s="1" t="s">
        <v>4</v>
      </c>
      <c r="B6" s="10">
        <v>0.51</v>
      </c>
      <c r="C6" s="10">
        <v>0.56000000000000005</v>
      </c>
      <c r="D6" s="10">
        <v>0.63</v>
      </c>
      <c r="E6" s="10">
        <v>0.84</v>
      </c>
      <c r="F6" s="8">
        <v>1.0900000000000001</v>
      </c>
      <c r="G6" s="8">
        <v>1.38</v>
      </c>
      <c r="H6" s="9">
        <v>1.75</v>
      </c>
      <c r="I6" s="9">
        <v>2.25</v>
      </c>
      <c r="J6" s="9">
        <v>3</v>
      </c>
      <c r="K6" s="9">
        <v>3.25</v>
      </c>
      <c r="L6" s="9">
        <v>3.5</v>
      </c>
      <c r="M6" s="9">
        <v>3.75</v>
      </c>
      <c r="N6" s="9">
        <v>4</v>
      </c>
      <c r="O6" s="9">
        <v>4.25</v>
      </c>
      <c r="P6" s="9">
        <v>4.5</v>
      </c>
      <c r="Q6" s="9">
        <v>4.75</v>
      </c>
      <c r="R6" s="9">
        <v>5</v>
      </c>
      <c r="S6" s="9">
        <v>5.25</v>
      </c>
      <c r="T6" s="9">
        <v>5.5</v>
      </c>
      <c r="U6" s="9">
        <v>5.75</v>
      </c>
      <c r="V6" s="9">
        <v>6</v>
      </c>
      <c r="W6" s="9">
        <v>6.25</v>
      </c>
    </row>
    <row r="7" spans="1:24" ht="14.25" thickBot="1">
      <c r="B7" s="11">
        <v>17.13</v>
      </c>
      <c r="C7" s="11">
        <v>18.84</v>
      </c>
      <c r="D7" s="11">
        <v>20.63</v>
      </c>
      <c r="E7" s="11">
        <v>20.94</v>
      </c>
      <c r="F7" s="12">
        <v>21.54</v>
      </c>
      <c r="G7" s="12">
        <v>22.33</v>
      </c>
      <c r="H7" s="13">
        <v>23.1</v>
      </c>
      <c r="I7" s="13">
        <v>23.95</v>
      </c>
      <c r="J7" s="13">
        <v>24.95</v>
      </c>
      <c r="K7" s="13">
        <v>25.5</v>
      </c>
      <c r="L7" s="13">
        <v>26</v>
      </c>
      <c r="M7" s="13">
        <v>26.5</v>
      </c>
      <c r="N7" s="13">
        <v>27</v>
      </c>
      <c r="O7" s="13">
        <v>27.5</v>
      </c>
      <c r="P7" s="13">
        <v>28.1</v>
      </c>
      <c r="Q7" s="13">
        <v>28.75</v>
      </c>
      <c r="R7" s="13">
        <v>29.5</v>
      </c>
      <c r="S7" s="13">
        <v>30.1</v>
      </c>
      <c r="T7" s="13">
        <v>30.75</v>
      </c>
      <c r="U7" s="13">
        <v>31.5</v>
      </c>
      <c r="V7" s="13">
        <v>32.5</v>
      </c>
      <c r="W7" s="13">
        <v>33.5</v>
      </c>
    </row>
    <row r="8" spans="1:24">
      <c r="A8" s="1" t="s">
        <v>5</v>
      </c>
      <c r="B8" s="14">
        <v>4.63</v>
      </c>
      <c r="C8" s="14">
        <v>5.05</v>
      </c>
      <c r="D8" s="14">
        <v>5.63</v>
      </c>
      <c r="E8" s="14">
        <v>5.94</v>
      </c>
      <c r="F8" s="14">
        <v>6.54</v>
      </c>
      <c r="G8" s="14">
        <v>7.33</v>
      </c>
      <c r="H8" s="15">
        <v>8.25</v>
      </c>
      <c r="I8" s="15">
        <v>9.25</v>
      </c>
      <c r="J8" s="15">
        <v>10.25</v>
      </c>
      <c r="K8" s="15">
        <v>10.85</v>
      </c>
      <c r="L8" s="15">
        <v>11.4</v>
      </c>
      <c r="M8" s="15">
        <v>11.9</v>
      </c>
      <c r="N8" s="15">
        <v>12.4</v>
      </c>
      <c r="O8" s="15">
        <v>13</v>
      </c>
      <c r="P8" s="15">
        <v>13.6</v>
      </c>
      <c r="Q8" s="15">
        <v>14.25</v>
      </c>
      <c r="R8" s="15">
        <v>15</v>
      </c>
      <c r="S8" s="15">
        <v>15.6</v>
      </c>
      <c r="T8" s="15">
        <v>16.25</v>
      </c>
      <c r="U8" s="15">
        <v>17</v>
      </c>
      <c r="V8" s="15">
        <v>18</v>
      </c>
      <c r="W8" s="15">
        <v>19</v>
      </c>
    </row>
    <row r="11" spans="1:24">
      <c r="A11" s="1" t="s">
        <v>6</v>
      </c>
      <c r="C11" s="16">
        <f t="shared" ref="C11:W11" si="3">C7-B7</f>
        <v>1.7100000000000009</v>
      </c>
      <c r="D11" s="16">
        <f t="shared" si="3"/>
        <v>1.7899999999999991</v>
      </c>
      <c r="E11" s="16">
        <f t="shared" si="3"/>
        <v>0.31000000000000227</v>
      </c>
      <c r="F11" s="17">
        <f t="shared" si="3"/>
        <v>0.59999999999999787</v>
      </c>
      <c r="G11" s="17">
        <f t="shared" si="3"/>
        <v>0.78999999999999915</v>
      </c>
      <c r="H11" s="18">
        <f t="shared" si="3"/>
        <v>0.77000000000000313</v>
      </c>
      <c r="I11" s="18">
        <f t="shared" si="3"/>
        <v>0.84999999999999787</v>
      </c>
      <c r="J11" s="18">
        <f t="shared" si="3"/>
        <v>1</v>
      </c>
      <c r="K11" s="18">
        <f t="shared" si="3"/>
        <v>0.55000000000000071</v>
      </c>
      <c r="L11" s="18">
        <f t="shared" si="3"/>
        <v>0.5</v>
      </c>
      <c r="M11" s="18">
        <f t="shared" si="3"/>
        <v>0.5</v>
      </c>
      <c r="N11" s="18">
        <f t="shared" si="3"/>
        <v>0.5</v>
      </c>
      <c r="O11" s="18">
        <f t="shared" si="3"/>
        <v>0.5</v>
      </c>
      <c r="P11" s="18">
        <f t="shared" si="3"/>
        <v>0.60000000000000142</v>
      </c>
      <c r="Q11" s="18">
        <f t="shared" si="3"/>
        <v>0.64999999999999858</v>
      </c>
      <c r="R11" s="18">
        <f t="shared" si="3"/>
        <v>0.75</v>
      </c>
      <c r="S11" s="18">
        <f t="shared" si="3"/>
        <v>0.60000000000000142</v>
      </c>
      <c r="T11" s="18">
        <f t="shared" si="3"/>
        <v>0.64999999999999858</v>
      </c>
      <c r="U11" s="18">
        <f t="shared" si="3"/>
        <v>0.75</v>
      </c>
      <c r="V11" s="18">
        <f t="shared" si="3"/>
        <v>1</v>
      </c>
      <c r="W11" s="18">
        <f t="shared" si="3"/>
        <v>1</v>
      </c>
    </row>
    <row r="12" spans="1:24">
      <c r="A12" s="1" t="s">
        <v>7</v>
      </c>
      <c r="C12" s="19">
        <f t="shared" ref="C12:W12" si="4">C11/B7</f>
        <v>9.9824868651488666E-2</v>
      </c>
      <c r="D12" s="19">
        <f t="shared" si="4"/>
        <v>9.5010615711252605E-2</v>
      </c>
      <c r="E12" s="19">
        <f t="shared" si="4"/>
        <v>1.502666020358712E-2</v>
      </c>
      <c r="F12" s="20">
        <f t="shared" si="4"/>
        <v>2.8653295128939726E-2</v>
      </c>
      <c r="G12" s="20">
        <f t="shared" si="4"/>
        <v>3.6675951717734412E-2</v>
      </c>
      <c r="H12" s="21">
        <f t="shared" si="4"/>
        <v>3.44827586206898E-2</v>
      </c>
      <c r="I12" s="21">
        <f t="shared" si="4"/>
        <v>3.6796536796536702E-2</v>
      </c>
      <c r="J12" s="21">
        <f t="shared" si="4"/>
        <v>4.1753653444676408E-2</v>
      </c>
      <c r="K12" s="21">
        <f t="shared" si="4"/>
        <v>2.2044088176352734E-2</v>
      </c>
      <c r="L12" s="21">
        <f t="shared" si="4"/>
        <v>1.9607843137254902E-2</v>
      </c>
      <c r="M12" s="21">
        <f t="shared" si="4"/>
        <v>1.9230769230769232E-2</v>
      </c>
      <c r="N12" s="21">
        <f t="shared" si="4"/>
        <v>1.8867924528301886E-2</v>
      </c>
      <c r="O12" s="21">
        <f t="shared" si="4"/>
        <v>1.8518518518518517E-2</v>
      </c>
      <c r="P12" s="21">
        <f t="shared" si="4"/>
        <v>2.1818181818181868E-2</v>
      </c>
      <c r="Q12" s="21">
        <f t="shared" si="4"/>
        <v>2.3131672597864718E-2</v>
      </c>
      <c r="R12" s="21">
        <f t="shared" si="4"/>
        <v>2.6086956521739129E-2</v>
      </c>
      <c r="S12" s="21">
        <f t="shared" si="4"/>
        <v>2.0338983050847505E-2</v>
      </c>
      <c r="T12" s="21">
        <f t="shared" si="4"/>
        <v>2.159468438538201E-2</v>
      </c>
      <c r="U12" s="21">
        <f t="shared" si="4"/>
        <v>2.4390243902439025E-2</v>
      </c>
      <c r="V12" s="21">
        <f t="shared" si="4"/>
        <v>3.1746031746031744E-2</v>
      </c>
      <c r="W12" s="21">
        <f t="shared" si="4"/>
        <v>3.0769230769230771E-2</v>
      </c>
    </row>
    <row r="13" spans="1:24">
      <c r="C13" s="19"/>
      <c r="D13" s="19"/>
      <c r="E13" s="19"/>
      <c r="F13" s="20"/>
      <c r="G13" s="20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4">
      <c r="A14" s="1" t="s">
        <v>8</v>
      </c>
      <c r="C14" s="16">
        <f t="shared" ref="C14:W14" si="5">C8-B8</f>
        <v>0.41999999999999993</v>
      </c>
      <c r="D14" s="16">
        <f t="shared" si="5"/>
        <v>0.58000000000000007</v>
      </c>
      <c r="E14" s="16">
        <f t="shared" si="5"/>
        <v>0.3100000000000005</v>
      </c>
      <c r="F14" s="17">
        <f t="shared" si="5"/>
        <v>0.59999999999999964</v>
      </c>
      <c r="G14" s="17">
        <f t="shared" si="5"/>
        <v>0.79</v>
      </c>
      <c r="H14" s="18">
        <f t="shared" si="5"/>
        <v>0.91999999999999993</v>
      </c>
      <c r="I14" s="18">
        <f t="shared" si="5"/>
        <v>1</v>
      </c>
      <c r="J14" s="18">
        <f t="shared" si="5"/>
        <v>1</v>
      </c>
      <c r="K14" s="18">
        <f t="shared" si="5"/>
        <v>0.59999999999999964</v>
      </c>
      <c r="L14" s="18">
        <f t="shared" si="5"/>
        <v>0.55000000000000071</v>
      </c>
      <c r="M14" s="18">
        <f t="shared" si="5"/>
        <v>0.5</v>
      </c>
      <c r="N14" s="18">
        <f t="shared" si="5"/>
        <v>0.5</v>
      </c>
      <c r="O14" s="18">
        <f t="shared" si="5"/>
        <v>0.59999999999999964</v>
      </c>
      <c r="P14" s="18">
        <f t="shared" si="5"/>
        <v>0.59999999999999964</v>
      </c>
      <c r="Q14" s="18">
        <f t="shared" si="5"/>
        <v>0.65000000000000036</v>
      </c>
      <c r="R14" s="18">
        <f t="shared" si="5"/>
        <v>0.75</v>
      </c>
      <c r="S14" s="18">
        <f t="shared" si="5"/>
        <v>0.59999999999999964</v>
      </c>
      <c r="T14" s="18">
        <f t="shared" si="5"/>
        <v>0.65000000000000036</v>
      </c>
      <c r="U14" s="18">
        <f t="shared" si="5"/>
        <v>0.75</v>
      </c>
      <c r="V14" s="18">
        <f t="shared" si="5"/>
        <v>1</v>
      </c>
      <c r="W14" s="18">
        <f t="shared" si="5"/>
        <v>1</v>
      </c>
    </row>
    <row r="15" spans="1:24">
      <c r="A15" s="1" t="s">
        <v>7</v>
      </c>
      <c r="C15" s="19">
        <f t="shared" ref="C15:W15" si="6">C14/B8</f>
        <v>9.0712742980561548E-2</v>
      </c>
      <c r="D15" s="19">
        <f t="shared" si="6"/>
        <v>0.11485148514851487</v>
      </c>
      <c r="E15" s="19">
        <f t="shared" si="6"/>
        <v>5.5062166962699909E-2</v>
      </c>
      <c r="F15" s="20">
        <f t="shared" si="6"/>
        <v>0.10101010101010094</v>
      </c>
      <c r="G15" s="20">
        <f t="shared" si="6"/>
        <v>0.12079510703363915</v>
      </c>
      <c r="H15" s="21">
        <f t="shared" si="6"/>
        <v>0.12551159618008184</v>
      </c>
      <c r="I15" s="21">
        <f t="shared" si="6"/>
        <v>0.12121212121212122</v>
      </c>
      <c r="J15" s="21">
        <f t="shared" si="6"/>
        <v>0.10810810810810811</v>
      </c>
      <c r="K15" s="21">
        <f t="shared" si="6"/>
        <v>5.8536585365853627E-2</v>
      </c>
      <c r="L15" s="21">
        <f t="shared" si="6"/>
        <v>5.0691244239631401E-2</v>
      </c>
      <c r="M15" s="21">
        <f t="shared" si="6"/>
        <v>4.3859649122807015E-2</v>
      </c>
      <c r="N15" s="21">
        <f t="shared" si="6"/>
        <v>4.2016806722689072E-2</v>
      </c>
      <c r="O15" s="21">
        <f t="shared" si="6"/>
        <v>4.8387096774193519E-2</v>
      </c>
      <c r="P15" s="21">
        <f t="shared" si="6"/>
        <v>4.6153846153846129E-2</v>
      </c>
      <c r="Q15" s="21">
        <f t="shared" si="6"/>
        <v>4.7794117647058848E-2</v>
      </c>
      <c r="R15" s="21">
        <f t="shared" si="6"/>
        <v>5.2631578947368418E-2</v>
      </c>
      <c r="S15" s="21">
        <f t="shared" si="6"/>
        <v>3.9999999999999973E-2</v>
      </c>
      <c r="T15" s="21">
        <f t="shared" si="6"/>
        <v>4.1666666666666692E-2</v>
      </c>
      <c r="U15" s="21">
        <f t="shared" si="6"/>
        <v>4.6153846153846156E-2</v>
      </c>
      <c r="V15" s="21">
        <f t="shared" si="6"/>
        <v>5.8823529411764705E-2</v>
      </c>
      <c r="W15" s="21">
        <f t="shared" si="6"/>
        <v>5.5555555555555552E-2</v>
      </c>
    </row>
    <row r="16" spans="1:24">
      <c r="C16" s="19"/>
      <c r="D16" s="19"/>
      <c r="E16" s="19"/>
      <c r="F16" s="20"/>
      <c r="G16" s="20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>
      <c r="A17" s="1" t="s">
        <v>9</v>
      </c>
      <c r="C17" s="16">
        <f t="shared" ref="C17:W17" si="7">C2-B2</f>
        <v>0</v>
      </c>
      <c r="D17" s="16">
        <f t="shared" si="7"/>
        <v>0.32999999999999963</v>
      </c>
      <c r="E17" s="16">
        <f t="shared" si="7"/>
        <v>6.0000000000000053E-2</v>
      </c>
      <c r="F17" s="17">
        <f t="shared" si="7"/>
        <v>0.2200000000000002</v>
      </c>
      <c r="G17" s="17">
        <f t="shared" si="7"/>
        <v>0.31000000000000005</v>
      </c>
      <c r="H17" s="18">
        <f t="shared" si="7"/>
        <v>0.39999999999999991</v>
      </c>
      <c r="I17" s="18">
        <f t="shared" si="7"/>
        <v>0.34999999999999964</v>
      </c>
      <c r="J17" s="18">
        <f t="shared" si="7"/>
        <v>0.20000000000000018</v>
      </c>
      <c r="K17" s="18">
        <f t="shared" si="7"/>
        <v>0.20000000000000018</v>
      </c>
      <c r="L17" s="18">
        <f t="shared" si="7"/>
        <v>0.25</v>
      </c>
      <c r="M17" s="18">
        <f t="shared" si="7"/>
        <v>0.20000000000000018</v>
      </c>
      <c r="N17" s="18">
        <f t="shared" si="7"/>
        <v>0.20000000000000018</v>
      </c>
      <c r="O17" s="18">
        <f t="shared" si="7"/>
        <v>0.29999999999999982</v>
      </c>
      <c r="P17" s="18">
        <f t="shared" si="7"/>
        <v>0.29999999999999982</v>
      </c>
      <c r="Q17" s="18">
        <f t="shared" si="7"/>
        <v>0.34999999999999964</v>
      </c>
      <c r="R17" s="18">
        <f t="shared" si="7"/>
        <v>0.40000000000000036</v>
      </c>
      <c r="S17" s="18">
        <f t="shared" si="7"/>
        <v>0.25</v>
      </c>
      <c r="T17" s="18">
        <f t="shared" si="7"/>
        <v>0.29999999999999982</v>
      </c>
      <c r="U17" s="18">
        <f t="shared" si="7"/>
        <v>0.40000000000000036</v>
      </c>
      <c r="V17" s="18">
        <f t="shared" si="7"/>
        <v>0.64999999999999947</v>
      </c>
      <c r="W17" s="18">
        <f t="shared" si="7"/>
        <v>0.65000000000000036</v>
      </c>
    </row>
    <row r="18" spans="1:23">
      <c r="A18" s="1" t="s">
        <v>7</v>
      </c>
      <c r="C18" s="19">
        <f t="shared" ref="C18:W18" si="8">C17/B2</f>
        <v>0</v>
      </c>
      <c r="D18" s="19">
        <f t="shared" si="8"/>
        <v>0.1358024691358023</v>
      </c>
      <c r="E18" s="19">
        <f t="shared" si="8"/>
        <v>2.1739130434782629E-2</v>
      </c>
      <c r="F18" s="20">
        <f t="shared" si="8"/>
        <v>7.8014184397163192E-2</v>
      </c>
      <c r="G18" s="20">
        <f t="shared" si="8"/>
        <v>0.10197368421052633</v>
      </c>
      <c r="H18" s="21">
        <f t="shared" si="8"/>
        <v>0.11940298507462684</v>
      </c>
      <c r="I18" s="21">
        <f t="shared" si="8"/>
        <v>9.333333333333324E-2</v>
      </c>
      <c r="J18" s="21">
        <f t="shared" si="8"/>
        <v>4.8780487804878099E-2</v>
      </c>
      <c r="K18" s="21">
        <f t="shared" si="8"/>
        <v>4.6511627906976785E-2</v>
      </c>
      <c r="L18" s="21">
        <f t="shared" si="8"/>
        <v>5.5555555555555552E-2</v>
      </c>
      <c r="M18" s="21">
        <f t="shared" si="8"/>
        <v>4.2105263157894778E-2</v>
      </c>
      <c r="N18" s="21">
        <f t="shared" si="8"/>
        <v>4.0404040404040435E-2</v>
      </c>
      <c r="O18" s="21">
        <f t="shared" si="8"/>
        <v>5.825242718446598E-2</v>
      </c>
      <c r="P18" s="21">
        <f t="shared" si="8"/>
        <v>5.5045871559632996E-2</v>
      </c>
      <c r="Q18" s="21">
        <f t="shared" si="8"/>
        <v>6.0869565217391244E-2</v>
      </c>
      <c r="R18" s="21">
        <f t="shared" si="8"/>
        <v>6.5573770491803338E-2</v>
      </c>
      <c r="S18" s="21">
        <f t="shared" si="8"/>
        <v>3.8461538461538464E-2</v>
      </c>
      <c r="T18" s="21">
        <f t="shared" si="8"/>
        <v>4.4444444444444418E-2</v>
      </c>
      <c r="U18" s="21">
        <f t="shared" si="8"/>
        <v>5.6737588652482324E-2</v>
      </c>
      <c r="V18" s="21">
        <f t="shared" si="8"/>
        <v>8.7248322147650936E-2</v>
      </c>
      <c r="W18" s="21">
        <f t="shared" si="8"/>
        <v>8.0246913580246965E-2</v>
      </c>
    </row>
    <row r="19" spans="1:23">
      <c r="C19" s="19"/>
      <c r="D19" s="19"/>
      <c r="E19" s="19"/>
      <c r="F19" s="20"/>
      <c r="G19" s="20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23">
      <c r="A20" s="1" t="s">
        <v>10</v>
      </c>
      <c r="C20" s="16">
        <f t="shared" ref="C20:W20" si="9">C6-B6</f>
        <v>5.0000000000000044E-2</v>
      </c>
      <c r="D20" s="16">
        <f t="shared" si="9"/>
        <v>6.9999999999999951E-2</v>
      </c>
      <c r="E20" s="16">
        <f t="shared" si="9"/>
        <v>0.20999999999999996</v>
      </c>
      <c r="F20" s="17">
        <f t="shared" si="9"/>
        <v>0.25000000000000011</v>
      </c>
      <c r="G20" s="17">
        <f t="shared" si="9"/>
        <v>0.28999999999999981</v>
      </c>
      <c r="H20" s="18">
        <f t="shared" si="9"/>
        <v>0.37000000000000011</v>
      </c>
      <c r="I20" s="18">
        <f t="shared" si="9"/>
        <v>0.5</v>
      </c>
      <c r="J20" s="18">
        <f t="shared" si="9"/>
        <v>0.75</v>
      </c>
      <c r="K20" s="18">
        <f t="shared" si="9"/>
        <v>0.25</v>
      </c>
      <c r="L20" s="18">
        <f t="shared" si="9"/>
        <v>0.25</v>
      </c>
      <c r="M20" s="18">
        <f t="shared" si="9"/>
        <v>0.25</v>
      </c>
      <c r="N20" s="18">
        <f t="shared" si="9"/>
        <v>0.25</v>
      </c>
      <c r="O20" s="18">
        <f t="shared" si="9"/>
        <v>0.25</v>
      </c>
      <c r="P20" s="18">
        <f t="shared" si="9"/>
        <v>0.25</v>
      </c>
      <c r="Q20" s="18">
        <f t="shared" si="9"/>
        <v>0.25</v>
      </c>
      <c r="R20" s="18">
        <f t="shared" si="9"/>
        <v>0.25</v>
      </c>
      <c r="S20" s="18">
        <f t="shared" si="9"/>
        <v>0.25</v>
      </c>
      <c r="T20" s="18">
        <f t="shared" si="9"/>
        <v>0.25</v>
      </c>
      <c r="U20" s="18">
        <f t="shared" si="9"/>
        <v>0.25</v>
      </c>
      <c r="V20" s="18">
        <f t="shared" si="9"/>
        <v>0.25</v>
      </c>
      <c r="W20" s="18">
        <f t="shared" si="9"/>
        <v>0.25</v>
      </c>
    </row>
    <row r="21" spans="1:23">
      <c r="A21" s="1" t="s">
        <v>7</v>
      </c>
      <c r="C21" s="19">
        <f t="shared" ref="C21:W21" si="10">C20/B6</f>
        <v>9.8039215686274592E-2</v>
      </c>
      <c r="D21" s="19">
        <f t="shared" si="10"/>
        <v>0.1249999999999999</v>
      </c>
      <c r="E21" s="19">
        <f t="shared" si="10"/>
        <v>0.33333333333333326</v>
      </c>
      <c r="F21" s="20">
        <f t="shared" si="10"/>
        <v>0.29761904761904778</v>
      </c>
      <c r="G21" s="20">
        <f t="shared" si="10"/>
        <v>0.26605504587155943</v>
      </c>
      <c r="H21" s="21">
        <f t="shared" si="10"/>
        <v>0.26811594202898559</v>
      </c>
      <c r="I21" s="21">
        <f t="shared" si="10"/>
        <v>0.2857142857142857</v>
      </c>
      <c r="J21" s="21">
        <f t="shared" si="10"/>
        <v>0.33333333333333331</v>
      </c>
      <c r="K21" s="21">
        <f t="shared" si="10"/>
        <v>8.3333333333333329E-2</v>
      </c>
      <c r="L21" s="21">
        <f t="shared" si="10"/>
        <v>7.6923076923076927E-2</v>
      </c>
      <c r="M21" s="21">
        <f t="shared" si="10"/>
        <v>7.1428571428571425E-2</v>
      </c>
      <c r="N21" s="21">
        <f t="shared" si="10"/>
        <v>6.6666666666666666E-2</v>
      </c>
      <c r="O21" s="21">
        <f t="shared" si="10"/>
        <v>6.25E-2</v>
      </c>
      <c r="P21" s="21">
        <f t="shared" si="10"/>
        <v>5.8823529411764705E-2</v>
      </c>
      <c r="Q21" s="21">
        <f t="shared" si="10"/>
        <v>5.5555555555555552E-2</v>
      </c>
      <c r="R21" s="21">
        <f t="shared" si="10"/>
        <v>5.2631578947368418E-2</v>
      </c>
      <c r="S21" s="21">
        <f t="shared" si="10"/>
        <v>0.05</v>
      </c>
      <c r="T21" s="21">
        <f t="shared" si="10"/>
        <v>4.7619047619047616E-2</v>
      </c>
      <c r="U21" s="21">
        <f t="shared" si="10"/>
        <v>4.5454545454545456E-2</v>
      </c>
      <c r="V21" s="21">
        <f t="shared" si="10"/>
        <v>4.3478260869565216E-2</v>
      </c>
      <c r="W21" s="21">
        <f t="shared" si="10"/>
        <v>4.1666666666666664E-2</v>
      </c>
    </row>
    <row r="22" spans="1:23">
      <c r="C22" s="19"/>
      <c r="D22" s="19"/>
      <c r="E22" s="19"/>
      <c r="F22" s="20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1:23">
      <c r="A23" s="1" t="s">
        <v>11</v>
      </c>
      <c r="C23" s="16">
        <f t="shared" ref="C23:W23" si="11">C5-B5</f>
        <v>1.2899999999999991</v>
      </c>
      <c r="D23" s="16">
        <f t="shared" si="11"/>
        <v>1.2099999999999991</v>
      </c>
      <c r="E23" s="16">
        <f t="shared" si="11"/>
        <v>0.25000000000000178</v>
      </c>
      <c r="F23" s="17">
        <f t="shared" si="11"/>
        <v>-0.25</v>
      </c>
      <c r="G23" s="17">
        <f t="shared" si="11"/>
        <v>0</v>
      </c>
      <c r="H23" s="18">
        <f t="shared" si="11"/>
        <v>-0.14999999999999503</v>
      </c>
      <c r="I23" s="18">
        <f t="shared" si="11"/>
        <v>-0.14999999999999858</v>
      </c>
      <c r="J23" s="18">
        <f t="shared" si="11"/>
        <v>0</v>
      </c>
      <c r="K23" s="18">
        <f t="shared" si="11"/>
        <v>-5.0000000000000711E-2</v>
      </c>
      <c r="L23" s="18">
        <f t="shared" si="11"/>
        <v>-4.9999999999997158E-2</v>
      </c>
      <c r="M23" s="18">
        <f t="shared" si="11"/>
        <v>0</v>
      </c>
      <c r="N23" s="18">
        <f t="shared" si="11"/>
        <v>0</v>
      </c>
      <c r="O23" s="18">
        <f t="shared" si="11"/>
        <v>-0.10000000000000142</v>
      </c>
      <c r="P23" s="18">
        <f t="shared" si="11"/>
        <v>0</v>
      </c>
      <c r="Q23" s="18">
        <f t="shared" si="11"/>
        <v>0</v>
      </c>
      <c r="R23" s="18">
        <f t="shared" si="11"/>
        <v>0</v>
      </c>
      <c r="S23" s="18">
        <f t="shared" si="11"/>
        <v>0</v>
      </c>
      <c r="T23" s="18">
        <f t="shared" si="11"/>
        <v>0</v>
      </c>
      <c r="U23" s="18">
        <f t="shared" si="11"/>
        <v>0</v>
      </c>
      <c r="V23" s="18">
        <f t="shared" si="11"/>
        <v>0</v>
      </c>
      <c r="W23" s="18">
        <f t="shared" si="11"/>
        <v>0</v>
      </c>
    </row>
    <row r="24" spans="1:23">
      <c r="A24" s="1" t="s">
        <v>7</v>
      </c>
      <c r="C24" s="19">
        <f t="shared" ref="C24:W24" si="12">C23/B5</f>
        <v>0.10319999999999993</v>
      </c>
      <c r="D24" s="19">
        <f t="shared" si="12"/>
        <v>8.7744742567077524E-2</v>
      </c>
      <c r="E24" s="19">
        <f t="shared" si="12"/>
        <v>1.6666666666666788E-2</v>
      </c>
      <c r="F24" s="20">
        <f t="shared" si="12"/>
        <v>-1.6393442622950821E-2</v>
      </c>
      <c r="G24" s="20">
        <f t="shared" si="12"/>
        <v>0</v>
      </c>
      <c r="H24" s="21">
        <f t="shared" si="12"/>
        <v>-9.9999999999996706E-3</v>
      </c>
      <c r="I24" s="21">
        <f t="shared" si="12"/>
        <v>-1.0101010101010005E-2</v>
      </c>
      <c r="J24" s="21">
        <f t="shared" si="12"/>
        <v>0</v>
      </c>
      <c r="K24" s="21">
        <f t="shared" si="12"/>
        <v>-3.4013605442177355E-3</v>
      </c>
      <c r="L24" s="21">
        <f t="shared" si="12"/>
        <v>-3.4129692832762567E-3</v>
      </c>
      <c r="M24" s="21">
        <f t="shared" si="12"/>
        <v>0</v>
      </c>
      <c r="N24" s="21">
        <f t="shared" si="12"/>
        <v>0</v>
      </c>
      <c r="O24" s="21">
        <f t="shared" si="12"/>
        <v>-6.8493150684932474E-3</v>
      </c>
      <c r="P24" s="21">
        <f t="shared" si="12"/>
        <v>0</v>
      </c>
      <c r="Q24" s="21">
        <f t="shared" si="12"/>
        <v>0</v>
      </c>
      <c r="R24" s="21">
        <f t="shared" si="12"/>
        <v>0</v>
      </c>
      <c r="S24" s="21">
        <f t="shared" si="12"/>
        <v>0</v>
      </c>
      <c r="T24" s="21">
        <f t="shared" si="12"/>
        <v>0</v>
      </c>
      <c r="U24" s="21">
        <f t="shared" si="12"/>
        <v>0</v>
      </c>
      <c r="V24" s="21">
        <f t="shared" si="12"/>
        <v>0</v>
      </c>
      <c r="W24" s="21">
        <f t="shared" si="12"/>
        <v>0</v>
      </c>
    </row>
    <row r="25" spans="1:23">
      <c r="C25" s="22"/>
      <c r="D25" s="22"/>
      <c r="E25" s="22"/>
      <c r="F25" s="23"/>
      <c r="G25" s="23"/>
    </row>
    <row r="26" spans="1:23">
      <c r="A26" s="1" t="s">
        <v>12</v>
      </c>
      <c r="C26" s="19">
        <f t="shared" ref="C26:W26" si="13">C8/C7</f>
        <v>0.26804670912951167</v>
      </c>
      <c r="D26" s="19">
        <f t="shared" si="13"/>
        <v>0.27290353853611249</v>
      </c>
      <c r="E26" s="19">
        <f t="shared" si="13"/>
        <v>0.28366762177650429</v>
      </c>
      <c r="F26" s="20">
        <f t="shared" si="13"/>
        <v>0.30362116991643456</v>
      </c>
      <c r="G26" s="20">
        <f t="shared" si="13"/>
        <v>0.32825794894760413</v>
      </c>
      <c r="H26" s="21">
        <f t="shared" si="13"/>
        <v>0.3571428571428571</v>
      </c>
      <c r="I26" s="21">
        <f t="shared" si="13"/>
        <v>0.38622129436325681</v>
      </c>
      <c r="J26" s="21">
        <f t="shared" si="13"/>
        <v>0.41082164328657317</v>
      </c>
      <c r="K26" s="21">
        <f t="shared" si="13"/>
        <v>0.42549019607843136</v>
      </c>
      <c r="L26" s="21">
        <f t="shared" si="13"/>
        <v>0.43846153846153846</v>
      </c>
      <c r="M26" s="21">
        <f t="shared" si="13"/>
        <v>0.44905660377358492</v>
      </c>
      <c r="N26" s="21">
        <f t="shared" si="13"/>
        <v>0.45925925925925926</v>
      </c>
      <c r="O26" s="21">
        <f t="shared" si="13"/>
        <v>0.47272727272727272</v>
      </c>
      <c r="P26" s="21">
        <f t="shared" si="13"/>
        <v>0.4839857651245551</v>
      </c>
      <c r="Q26" s="21">
        <f t="shared" si="13"/>
        <v>0.4956521739130435</v>
      </c>
      <c r="R26" s="21">
        <f t="shared" si="13"/>
        <v>0.50847457627118642</v>
      </c>
      <c r="S26" s="21">
        <f t="shared" si="13"/>
        <v>0.51827242524916939</v>
      </c>
      <c r="T26" s="21">
        <f t="shared" si="13"/>
        <v>0.52845528455284552</v>
      </c>
      <c r="U26" s="21">
        <f t="shared" si="13"/>
        <v>0.53968253968253965</v>
      </c>
      <c r="V26" s="21">
        <f t="shared" si="13"/>
        <v>0.55384615384615388</v>
      </c>
      <c r="W26" s="21">
        <f t="shared" si="13"/>
        <v>0.56716417910447758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E452-4C62-49CD-BB2B-F276A8341BF8}">
  <dimension ref="A1:AJ179"/>
  <sheetViews>
    <sheetView tabSelected="1" zoomScale="120" zoomScaleNormal="120" workbookViewId="0">
      <pane xSplit="2" ySplit="3" topLeftCell="K6" activePane="bottomRight" state="frozen"/>
      <selection activeCell="D78" sqref="D78"/>
      <selection pane="topRight" activeCell="D78" sqref="D78"/>
      <selection pane="bottomLeft" activeCell="D78" sqref="D78"/>
      <selection pane="bottomRight" activeCell="Z13" sqref="Z13"/>
    </sheetView>
  </sheetViews>
  <sheetFormatPr defaultColWidth="11" defaultRowHeight="11.25"/>
  <cols>
    <col min="1" max="1" width="11" style="24"/>
    <col min="2" max="2" width="36.28515625" style="24" customWidth="1"/>
    <col min="3" max="6" width="10.42578125" style="24" customWidth="1"/>
    <col min="7" max="36" width="10.85546875" style="24" customWidth="1"/>
    <col min="37" max="16384" width="11" style="24"/>
  </cols>
  <sheetData>
    <row r="1" spans="2:36">
      <c r="B1" s="24" t="s">
        <v>13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2:36" ht="12" thickBot="1">
      <c r="B2" s="24" t="s">
        <v>6</v>
      </c>
      <c r="D2" s="27"/>
      <c r="E2" s="27"/>
      <c r="F2" s="27"/>
      <c r="G2" s="28">
        <f t="shared" ref="G2:W2" si="0">G18/F18-1</f>
        <v>9.5010615711252688E-2</v>
      </c>
      <c r="H2" s="28">
        <f t="shared" si="0"/>
        <v>1.5026660203587117E-2</v>
      </c>
      <c r="I2" s="28">
        <f t="shared" si="0"/>
        <v>2.8653295128939771E-2</v>
      </c>
      <c r="J2" s="28">
        <f t="shared" si="0"/>
        <v>3.6675951717734412E-2</v>
      </c>
      <c r="K2" s="28">
        <f t="shared" si="0"/>
        <v>7.5682937751903268E-2</v>
      </c>
      <c r="L2" s="28">
        <f t="shared" si="0"/>
        <v>1.8318068276436339E-2</v>
      </c>
      <c r="M2" s="28">
        <f t="shared" si="0"/>
        <v>3.2297628781684296E-2</v>
      </c>
      <c r="N2" s="28">
        <f t="shared" si="0"/>
        <v>4.9504950495049549E-2</v>
      </c>
      <c r="O2" s="28">
        <f t="shared" si="0"/>
        <v>4.1509433962264142E-2</v>
      </c>
      <c r="P2" s="28">
        <f t="shared" si="0"/>
        <v>3.9855072463768071E-2</v>
      </c>
      <c r="Q2" s="28">
        <f t="shared" si="0"/>
        <v>3.832752613240431E-2</v>
      </c>
      <c r="R2" s="28">
        <f t="shared" si="0"/>
        <v>3.691275167785224E-2</v>
      </c>
      <c r="S2" s="28">
        <f t="shared" si="0"/>
        <v>3.5598705501618255E-2</v>
      </c>
      <c r="T2" s="28">
        <f t="shared" si="0"/>
        <v>3.4375000000000044E-2</v>
      </c>
      <c r="U2" s="28">
        <f t="shared" si="0"/>
        <v>3.3232628398791597E-2</v>
      </c>
      <c r="V2" s="28">
        <f t="shared" si="0"/>
        <v>3.2163742690058283E-2</v>
      </c>
      <c r="W2" s="28">
        <f t="shared" si="0"/>
        <v>3.1161473087818692E-2</v>
      </c>
      <c r="X2" s="28">
        <f>X18/W18-1</f>
        <v>3.0219780219780334E-2</v>
      </c>
      <c r="Y2" s="28">
        <f t="shared" ref="Y2:AJ2" si="1">Y18/X18-1</f>
        <v>2.9333333333333433E-2</v>
      </c>
      <c r="Z2" s="28">
        <f t="shared" si="1"/>
        <v>2.8497409326424972E-2</v>
      </c>
      <c r="AA2" s="28">
        <f t="shared" si="1"/>
        <v>2.5188916876574208E-2</v>
      </c>
      <c r="AB2" s="28">
        <f t="shared" si="1"/>
        <v>2.4570024570024662E-2</v>
      </c>
      <c r="AC2" s="28">
        <f t="shared" si="1"/>
        <v>2.3980815347721895E-2</v>
      </c>
      <c r="AD2" s="28">
        <f t="shared" si="1"/>
        <v>2.3419203747072626E-2</v>
      </c>
      <c r="AE2" s="28">
        <f t="shared" si="1"/>
        <v>2.2883295194507935E-2</v>
      </c>
      <c r="AF2" s="28">
        <f t="shared" si="1"/>
        <v>2.2371364653243742E-2</v>
      </c>
      <c r="AG2" s="28">
        <f t="shared" si="1"/>
        <v>2.1881838074398141E-2</v>
      </c>
      <c r="AH2" s="28">
        <f t="shared" si="1"/>
        <v>2.1413276231263323E-2</v>
      </c>
      <c r="AI2" s="28">
        <f t="shared" si="1"/>
        <v>2.0964360587002018E-2</v>
      </c>
      <c r="AJ2" s="28">
        <f t="shared" si="1"/>
        <v>2.0533880903490731E-2</v>
      </c>
    </row>
    <row r="3" spans="2:36" ht="12" thickBot="1">
      <c r="B3" s="29" t="s">
        <v>14</v>
      </c>
      <c r="C3" s="30">
        <v>2018</v>
      </c>
      <c r="D3" s="30">
        <v>2019</v>
      </c>
      <c r="E3" s="30">
        <v>2020</v>
      </c>
      <c r="F3" s="30">
        <v>2021</v>
      </c>
      <c r="G3" s="30">
        <v>2022</v>
      </c>
      <c r="H3" s="30">
        <v>2023</v>
      </c>
      <c r="I3" s="30">
        <v>2024</v>
      </c>
      <c r="J3" s="30">
        <v>2025</v>
      </c>
      <c r="K3" s="31">
        <v>2026</v>
      </c>
      <c r="L3" s="31">
        <v>2027</v>
      </c>
      <c r="M3" s="31">
        <v>2028</v>
      </c>
      <c r="N3" s="31">
        <v>2029</v>
      </c>
      <c r="O3" s="31">
        <v>2030</v>
      </c>
      <c r="P3" s="31">
        <v>2031</v>
      </c>
      <c r="Q3" s="31">
        <v>2032</v>
      </c>
      <c r="R3" s="31">
        <v>2033</v>
      </c>
      <c r="S3" s="31">
        <v>2034</v>
      </c>
      <c r="T3" s="31">
        <v>2035</v>
      </c>
      <c r="U3" s="31">
        <v>2036</v>
      </c>
      <c r="V3" s="31">
        <v>2037</v>
      </c>
      <c r="W3" s="31">
        <v>2038</v>
      </c>
      <c r="X3" s="31">
        <v>2039</v>
      </c>
      <c r="Y3" s="31">
        <v>2040</v>
      </c>
      <c r="Z3" s="31">
        <v>2041</v>
      </c>
      <c r="AA3" s="31">
        <v>2042</v>
      </c>
      <c r="AB3" s="31">
        <v>2043</v>
      </c>
      <c r="AC3" s="31">
        <v>2044</v>
      </c>
      <c r="AD3" s="31">
        <v>2045</v>
      </c>
      <c r="AE3" s="31">
        <v>2046</v>
      </c>
      <c r="AF3" s="31">
        <v>2047</v>
      </c>
      <c r="AG3" s="31">
        <v>2048</v>
      </c>
      <c r="AH3" s="31">
        <v>2049</v>
      </c>
      <c r="AI3" s="31">
        <v>2050</v>
      </c>
      <c r="AJ3" s="31">
        <v>2051</v>
      </c>
    </row>
    <row r="4" spans="2:36" ht="12" thickBot="1">
      <c r="B4" s="32" t="s">
        <v>0</v>
      </c>
      <c r="C4" s="33">
        <v>2.1</v>
      </c>
      <c r="D4" s="33">
        <v>2.1</v>
      </c>
      <c r="E4" s="33">
        <v>2.4300000000000002</v>
      </c>
      <c r="F4" s="33">
        <v>2.93</v>
      </c>
      <c r="G4" s="33">
        <v>2.76</v>
      </c>
      <c r="H4" s="33">
        <v>3</v>
      </c>
      <c r="I4" s="33">
        <v>3.25</v>
      </c>
      <c r="J4" s="33">
        <v>3.5</v>
      </c>
      <c r="K4" s="34">
        <v>3.75</v>
      </c>
      <c r="L4" s="34">
        <v>4.0999999999999996</v>
      </c>
      <c r="M4" s="34">
        <v>4.3</v>
      </c>
      <c r="N4" s="34">
        <v>4.5</v>
      </c>
      <c r="O4" s="34">
        <v>4.75</v>
      </c>
      <c r="P4" s="34">
        <v>4.95</v>
      </c>
      <c r="Q4" s="34">
        <v>5.15</v>
      </c>
      <c r="R4" s="34">
        <v>5.45</v>
      </c>
      <c r="S4" s="34">
        <v>5.75</v>
      </c>
      <c r="T4" s="34">
        <v>6.1</v>
      </c>
      <c r="U4" s="34">
        <v>6.5</v>
      </c>
      <c r="V4" s="34">
        <v>6.75</v>
      </c>
      <c r="W4" s="34">
        <v>7.05</v>
      </c>
      <c r="X4" s="34">
        <v>7.45</v>
      </c>
      <c r="Y4" s="34">
        <v>8.1</v>
      </c>
      <c r="Z4" s="34">
        <v>8.75</v>
      </c>
      <c r="AA4" s="34">
        <v>9.75</v>
      </c>
      <c r="AB4" s="34">
        <v>10.75</v>
      </c>
      <c r="AC4" s="34">
        <v>11.75</v>
      </c>
      <c r="AD4" s="34">
        <v>12.75</v>
      </c>
      <c r="AE4" s="34">
        <v>13.75</v>
      </c>
      <c r="AF4" s="34">
        <v>14.75</v>
      </c>
      <c r="AG4" s="34">
        <v>15.75</v>
      </c>
      <c r="AH4" s="34">
        <v>16.75</v>
      </c>
      <c r="AI4" s="34">
        <v>17.75</v>
      </c>
      <c r="AJ4" s="34">
        <v>18.75</v>
      </c>
    </row>
    <row r="5" spans="2:36" ht="12" thickBot="1">
      <c r="B5" s="35" t="s">
        <v>1</v>
      </c>
      <c r="C5" s="33">
        <v>0.64700000000000002</v>
      </c>
      <c r="D5" s="33">
        <v>1.1339999999999999</v>
      </c>
      <c r="E5" s="33">
        <v>1.4379999999999999</v>
      </c>
      <c r="F5" s="33">
        <v>2.395</v>
      </c>
      <c r="G5" s="33">
        <v>3.1579999999999999</v>
      </c>
      <c r="H5" s="33">
        <v>3.7199999999999993</v>
      </c>
      <c r="I5" s="33">
        <v>3.9990000000000001</v>
      </c>
      <c r="J5" s="33">
        <v>4.2625000000000002</v>
      </c>
      <c r="K5" s="36">
        <v>4.2625000000000002</v>
      </c>
      <c r="L5" s="36">
        <v>4.495000000000001</v>
      </c>
      <c r="M5" s="36">
        <v>4.5725000000000007</v>
      </c>
      <c r="N5" s="36">
        <v>5.8125</v>
      </c>
      <c r="O5" s="36">
        <v>6.7424999999999997</v>
      </c>
      <c r="P5" s="36">
        <v>7.7499999999999991</v>
      </c>
      <c r="Q5" s="36">
        <v>8.7575000000000003</v>
      </c>
      <c r="R5" s="36">
        <v>9.6100000000000012</v>
      </c>
      <c r="S5" s="36">
        <v>10.4625</v>
      </c>
      <c r="T5" s="36">
        <v>11.237500000000002</v>
      </c>
      <c r="U5" s="36">
        <v>11.934999999999999</v>
      </c>
      <c r="V5" s="36">
        <v>12.865000000000002</v>
      </c>
      <c r="W5" s="36">
        <v>13.717499999999998</v>
      </c>
      <c r="X5" s="36">
        <v>14.415000000000001</v>
      </c>
      <c r="Y5" s="36">
        <v>14.725000000000003</v>
      </c>
      <c r="Z5" s="36">
        <v>15.035</v>
      </c>
      <c r="AA5" s="36">
        <v>16.035</v>
      </c>
      <c r="AB5" s="36">
        <v>17.035</v>
      </c>
      <c r="AC5" s="36">
        <v>18.035</v>
      </c>
      <c r="AD5" s="36">
        <v>19.035</v>
      </c>
      <c r="AE5" s="36">
        <v>20.035</v>
      </c>
      <c r="AF5" s="36">
        <v>21.035</v>
      </c>
      <c r="AG5" s="36">
        <v>22.035</v>
      </c>
      <c r="AH5" s="36">
        <v>23.035</v>
      </c>
      <c r="AI5" s="36">
        <v>24.035</v>
      </c>
      <c r="AJ5" s="36">
        <v>25.035</v>
      </c>
    </row>
    <row r="6" spans="2:36" ht="12" thickBot="1">
      <c r="B6" s="37" t="s">
        <v>15</v>
      </c>
      <c r="C6" s="33">
        <f>SUM(C5/1.55)</f>
        <v>0.41741935483870968</v>
      </c>
      <c r="D6" s="33">
        <f>SUM(D5/1.55)</f>
        <v>0.73161290322580641</v>
      </c>
      <c r="E6" s="33">
        <v>0.92774193548387096</v>
      </c>
      <c r="F6" s="33">
        <v>1.5451612903225806</v>
      </c>
      <c r="G6" s="33">
        <v>2.2400000000000002</v>
      </c>
      <c r="H6" s="33">
        <v>2.3999999999999995</v>
      </c>
      <c r="I6" s="33">
        <v>2.58</v>
      </c>
      <c r="J6" s="33">
        <v>2.75</v>
      </c>
      <c r="K6" s="38">
        <v>2.75</v>
      </c>
      <c r="L6" s="38">
        <v>2.9000000000000004</v>
      </c>
      <c r="M6" s="38">
        <v>2.95</v>
      </c>
      <c r="N6" s="38">
        <v>3.75</v>
      </c>
      <c r="O6" s="38">
        <v>4.3499999999999996</v>
      </c>
      <c r="P6" s="38">
        <v>4.9999999999999991</v>
      </c>
      <c r="Q6" s="38">
        <v>5.65</v>
      </c>
      <c r="R6" s="38">
        <v>6.2</v>
      </c>
      <c r="S6" s="38">
        <v>6.75</v>
      </c>
      <c r="T6" s="38">
        <v>7.2500000000000018</v>
      </c>
      <c r="U6" s="38">
        <v>7.6999999999999993</v>
      </c>
      <c r="V6" s="38">
        <v>8.3000000000000007</v>
      </c>
      <c r="W6" s="38">
        <v>8.8499999999999979</v>
      </c>
      <c r="X6" s="38">
        <v>9.3000000000000007</v>
      </c>
      <c r="Y6" s="38">
        <v>9.5000000000000018</v>
      </c>
      <c r="Z6" s="38">
        <v>9.6999999999999993</v>
      </c>
      <c r="AA6" s="38">
        <v>10.7</v>
      </c>
      <c r="AB6" s="38">
        <v>11.7</v>
      </c>
      <c r="AC6" s="38">
        <v>12.7</v>
      </c>
      <c r="AD6" s="38">
        <v>13.7</v>
      </c>
      <c r="AE6" s="38">
        <v>14.7</v>
      </c>
      <c r="AF6" s="38">
        <v>15.7</v>
      </c>
      <c r="AG6" s="38">
        <v>16.7</v>
      </c>
      <c r="AH6" s="38">
        <v>17.7</v>
      </c>
      <c r="AI6" s="38">
        <v>18.7</v>
      </c>
      <c r="AJ6" s="38">
        <v>19.7</v>
      </c>
    </row>
    <row r="7" spans="2:36" ht="12" thickBot="1">
      <c r="B7" s="32" t="s">
        <v>16</v>
      </c>
      <c r="C7" s="33">
        <v>15</v>
      </c>
      <c r="D7" s="33">
        <v>15</v>
      </c>
      <c r="E7" s="33">
        <v>15</v>
      </c>
      <c r="F7" s="33">
        <v>15</v>
      </c>
      <c r="G7" s="33">
        <v>17.5</v>
      </c>
      <c r="H7" s="33">
        <v>15.000000000000004</v>
      </c>
      <c r="I7" s="33">
        <v>15.000000000000002</v>
      </c>
      <c r="J7" s="33">
        <v>15.000000000000002</v>
      </c>
      <c r="K7" s="39">
        <v>14.850000000000001</v>
      </c>
      <c r="L7" s="39">
        <v>14.700000000000003</v>
      </c>
      <c r="M7" s="39">
        <v>14.7</v>
      </c>
      <c r="N7" s="39">
        <v>14.5</v>
      </c>
      <c r="O7" s="39">
        <v>14.399999999999999</v>
      </c>
      <c r="P7" s="39">
        <v>14.3</v>
      </c>
      <c r="Q7" s="39">
        <v>14.200000000000003</v>
      </c>
      <c r="R7" s="39">
        <v>14.100000000000001</v>
      </c>
      <c r="S7" s="39">
        <v>14</v>
      </c>
      <c r="T7" s="39">
        <v>13.899999999999999</v>
      </c>
      <c r="U7" s="39">
        <v>13.8</v>
      </c>
      <c r="V7" s="39">
        <v>13.7</v>
      </c>
      <c r="W7" s="39">
        <v>13.600000000000001</v>
      </c>
      <c r="X7" s="39">
        <v>13.5</v>
      </c>
      <c r="Y7" s="39">
        <v>13.399999999999999</v>
      </c>
      <c r="Z7" s="39">
        <v>13.3</v>
      </c>
      <c r="AA7" s="39">
        <v>14.3</v>
      </c>
      <c r="AB7" s="39">
        <v>15.3</v>
      </c>
      <c r="AC7" s="39">
        <v>16.3</v>
      </c>
      <c r="AD7" s="39">
        <v>17.3</v>
      </c>
      <c r="AE7" s="39">
        <v>18.3</v>
      </c>
      <c r="AF7" s="39">
        <v>19.3</v>
      </c>
      <c r="AG7" s="39">
        <v>20.3</v>
      </c>
      <c r="AH7" s="39">
        <v>21.3</v>
      </c>
      <c r="AI7" s="39">
        <v>22.3</v>
      </c>
      <c r="AJ7" s="39">
        <v>23.3</v>
      </c>
    </row>
    <row r="8" spans="2:36" ht="12" thickBot="1">
      <c r="B8" s="32" t="s">
        <v>17</v>
      </c>
      <c r="C8" s="33">
        <v>0.28799999999999998</v>
      </c>
      <c r="D8" s="33">
        <v>0.38100000000000001</v>
      </c>
      <c r="E8" s="33">
        <v>0.51435000000000008</v>
      </c>
      <c r="F8" s="33">
        <v>0.69437250000000017</v>
      </c>
      <c r="G8" s="33">
        <v>0.63</v>
      </c>
      <c r="H8" s="33">
        <v>0.7</v>
      </c>
      <c r="I8" s="33">
        <v>0.77</v>
      </c>
      <c r="J8" s="33">
        <v>0.85</v>
      </c>
      <c r="K8" s="39">
        <v>1.75</v>
      </c>
      <c r="L8" s="39">
        <v>2.25</v>
      </c>
      <c r="M8" s="39">
        <v>3</v>
      </c>
      <c r="N8" s="39">
        <v>3.25</v>
      </c>
      <c r="O8" s="39">
        <v>3.5</v>
      </c>
      <c r="P8" s="39">
        <v>3.75</v>
      </c>
      <c r="Q8" s="39">
        <v>4</v>
      </c>
      <c r="R8" s="39">
        <v>4.25</v>
      </c>
      <c r="S8" s="39">
        <v>4.5</v>
      </c>
      <c r="T8" s="39">
        <v>4.75</v>
      </c>
      <c r="U8" s="39">
        <v>5</v>
      </c>
      <c r="V8" s="39">
        <v>5.25</v>
      </c>
      <c r="W8" s="39">
        <v>5.5</v>
      </c>
      <c r="X8" s="39">
        <v>5.75</v>
      </c>
      <c r="Y8" s="39">
        <v>6</v>
      </c>
      <c r="Z8" s="39">
        <v>6.25</v>
      </c>
      <c r="AA8" s="39">
        <v>7.25</v>
      </c>
      <c r="AB8" s="39">
        <v>8.25</v>
      </c>
      <c r="AC8" s="39">
        <v>9.25</v>
      </c>
      <c r="AD8" s="39">
        <v>10.25</v>
      </c>
      <c r="AE8" s="39">
        <v>11.25</v>
      </c>
      <c r="AF8" s="39">
        <v>12.25</v>
      </c>
      <c r="AG8" s="39">
        <v>13.25</v>
      </c>
      <c r="AH8" s="39">
        <v>14.25</v>
      </c>
      <c r="AI8" s="39">
        <v>15.25</v>
      </c>
      <c r="AJ8" s="39">
        <v>16.25</v>
      </c>
    </row>
    <row r="9" spans="2:36" ht="12" thickBot="1">
      <c r="B9" s="40" t="s">
        <v>18</v>
      </c>
      <c r="C9" s="33">
        <f>SUM(C4+C6+C7+C8)</f>
        <v>17.805419354838708</v>
      </c>
      <c r="D9" s="33">
        <f>SUM(D4+D6+D7+D8)</f>
        <v>18.212612903225807</v>
      </c>
      <c r="E9" s="33">
        <v>18.872091935483873</v>
      </c>
      <c r="F9" s="33">
        <v>20.169533790322582</v>
      </c>
      <c r="G9" s="33">
        <v>20.63</v>
      </c>
      <c r="H9" s="33">
        <v>21.1</v>
      </c>
      <c r="I9" s="33">
        <v>21.6</v>
      </c>
      <c r="J9" s="33">
        <v>22.1</v>
      </c>
      <c r="K9" s="41">
        <v>23.1</v>
      </c>
      <c r="L9" s="41">
        <v>23.95</v>
      </c>
      <c r="M9" s="41">
        <v>24.95</v>
      </c>
      <c r="N9" s="41">
        <v>26</v>
      </c>
      <c r="O9" s="41">
        <v>27</v>
      </c>
      <c r="P9" s="41">
        <v>28</v>
      </c>
      <c r="Q9" s="41">
        <v>29</v>
      </c>
      <c r="R9" s="41">
        <v>30</v>
      </c>
      <c r="S9" s="41">
        <v>31</v>
      </c>
      <c r="T9" s="41">
        <v>32</v>
      </c>
      <c r="U9" s="41">
        <v>33</v>
      </c>
      <c r="V9" s="41">
        <v>34</v>
      </c>
      <c r="W9" s="41">
        <v>35</v>
      </c>
      <c r="X9" s="41">
        <v>36</v>
      </c>
      <c r="Y9" s="41">
        <v>37</v>
      </c>
      <c r="Z9" s="41">
        <v>38</v>
      </c>
      <c r="AA9" s="41">
        <v>39</v>
      </c>
      <c r="AB9" s="41">
        <v>40</v>
      </c>
      <c r="AC9" s="41">
        <v>41</v>
      </c>
      <c r="AD9" s="41">
        <v>42</v>
      </c>
      <c r="AE9" s="41">
        <v>43</v>
      </c>
      <c r="AF9" s="41">
        <v>44</v>
      </c>
      <c r="AG9" s="41">
        <v>45</v>
      </c>
      <c r="AH9" s="41">
        <v>46</v>
      </c>
      <c r="AI9" s="41">
        <v>47</v>
      </c>
      <c r="AJ9" s="41">
        <v>48</v>
      </c>
    </row>
    <row r="10" spans="2:36" ht="12" thickBot="1">
      <c r="B10" s="42" t="s">
        <v>19</v>
      </c>
      <c r="C10" s="43"/>
      <c r="D10" s="44">
        <f>(D9/C9)-1</f>
        <v>2.2869079366919953E-2</v>
      </c>
      <c r="E10" s="44">
        <v>3.6210017517105397E-2</v>
      </c>
      <c r="F10" s="44">
        <v>6.8749233485834171E-2</v>
      </c>
      <c r="G10" s="44">
        <v>0.18519458497887209</v>
      </c>
      <c r="H10" s="44">
        <v>2.2782355792535292E-2</v>
      </c>
      <c r="I10" s="44">
        <v>2.3696682464454888E-2</v>
      </c>
      <c r="J10" s="44">
        <v>2.314814814814814E-2</v>
      </c>
      <c r="K10" s="45">
        <v>3.4482758620689724E-2</v>
      </c>
      <c r="L10" s="45">
        <v>3.6796536796536605E-2</v>
      </c>
      <c r="M10" s="45">
        <v>4.175365344467652E-2</v>
      </c>
      <c r="N10" s="45">
        <v>4.2084168336673278E-2</v>
      </c>
      <c r="O10" s="45">
        <v>3.8461538461538547E-2</v>
      </c>
      <c r="P10" s="45">
        <v>3.7037037037036979E-2</v>
      </c>
      <c r="Q10" s="45">
        <v>3.5714285714285809E-2</v>
      </c>
      <c r="R10" s="45">
        <v>3.4482758620689724E-2</v>
      </c>
      <c r="S10" s="45">
        <v>3.3333333333333437E-2</v>
      </c>
      <c r="T10" s="45">
        <v>3.2258064516129004E-2</v>
      </c>
      <c r="U10" s="45">
        <v>3.125E-2</v>
      </c>
      <c r="V10" s="45">
        <v>3.0303030303030276E-2</v>
      </c>
      <c r="W10" s="45">
        <v>2.9411764705882248E-2</v>
      </c>
      <c r="X10" s="45">
        <v>2.857142857142847E-2</v>
      </c>
      <c r="Y10" s="45">
        <v>2.7777777777777679E-2</v>
      </c>
      <c r="Z10" s="45">
        <v>2.7027027027026973E-2</v>
      </c>
      <c r="AA10" s="45">
        <v>1.0270270270270301</v>
      </c>
      <c r="AB10" s="45">
        <v>2.0270270270270299</v>
      </c>
      <c r="AC10" s="45">
        <v>3.0270270270270299</v>
      </c>
      <c r="AD10" s="45">
        <v>4.0270270270270299</v>
      </c>
      <c r="AE10" s="45">
        <v>5.0270270270270299</v>
      </c>
      <c r="AF10" s="45">
        <v>6.0270270270270299</v>
      </c>
      <c r="AG10" s="45">
        <v>7.0270270270270299</v>
      </c>
      <c r="AH10" s="45">
        <v>8.0270270270270299</v>
      </c>
      <c r="AI10" s="45">
        <v>9.0270270270270299</v>
      </c>
      <c r="AJ10" s="45">
        <v>10.027027027027</v>
      </c>
    </row>
    <row r="11" spans="2:36" ht="12" thickBot="1">
      <c r="B11" s="46"/>
      <c r="H11" s="47"/>
      <c r="I11" s="47"/>
      <c r="J11" s="47"/>
      <c r="K11" s="24">
        <v>8.25</v>
      </c>
      <c r="L11" s="24">
        <v>9.25</v>
      </c>
      <c r="M11" s="24">
        <v>10.25</v>
      </c>
      <c r="N11" s="24">
        <v>11.5</v>
      </c>
      <c r="O11" s="24">
        <v>12.6</v>
      </c>
      <c r="P11" s="24">
        <v>13.7</v>
      </c>
      <c r="Q11" s="24">
        <v>14.8</v>
      </c>
      <c r="R11" s="24">
        <v>15.9</v>
      </c>
      <c r="S11" s="24">
        <v>17</v>
      </c>
      <c r="T11" s="24">
        <v>18.100000000000001</v>
      </c>
      <c r="U11" s="24">
        <v>19.2</v>
      </c>
      <c r="V11" s="24">
        <v>20.3</v>
      </c>
      <c r="W11" s="27">
        <v>21.4</v>
      </c>
      <c r="X11" s="24">
        <v>22.5</v>
      </c>
      <c r="Y11" s="24">
        <v>23.6</v>
      </c>
      <c r="Z11" s="24">
        <v>24.7</v>
      </c>
      <c r="AA11" s="24">
        <v>25.7</v>
      </c>
      <c r="AB11" s="24">
        <v>26.7</v>
      </c>
      <c r="AC11" s="24">
        <v>27.7</v>
      </c>
      <c r="AD11" s="24">
        <v>28.7</v>
      </c>
      <c r="AE11" s="24">
        <v>29.7</v>
      </c>
      <c r="AF11" s="24">
        <v>30.7</v>
      </c>
      <c r="AG11" s="24">
        <v>31.7</v>
      </c>
      <c r="AH11" s="24">
        <v>32.700000000000003</v>
      </c>
      <c r="AI11" s="24">
        <v>33.700000000000003</v>
      </c>
      <c r="AJ11" s="24">
        <v>34.700000000000003</v>
      </c>
    </row>
    <row r="12" spans="2:36" ht="12" thickBot="1">
      <c r="B12" s="29" t="s">
        <v>20</v>
      </c>
      <c r="C12" s="30">
        <v>2018</v>
      </c>
      <c r="D12" s="30">
        <v>2019</v>
      </c>
      <c r="E12" s="30">
        <v>2020</v>
      </c>
      <c r="F12" s="30">
        <v>2021</v>
      </c>
      <c r="G12" s="30">
        <v>2022</v>
      </c>
      <c r="H12" s="30">
        <v>2023</v>
      </c>
      <c r="I12" s="30">
        <v>2024</v>
      </c>
      <c r="J12" s="48">
        <v>2025</v>
      </c>
      <c r="K12" s="579">
        <v>2026</v>
      </c>
      <c r="L12" s="579">
        <v>2027</v>
      </c>
      <c r="M12" s="49">
        <v>2028</v>
      </c>
      <c r="N12" s="50">
        <v>2029</v>
      </c>
      <c r="O12" s="50">
        <v>2030</v>
      </c>
      <c r="P12" s="50">
        <v>2031</v>
      </c>
      <c r="Q12" s="50">
        <v>2032</v>
      </c>
      <c r="R12" s="50">
        <v>2033</v>
      </c>
      <c r="S12" s="50">
        <v>2034</v>
      </c>
      <c r="T12" s="50">
        <v>2035</v>
      </c>
      <c r="U12" s="50">
        <v>2036</v>
      </c>
      <c r="V12" s="50">
        <v>2037</v>
      </c>
      <c r="W12" s="50">
        <v>2038</v>
      </c>
      <c r="X12" s="50">
        <v>2039</v>
      </c>
      <c r="Y12" s="50">
        <v>2040</v>
      </c>
      <c r="Z12" s="50">
        <v>2041</v>
      </c>
      <c r="AA12" s="50">
        <v>2042</v>
      </c>
      <c r="AB12" s="50">
        <v>2043</v>
      </c>
      <c r="AC12" s="50">
        <v>2044</v>
      </c>
      <c r="AD12" s="50">
        <v>2045</v>
      </c>
      <c r="AE12" s="50">
        <v>2046</v>
      </c>
      <c r="AF12" s="50">
        <v>2047</v>
      </c>
      <c r="AG12" s="50">
        <v>2048</v>
      </c>
      <c r="AH12" s="50">
        <v>2049</v>
      </c>
      <c r="AI12" s="50">
        <v>2050</v>
      </c>
      <c r="AJ12" s="50">
        <v>2051</v>
      </c>
    </row>
    <row r="13" spans="2:36" ht="12" thickBot="1">
      <c r="B13" s="32" t="s">
        <v>0</v>
      </c>
      <c r="C13" s="51">
        <v>2.1</v>
      </c>
      <c r="D13" s="51">
        <v>2.1</v>
      </c>
      <c r="E13" s="51">
        <v>2.4300000000000002</v>
      </c>
      <c r="F13" s="51">
        <v>2.4300000000000002</v>
      </c>
      <c r="G13" s="51">
        <v>2.76</v>
      </c>
      <c r="H13" s="51">
        <v>2.82</v>
      </c>
      <c r="I13" s="51">
        <v>3.04</v>
      </c>
      <c r="J13" s="52">
        <v>3.5</v>
      </c>
      <c r="K13" s="580">
        <v>7.12</v>
      </c>
      <c r="L13" s="580">
        <v>7.5</v>
      </c>
      <c r="M13" s="53">
        <v>7.75</v>
      </c>
      <c r="N13" s="53">
        <v>8</v>
      </c>
      <c r="O13" s="53">
        <v>8.25</v>
      </c>
      <c r="P13" s="53">
        <v>8.5</v>
      </c>
      <c r="Q13" s="53">
        <v>8.75</v>
      </c>
      <c r="R13" s="53">
        <v>9</v>
      </c>
      <c r="S13" s="53">
        <v>9.1</v>
      </c>
      <c r="T13" s="53">
        <v>9.1999999999999993</v>
      </c>
      <c r="U13" s="53">
        <v>9.3000000000000007</v>
      </c>
      <c r="V13" s="53">
        <v>9.4</v>
      </c>
      <c r="W13" s="53">
        <v>9.5</v>
      </c>
      <c r="X13" s="53">
        <v>7.8</v>
      </c>
      <c r="Y13" s="53">
        <v>8.15</v>
      </c>
      <c r="Z13" s="53">
        <v>8.5</v>
      </c>
      <c r="AA13" s="53">
        <v>8.9</v>
      </c>
      <c r="AB13" s="53">
        <v>9.3000000000000007</v>
      </c>
      <c r="AC13" s="53">
        <v>9.6999999999999993</v>
      </c>
      <c r="AD13" s="53">
        <v>10.1</v>
      </c>
      <c r="AE13" s="53">
        <v>10.5</v>
      </c>
      <c r="AF13" s="53">
        <v>10.9</v>
      </c>
      <c r="AG13" s="53">
        <v>11.4</v>
      </c>
      <c r="AH13" s="53">
        <v>11.9</v>
      </c>
      <c r="AI13" s="53">
        <v>12.4</v>
      </c>
      <c r="AJ13" s="53">
        <v>12.9</v>
      </c>
    </row>
    <row r="14" spans="2:36" ht="12" thickBot="1">
      <c r="B14" s="35" t="s">
        <v>1</v>
      </c>
      <c r="C14" s="51">
        <v>0.64700000000000002</v>
      </c>
      <c r="D14" s="51">
        <v>1.1639999999999999</v>
      </c>
      <c r="E14" s="51">
        <v>1.1870000000000001</v>
      </c>
      <c r="F14" s="51">
        <f>F15*1.55</f>
        <v>3.1930000000000001</v>
      </c>
      <c r="G14" s="51">
        <f>G15*1.55</f>
        <v>3.4720000000000004</v>
      </c>
      <c r="H14" s="51">
        <f t="shared" ref="H14:AJ14" si="2">H15*1.55</f>
        <v>3.5340000000000011</v>
      </c>
      <c r="I14" s="51">
        <f t="shared" si="2"/>
        <v>3.7355000000000005</v>
      </c>
      <c r="J14" s="54">
        <f t="shared" si="2"/>
        <v>3.7975000000000003</v>
      </c>
      <c r="K14" s="581">
        <f t="shared" si="2"/>
        <v>0.92999999999999949</v>
      </c>
      <c r="L14" s="581">
        <f t="shared" si="2"/>
        <v>0.93000000000000227</v>
      </c>
      <c r="M14" s="578">
        <f t="shared" si="2"/>
        <v>1.7049999999999994</v>
      </c>
      <c r="N14" s="578">
        <f t="shared" si="2"/>
        <v>0.38750000000000001</v>
      </c>
      <c r="O14" s="578">
        <f t="shared" si="2"/>
        <v>1.3174999999999994</v>
      </c>
      <c r="P14" s="578">
        <f t="shared" si="2"/>
        <v>2.2474999999999992</v>
      </c>
      <c r="Q14" s="578">
        <f t="shared" si="2"/>
        <v>3.1775000000000011</v>
      </c>
      <c r="R14" s="578">
        <f t="shared" si="2"/>
        <v>4.1075000000000008</v>
      </c>
      <c r="S14" s="578">
        <f t="shared" si="2"/>
        <v>5.2700000000000005</v>
      </c>
      <c r="T14" s="578">
        <f t="shared" si="2"/>
        <v>6.4325000000000037</v>
      </c>
      <c r="U14" s="578">
        <f t="shared" si="2"/>
        <v>7.594999999999998</v>
      </c>
      <c r="V14" s="578">
        <f t="shared" si="2"/>
        <v>8.7575000000000003</v>
      </c>
      <c r="W14" s="578">
        <f t="shared" si="2"/>
        <v>9.9199999999999982</v>
      </c>
      <c r="X14" s="578">
        <f t="shared" si="2"/>
        <v>13.872499999999999</v>
      </c>
      <c r="Y14" s="578">
        <f t="shared" si="2"/>
        <v>14.647500000000003</v>
      </c>
      <c r="Z14" s="578">
        <f t="shared" si="2"/>
        <v>15.422499999999999</v>
      </c>
      <c r="AA14" s="578">
        <f t="shared" si="2"/>
        <v>14.802499999999998</v>
      </c>
      <c r="AB14" s="578">
        <f t="shared" si="2"/>
        <v>14.182499999999997</v>
      </c>
      <c r="AC14" s="578">
        <f t="shared" si="2"/>
        <v>13.5625</v>
      </c>
      <c r="AD14" s="578">
        <f t="shared" si="2"/>
        <v>12.942499999999999</v>
      </c>
      <c r="AE14" s="578">
        <f t="shared" si="2"/>
        <v>12.3225</v>
      </c>
      <c r="AF14" s="578">
        <f t="shared" si="2"/>
        <v>11.702499999999999</v>
      </c>
      <c r="AG14" s="578">
        <f t="shared" si="2"/>
        <v>10.927499999999998</v>
      </c>
      <c r="AH14" s="578">
        <f t="shared" si="2"/>
        <v>10.152500000000003</v>
      </c>
      <c r="AI14" s="578">
        <f t="shared" si="2"/>
        <v>9.3775000000000048</v>
      </c>
      <c r="AJ14" s="578">
        <f t="shared" si="2"/>
        <v>8.6025000000000045</v>
      </c>
    </row>
    <row r="15" spans="2:36" ht="12" thickBot="1">
      <c r="B15" s="37" t="s">
        <v>2</v>
      </c>
      <c r="C15" s="51">
        <f>C20-C17-C13</f>
        <v>1.9019999999999997</v>
      </c>
      <c r="D15" s="51">
        <f>D20-D17-D13</f>
        <v>2.4019999999999997</v>
      </c>
      <c r="E15" s="51">
        <f>E20-E17-E13</f>
        <v>1.69</v>
      </c>
      <c r="F15" s="51">
        <f>F20-F17-F13</f>
        <v>2.06</v>
      </c>
      <c r="G15" s="51">
        <f>G20-G17-G13</f>
        <v>2.2400000000000002</v>
      </c>
      <c r="H15" s="51">
        <f t="shared" ref="H15:AI15" si="3">H20-H17-H13</f>
        <v>2.2800000000000007</v>
      </c>
      <c r="I15" s="51">
        <f t="shared" si="3"/>
        <v>2.41</v>
      </c>
      <c r="J15" s="55">
        <f>J20-J17-J13</f>
        <v>2.4500000000000002</v>
      </c>
      <c r="K15" s="581">
        <f t="shared" si="3"/>
        <v>0.59999999999999964</v>
      </c>
      <c r="L15" s="581">
        <f t="shared" si="3"/>
        <v>0.60000000000000142</v>
      </c>
      <c r="M15" s="56">
        <f t="shared" si="3"/>
        <v>1.0999999999999996</v>
      </c>
      <c r="N15" s="56">
        <f t="shared" si="3"/>
        <v>0.25</v>
      </c>
      <c r="O15" s="56">
        <f t="shared" si="3"/>
        <v>0.84999999999999964</v>
      </c>
      <c r="P15" s="56">
        <f>P20-P17-P13</f>
        <v>1.4499999999999993</v>
      </c>
      <c r="Q15" s="56">
        <f t="shared" si="3"/>
        <v>2.0500000000000007</v>
      </c>
      <c r="R15" s="56">
        <f t="shared" si="3"/>
        <v>2.6500000000000004</v>
      </c>
      <c r="S15" s="56">
        <f t="shared" si="3"/>
        <v>3.4000000000000004</v>
      </c>
      <c r="T15" s="56">
        <f t="shared" si="3"/>
        <v>4.1500000000000021</v>
      </c>
      <c r="U15" s="56">
        <f t="shared" si="3"/>
        <v>4.8999999999999986</v>
      </c>
      <c r="V15" s="56">
        <f>V20-V17-V13</f>
        <v>5.65</v>
      </c>
      <c r="W15" s="56">
        <f t="shared" si="3"/>
        <v>6.3999999999999986</v>
      </c>
      <c r="X15" s="56">
        <f t="shared" si="3"/>
        <v>8.9499999999999993</v>
      </c>
      <c r="Y15" s="56">
        <f t="shared" si="3"/>
        <v>9.4500000000000011</v>
      </c>
      <c r="Z15" s="56">
        <f t="shared" si="3"/>
        <v>9.9499999999999993</v>
      </c>
      <c r="AA15" s="56">
        <f t="shared" si="3"/>
        <v>9.5499999999999989</v>
      </c>
      <c r="AB15" s="56">
        <f t="shared" si="3"/>
        <v>9.1499999999999986</v>
      </c>
      <c r="AC15" s="56">
        <f t="shared" si="3"/>
        <v>8.75</v>
      </c>
      <c r="AD15" s="56">
        <f t="shared" si="3"/>
        <v>8.35</v>
      </c>
      <c r="AE15" s="56">
        <f>AE20-AE17-AE13</f>
        <v>7.9499999999999993</v>
      </c>
      <c r="AF15" s="56">
        <f t="shared" si="3"/>
        <v>7.5499999999999989</v>
      </c>
      <c r="AG15" s="56">
        <f t="shared" si="3"/>
        <v>7.0499999999999989</v>
      </c>
      <c r="AH15" s="56">
        <f t="shared" si="3"/>
        <v>6.5500000000000025</v>
      </c>
      <c r="AI15" s="56">
        <f t="shared" si="3"/>
        <v>6.0500000000000025</v>
      </c>
      <c r="AJ15" s="56">
        <f>AJ20-AJ17-AJ13</f>
        <v>5.5500000000000025</v>
      </c>
    </row>
    <row r="16" spans="2:36" ht="12" thickBot="1">
      <c r="B16" s="32" t="s">
        <v>3</v>
      </c>
      <c r="C16" s="51">
        <f>C18-C13-C17-C15</f>
        <v>14.999999999999998</v>
      </c>
      <c r="D16" s="51">
        <f>D18-D13-D17-D15</f>
        <v>15.000000000000002</v>
      </c>
      <c r="E16" s="51">
        <f>E18-E13-E17-E15</f>
        <v>12.5</v>
      </c>
      <c r="F16" s="51">
        <f>F18-F13-F17-F15</f>
        <v>13.79</v>
      </c>
      <c r="G16" s="51">
        <f>G18-G13-G17-G15</f>
        <v>14.999999999999998</v>
      </c>
      <c r="H16" s="51">
        <f>H18-H13-H15-H17+0.25</f>
        <v>15.25</v>
      </c>
      <c r="I16" s="51">
        <f t="shared" ref="I16:AH16" si="4">I18-I13-I15-I17</f>
        <v>15</v>
      </c>
      <c r="J16" s="57">
        <f t="shared" si="4"/>
        <v>15</v>
      </c>
      <c r="K16" s="582">
        <f>K18-K13-K15-K17</f>
        <v>14.999999999999996</v>
      </c>
      <c r="L16" s="582">
        <f t="shared" si="4"/>
        <v>15</v>
      </c>
      <c r="M16" s="58">
        <f t="shared" si="4"/>
        <v>14.999999999999998</v>
      </c>
      <c r="N16" s="58">
        <f t="shared" si="4"/>
        <v>15</v>
      </c>
      <c r="O16" s="58">
        <f t="shared" si="4"/>
        <v>15</v>
      </c>
      <c r="P16" s="58">
        <f t="shared" si="4"/>
        <v>15</v>
      </c>
      <c r="Q16" s="58">
        <f t="shared" si="4"/>
        <v>15</v>
      </c>
      <c r="R16" s="58">
        <f t="shared" si="4"/>
        <v>15</v>
      </c>
      <c r="S16" s="58">
        <f t="shared" si="4"/>
        <v>15</v>
      </c>
      <c r="T16" s="58">
        <f t="shared" si="4"/>
        <v>15</v>
      </c>
      <c r="U16" s="58">
        <f t="shared" si="4"/>
        <v>15.000000000000004</v>
      </c>
      <c r="V16" s="58">
        <f>V18-V13-V15-V17</f>
        <v>15</v>
      </c>
      <c r="W16" s="58">
        <f t="shared" si="4"/>
        <v>15</v>
      </c>
      <c r="X16" s="58">
        <f>X18-X13-X15-X17</f>
        <v>15</v>
      </c>
      <c r="Y16" s="58">
        <f t="shared" si="4"/>
        <v>15</v>
      </c>
      <c r="Z16" s="58">
        <f t="shared" si="4"/>
        <v>15.000000000000004</v>
      </c>
      <c r="AA16" s="58">
        <f t="shared" si="4"/>
        <v>15.000000000000007</v>
      </c>
      <c r="AB16" s="58">
        <f t="shared" si="4"/>
        <v>15.000000000000007</v>
      </c>
      <c r="AC16" s="58">
        <f t="shared" si="4"/>
        <v>15</v>
      </c>
      <c r="AD16" s="58">
        <f t="shared" si="4"/>
        <v>15</v>
      </c>
      <c r="AE16" s="58">
        <f t="shared" si="4"/>
        <v>15.000000000000004</v>
      </c>
      <c r="AF16" s="58">
        <f t="shared" si="4"/>
        <v>15.000000000000007</v>
      </c>
      <c r="AG16" s="58">
        <f t="shared" si="4"/>
        <v>15.000000000000007</v>
      </c>
      <c r="AH16" s="58">
        <f t="shared" si="4"/>
        <v>15</v>
      </c>
      <c r="AI16" s="58">
        <f>AI18-AI13-AI15-AI17</f>
        <v>15</v>
      </c>
      <c r="AJ16" s="58">
        <f>AJ18-AJ13-AJ15-AJ17</f>
        <v>15</v>
      </c>
    </row>
    <row r="17" spans="1:36" ht="12" thickBot="1">
      <c r="B17" s="32" t="s">
        <v>4</v>
      </c>
      <c r="C17" s="59">
        <v>0.28799999999999998</v>
      </c>
      <c r="D17" s="59">
        <v>0.41799999999999998</v>
      </c>
      <c r="E17" s="59">
        <v>0.51</v>
      </c>
      <c r="F17" s="59">
        <v>0.56000000000000005</v>
      </c>
      <c r="G17" s="59">
        <v>0.63</v>
      </c>
      <c r="H17" s="59">
        <v>0.84</v>
      </c>
      <c r="I17" s="59">
        <v>1.0900000000000001</v>
      </c>
      <c r="J17" s="57">
        <v>1.38</v>
      </c>
      <c r="K17" s="582">
        <v>1.3</v>
      </c>
      <c r="L17" s="582">
        <v>1.36</v>
      </c>
      <c r="M17" s="58">
        <v>1.4</v>
      </c>
      <c r="N17" s="58">
        <v>3.25</v>
      </c>
      <c r="O17" s="58">
        <v>3.5</v>
      </c>
      <c r="P17" s="58">
        <v>3.75</v>
      </c>
      <c r="Q17" s="58">
        <v>4</v>
      </c>
      <c r="R17" s="58">
        <v>4.25</v>
      </c>
      <c r="S17" s="58">
        <v>4.5</v>
      </c>
      <c r="T17" s="58">
        <v>4.75</v>
      </c>
      <c r="U17" s="58">
        <v>5</v>
      </c>
      <c r="V17" s="58">
        <v>5.25</v>
      </c>
      <c r="W17" s="58">
        <v>5.5</v>
      </c>
      <c r="X17" s="58">
        <v>5.75</v>
      </c>
      <c r="Y17" s="58">
        <v>6</v>
      </c>
      <c r="Z17" s="58">
        <v>6.25</v>
      </c>
      <c r="AA17" s="58">
        <v>7.25</v>
      </c>
      <c r="AB17" s="58">
        <v>8.25</v>
      </c>
      <c r="AC17" s="58">
        <v>9.25</v>
      </c>
      <c r="AD17" s="58">
        <v>10.25</v>
      </c>
      <c r="AE17" s="58">
        <v>11.25</v>
      </c>
      <c r="AF17" s="58">
        <v>12.25</v>
      </c>
      <c r="AG17" s="58">
        <v>13.25</v>
      </c>
      <c r="AH17" s="58">
        <v>14.25</v>
      </c>
      <c r="AI17" s="58">
        <v>15.25</v>
      </c>
      <c r="AJ17" s="58">
        <v>16.25</v>
      </c>
    </row>
    <row r="18" spans="1:36" ht="12" thickBot="1">
      <c r="B18" s="60" t="s">
        <v>18</v>
      </c>
      <c r="C18" s="61">
        <v>19.29</v>
      </c>
      <c r="D18" s="61">
        <v>19.920000000000002</v>
      </c>
      <c r="E18" s="61">
        <v>17.13</v>
      </c>
      <c r="F18" s="61">
        <v>18.84</v>
      </c>
      <c r="G18" s="61">
        <v>20.63</v>
      </c>
      <c r="H18" s="61">
        <v>20.94</v>
      </c>
      <c r="I18" s="61">
        <v>21.54</v>
      </c>
      <c r="J18" s="62">
        <v>22.33</v>
      </c>
      <c r="K18" s="583">
        <v>24.02</v>
      </c>
      <c r="L18" s="583">
        <v>24.46</v>
      </c>
      <c r="M18" s="63">
        <v>25.25</v>
      </c>
      <c r="N18" s="63">
        <v>26.5</v>
      </c>
      <c r="O18" s="63">
        <v>27.6</v>
      </c>
      <c r="P18" s="63">
        <v>28.7</v>
      </c>
      <c r="Q18" s="63">
        <v>29.8</v>
      </c>
      <c r="R18" s="63">
        <v>30.9</v>
      </c>
      <c r="S18" s="63">
        <v>32</v>
      </c>
      <c r="T18" s="63">
        <v>33.1</v>
      </c>
      <c r="U18" s="63">
        <v>34.200000000000003</v>
      </c>
      <c r="V18" s="63">
        <v>35.299999999999997</v>
      </c>
      <c r="W18" s="63">
        <v>36.4</v>
      </c>
      <c r="X18" s="63">
        <v>37.5</v>
      </c>
      <c r="Y18" s="63">
        <v>38.6</v>
      </c>
      <c r="Z18" s="63">
        <v>39.700000000000003</v>
      </c>
      <c r="AA18" s="63">
        <v>40.700000000000003</v>
      </c>
      <c r="AB18" s="63">
        <v>41.7</v>
      </c>
      <c r="AC18" s="63">
        <v>42.7</v>
      </c>
      <c r="AD18" s="63">
        <v>43.7</v>
      </c>
      <c r="AE18" s="63">
        <v>44.7</v>
      </c>
      <c r="AF18" s="63">
        <v>45.7</v>
      </c>
      <c r="AG18" s="63">
        <v>46.7</v>
      </c>
      <c r="AH18" s="63">
        <v>47.7</v>
      </c>
      <c r="AI18" s="63">
        <v>48.7</v>
      </c>
      <c r="AJ18" s="63">
        <v>49.7</v>
      </c>
    </row>
    <row r="19" spans="1:36" ht="12" thickBot="1">
      <c r="A19" s="24">
        <f>H18/G18-1</f>
        <v>1.5026660203587117E-2</v>
      </c>
      <c r="B19" s="64" t="s">
        <v>19</v>
      </c>
      <c r="C19" s="43"/>
      <c r="D19" s="44">
        <f>(D18/C18)-1</f>
        <v>3.2659409020217911E-2</v>
      </c>
      <c r="E19" s="44">
        <f>E18/D18-1</f>
        <v>-0.1400602409638555</v>
      </c>
      <c r="F19" s="44">
        <f>F18/E18-1</f>
        <v>9.9824868651488652E-2</v>
      </c>
      <c r="G19" s="44">
        <f t="shared" ref="G19:AJ19" si="5">G18/F18-1</f>
        <v>9.5010615711252688E-2</v>
      </c>
      <c r="H19" s="44">
        <f t="shared" si="5"/>
        <v>1.5026660203587117E-2</v>
      </c>
      <c r="I19" s="44">
        <f t="shared" si="5"/>
        <v>2.8653295128939771E-2</v>
      </c>
      <c r="J19" s="65">
        <f t="shared" si="5"/>
        <v>3.6675951717734412E-2</v>
      </c>
      <c r="K19" s="584">
        <f t="shared" si="5"/>
        <v>7.5682937751903268E-2</v>
      </c>
      <c r="L19" s="584">
        <f t="shared" si="5"/>
        <v>1.8318068276436339E-2</v>
      </c>
      <c r="M19" s="66">
        <f t="shared" si="5"/>
        <v>3.2297628781684296E-2</v>
      </c>
      <c r="N19" s="66">
        <f>N18/M18-1</f>
        <v>4.9504950495049549E-2</v>
      </c>
      <c r="O19" s="66">
        <f t="shared" si="5"/>
        <v>4.1509433962264142E-2</v>
      </c>
      <c r="P19" s="66">
        <f t="shared" si="5"/>
        <v>3.9855072463768071E-2</v>
      </c>
      <c r="Q19" s="66">
        <f t="shared" si="5"/>
        <v>3.832752613240431E-2</v>
      </c>
      <c r="R19" s="66">
        <f t="shared" si="5"/>
        <v>3.691275167785224E-2</v>
      </c>
      <c r="S19" s="66">
        <f t="shared" si="5"/>
        <v>3.5598705501618255E-2</v>
      </c>
      <c r="T19" s="66">
        <f t="shared" si="5"/>
        <v>3.4375000000000044E-2</v>
      </c>
      <c r="U19" s="66">
        <f t="shared" si="5"/>
        <v>3.3232628398791597E-2</v>
      </c>
      <c r="V19" s="66">
        <f>V18/U18-1</f>
        <v>3.2163742690058283E-2</v>
      </c>
      <c r="W19" s="66">
        <f t="shared" si="5"/>
        <v>3.1161473087818692E-2</v>
      </c>
      <c r="X19" s="66">
        <f t="shared" si="5"/>
        <v>3.0219780219780334E-2</v>
      </c>
      <c r="Y19" s="66">
        <f t="shared" si="5"/>
        <v>2.9333333333333433E-2</v>
      </c>
      <c r="Z19" s="66">
        <f t="shared" si="5"/>
        <v>2.8497409326424972E-2</v>
      </c>
      <c r="AA19" s="66">
        <f t="shared" si="5"/>
        <v>2.5188916876574208E-2</v>
      </c>
      <c r="AB19" s="66">
        <f t="shared" si="5"/>
        <v>2.4570024570024662E-2</v>
      </c>
      <c r="AC19" s="66">
        <f t="shared" si="5"/>
        <v>2.3980815347721895E-2</v>
      </c>
      <c r="AD19" s="66">
        <f t="shared" si="5"/>
        <v>2.3419203747072626E-2</v>
      </c>
      <c r="AE19" s="66">
        <f t="shared" si="5"/>
        <v>2.2883295194507935E-2</v>
      </c>
      <c r="AF19" s="66">
        <f t="shared" si="5"/>
        <v>2.2371364653243742E-2</v>
      </c>
      <c r="AG19" s="66">
        <f t="shared" si="5"/>
        <v>2.1881838074398141E-2</v>
      </c>
      <c r="AH19" s="66">
        <f t="shared" si="5"/>
        <v>2.1413276231263323E-2</v>
      </c>
      <c r="AI19" s="66">
        <f t="shared" si="5"/>
        <v>2.0964360587002018E-2</v>
      </c>
      <c r="AJ19" s="66">
        <f t="shared" si="5"/>
        <v>2.0533880903490731E-2</v>
      </c>
    </row>
    <row r="20" spans="1:36">
      <c r="B20" s="46" t="s">
        <v>5</v>
      </c>
      <c r="C20" s="27">
        <v>4.29</v>
      </c>
      <c r="D20" s="27">
        <v>4.92</v>
      </c>
      <c r="E20" s="67">
        <v>4.63</v>
      </c>
      <c r="F20" s="67">
        <v>5.05</v>
      </c>
      <c r="G20" s="67">
        <v>5.63</v>
      </c>
      <c r="H20" s="67">
        <v>5.94</v>
      </c>
      <c r="I20" s="67">
        <v>6.54</v>
      </c>
      <c r="J20" s="67">
        <v>7.33</v>
      </c>
      <c r="K20" s="67">
        <v>9.02</v>
      </c>
      <c r="L20" s="67">
        <v>9.4600000000000009</v>
      </c>
      <c r="M20" s="67">
        <v>10.25</v>
      </c>
      <c r="N20" s="67">
        <v>11.5</v>
      </c>
      <c r="O20" s="67">
        <v>12.6</v>
      </c>
      <c r="P20" s="67">
        <v>13.7</v>
      </c>
      <c r="Q20" s="67">
        <v>14.8</v>
      </c>
      <c r="R20" s="67">
        <v>15.9</v>
      </c>
      <c r="S20" s="67">
        <v>17</v>
      </c>
      <c r="T20" s="67">
        <v>18.100000000000001</v>
      </c>
      <c r="U20" s="67">
        <v>19.2</v>
      </c>
      <c r="V20" s="67">
        <v>20.3</v>
      </c>
      <c r="W20" s="67">
        <v>21.4</v>
      </c>
      <c r="X20" s="67">
        <v>22.5</v>
      </c>
      <c r="Y20" s="67">
        <v>23.6</v>
      </c>
      <c r="Z20" s="67">
        <v>24.7</v>
      </c>
      <c r="AA20" s="67">
        <v>25.7</v>
      </c>
      <c r="AB20" s="67">
        <v>26.7</v>
      </c>
      <c r="AC20" s="67">
        <v>27.7</v>
      </c>
      <c r="AD20" s="67">
        <v>28.7</v>
      </c>
      <c r="AE20" s="67">
        <v>29.7</v>
      </c>
      <c r="AF20" s="67">
        <v>30.7</v>
      </c>
      <c r="AG20" s="67">
        <v>31.7</v>
      </c>
      <c r="AH20" s="67">
        <v>32.700000000000003</v>
      </c>
      <c r="AI20" s="67">
        <v>33.700000000000003</v>
      </c>
      <c r="AJ20" s="67">
        <v>34.700000000000003</v>
      </c>
    </row>
    <row r="21" spans="1:36" ht="12" hidden="1" thickBot="1">
      <c r="B21" s="29" t="s">
        <v>21</v>
      </c>
      <c r="C21" s="30">
        <v>2018</v>
      </c>
      <c r="D21" s="30">
        <v>2019</v>
      </c>
      <c r="E21" s="68">
        <v>2020</v>
      </c>
      <c r="F21" s="68">
        <v>2021</v>
      </c>
      <c r="G21" s="68">
        <v>2022</v>
      </c>
      <c r="H21" s="68">
        <v>2023</v>
      </c>
      <c r="I21" s="68">
        <v>2024</v>
      </c>
      <c r="J21" s="68">
        <v>2025</v>
      </c>
      <c r="K21" s="68">
        <v>2026</v>
      </c>
      <c r="L21" s="68">
        <v>2027</v>
      </c>
      <c r="M21" s="68">
        <v>2028</v>
      </c>
      <c r="N21" s="69">
        <v>2029</v>
      </c>
      <c r="O21" s="69">
        <v>2030</v>
      </c>
      <c r="P21" s="69">
        <v>2031</v>
      </c>
      <c r="Q21" s="69">
        <v>2032</v>
      </c>
      <c r="R21" s="69">
        <v>2033</v>
      </c>
      <c r="S21" s="69">
        <v>2034</v>
      </c>
      <c r="T21" s="69">
        <v>2035</v>
      </c>
      <c r="U21" s="69">
        <v>2036</v>
      </c>
      <c r="V21" s="69">
        <v>2037</v>
      </c>
      <c r="W21" s="69">
        <v>2038</v>
      </c>
      <c r="X21" s="69">
        <v>2039</v>
      </c>
      <c r="Y21" s="69">
        <v>2040</v>
      </c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</row>
    <row r="22" spans="1:36" ht="18" hidden="1" customHeight="1" thickBot="1">
      <c r="B22" s="32" t="s">
        <v>22</v>
      </c>
      <c r="C22" s="70">
        <v>2.1</v>
      </c>
      <c r="D22" s="70">
        <v>2.1</v>
      </c>
      <c r="E22" s="71">
        <v>2.4300000000000002</v>
      </c>
      <c r="F22" s="71">
        <v>2.5299999999999998</v>
      </c>
      <c r="G22" s="71">
        <v>2.5299999999999998</v>
      </c>
      <c r="H22" s="71">
        <v>2.5299999999999998</v>
      </c>
      <c r="I22" s="71">
        <v>2.5299999999999998</v>
      </c>
      <c r="J22" s="71">
        <v>2.5299999999999998</v>
      </c>
      <c r="K22" s="71">
        <v>2.5299999999999998</v>
      </c>
      <c r="L22" s="71">
        <v>2.5299999999999998</v>
      </c>
      <c r="M22" s="71">
        <v>2.5299999999999998</v>
      </c>
      <c r="N22" s="71">
        <v>2.5299999999999998</v>
      </c>
      <c r="O22" s="71">
        <v>2.5299999999999998</v>
      </c>
      <c r="P22" s="71">
        <v>2.5299999999999998</v>
      </c>
      <c r="Q22" s="71">
        <v>2.5299999999999998</v>
      </c>
      <c r="R22" s="71">
        <v>2.5299999999999998</v>
      </c>
      <c r="S22" s="71">
        <v>2.5299999999999998</v>
      </c>
      <c r="T22" s="71">
        <v>2.5299999999999998</v>
      </c>
      <c r="U22" s="71">
        <v>2.5299999999999998</v>
      </c>
      <c r="V22" s="71">
        <v>2.5299999999999998</v>
      </c>
      <c r="W22" s="71">
        <v>2.5299999999999998</v>
      </c>
      <c r="X22" s="71"/>
      <c r="Y22" s="71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</row>
    <row r="23" spans="1:36" ht="12" hidden="1" thickBot="1">
      <c r="B23" s="35" t="s">
        <v>1</v>
      </c>
      <c r="C23" s="73">
        <v>0.64700000000000002</v>
      </c>
      <c r="D23" s="73">
        <v>1.1839999999999999</v>
      </c>
      <c r="E23" s="74">
        <v>1.1339999999999999</v>
      </c>
      <c r="F23" s="74">
        <v>1.4370000000000001</v>
      </c>
      <c r="G23" s="74">
        <v>1.8939999999999999</v>
      </c>
      <c r="H23" s="74">
        <v>2.3410000000000002</v>
      </c>
      <c r="I23" s="74">
        <v>2.5751000000000004</v>
      </c>
      <c r="J23" s="74">
        <v>2.8326100000000007</v>
      </c>
      <c r="K23" s="74">
        <v>3.1158710000000012</v>
      </c>
      <c r="L23" s="74">
        <v>3.4274581000000017</v>
      </c>
      <c r="M23" s="74">
        <v>3.770203910000002</v>
      </c>
      <c r="N23" s="74">
        <v>4.1472243010000023</v>
      </c>
      <c r="O23" s="74">
        <v>4.5619467311000026</v>
      </c>
      <c r="P23" s="74">
        <v>5.0181414042100032</v>
      </c>
      <c r="Q23" s="74">
        <v>5.5199555446310038</v>
      </c>
      <c r="R23" s="74">
        <v>6.0719510990941048</v>
      </c>
      <c r="S23" s="74">
        <v>6.6791462090035161</v>
      </c>
      <c r="T23" s="74">
        <v>7.3470608299038682</v>
      </c>
      <c r="U23" s="74">
        <v>8.0817669128942562</v>
      </c>
      <c r="V23" s="74">
        <v>8.8899436041836832</v>
      </c>
      <c r="W23" s="74">
        <v>9.7789379646020524</v>
      </c>
      <c r="X23" s="74"/>
      <c r="Y23" s="74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</row>
    <row r="24" spans="1:36" ht="12" hidden="1" thickBot="1">
      <c r="B24" s="37" t="s">
        <v>15</v>
      </c>
      <c r="C24" s="75">
        <v>0.45</v>
      </c>
      <c r="D24" s="75">
        <f>SUM(D23/1.55)</f>
        <v>0.76387096774193541</v>
      </c>
      <c r="E24" s="76">
        <v>0.73161290322580641</v>
      </c>
      <c r="F24" s="76">
        <v>0.92709677419354841</v>
      </c>
      <c r="G24" s="76">
        <v>1.2219354838709677</v>
      </c>
      <c r="H24" s="76">
        <v>1.5103225806451614</v>
      </c>
      <c r="I24" s="76">
        <v>1.6613548387096777</v>
      </c>
      <c r="J24" s="76">
        <v>1.8274903225806456</v>
      </c>
      <c r="K24" s="76">
        <v>2.0102393548387103</v>
      </c>
      <c r="L24" s="76">
        <v>2.2112632903225817</v>
      </c>
      <c r="M24" s="76">
        <v>2.43238961935484</v>
      </c>
      <c r="N24" s="77">
        <v>2.675628581290324</v>
      </c>
      <c r="O24" s="77">
        <v>2.9431914394193566</v>
      </c>
      <c r="P24" s="77">
        <v>3.2375105833612925</v>
      </c>
      <c r="Q24" s="77">
        <v>3.5612616416974219</v>
      </c>
      <c r="R24" s="77">
        <v>3.9173878058671643</v>
      </c>
      <c r="S24" s="77">
        <v>4.309126586453881</v>
      </c>
      <c r="T24" s="77">
        <v>4.7400392450992701</v>
      </c>
      <c r="U24" s="77">
        <v>5.2140431696091971</v>
      </c>
      <c r="V24" s="77">
        <v>5.7354474865701182</v>
      </c>
      <c r="W24" s="77">
        <v>6.3089922352271302</v>
      </c>
      <c r="X24" s="77"/>
      <c r="Y24" s="7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</row>
    <row r="25" spans="1:36" ht="12" hidden="1" thickBot="1">
      <c r="B25" s="32" t="s">
        <v>23</v>
      </c>
      <c r="C25" s="78">
        <v>15</v>
      </c>
      <c r="D25" s="78">
        <v>15</v>
      </c>
      <c r="E25" s="79">
        <v>15</v>
      </c>
      <c r="F25" s="79">
        <v>15</v>
      </c>
      <c r="G25" s="79">
        <v>15</v>
      </c>
      <c r="H25" s="79">
        <v>15</v>
      </c>
      <c r="I25" s="79">
        <v>15</v>
      </c>
      <c r="J25" s="79">
        <v>15</v>
      </c>
      <c r="K25" s="79">
        <v>15</v>
      </c>
      <c r="L25" s="79">
        <v>15</v>
      </c>
      <c r="M25" s="79">
        <v>15</v>
      </c>
      <c r="N25" s="79">
        <v>15</v>
      </c>
      <c r="O25" s="79">
        <v>15</v>
      </c>
      <c r="P25" s="79">
        <v>15</v>
      </c>
      <c r="Q25" s="79">
        <v>15</v>
      </c>
      <c r="R25" s="79">
        <v>15</v>
      </c>
      <c r="S25" s="79">
        <v>15</v>
      </c>
      <c r="T25" s="79">
        <v>15</v>
      </c>
      <c r="U25" s="79">
        <v>15</v>
      </c>
      <c r="V25" s="79">
        <v>15</v>
      </c>
      <c r="W25" s="79">
        <v>15</v>
      </c>
      <c r="X25" s="79"/>
      <c r="Y25" s="79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</row>
    <row r="26" spans="1:36" ht="12" hidden="1" thickBot="1">
      <c r="B26" s="32" t="s">
        <v>24</v>
      </c>
      <c r="C26" s="80">
        <v>0.28799999999999998</v>
      </c>
      <c r="D26" s="80">
        <v>0.38100000000000001</v>
      </c>
      <c r="E26" s="79">
        <v>0.41910000000000003</v>
      </c>
      <c r="F26" s="79">
        <v>0.46101000000000009</v>
      </c>
      <c r="G26" s="79">
        <v>0.50711100000000009</v>
      </c>
      <c r="H26" s="79">
        <v>0.5578221000000001</v>
      </c>
      <c r="I26" s="79">
        <v>0.61360431000000015</v>
      </c>
      <c r="J26" s="79">
        <v>0.67496474100000026</v>
      </c>
      <c r="K26" s="79">
        <v>0.74246121510000029</v>
      </c>
      <c r="L26" s="79">
        <v>0.81670733661000039</v>
      </c>
      <c r="M26" s="79">
        <v>0.89837807027100047</v>
      </c>
      <c r="N26" s="79">
        <v>0.98821587729810056</v>
      </c>
      <c r="O26" s="79">
        <v>1.0870374650279107</v>
      </c>
      <c r="P26" s="79">
        <v>1.1957412115307018</v>
      </c>
      <c r="Q26" s="79">
        <v>1.3153153326837721</v>
      </c>
      <c r="R26" s="79">
        <v>1.4468468659521494</v>
      </c>
      <c r="S26" s="79">
        <v>1.5915315525473646</v>
      </c>
      <c r="T26" s="79">
        <v>1.7506847078021011</v>
      </c>
      <c r="U26" s="79">
        <v>1.9257531785823114</v>
      </c>
      <c r="V26" s="79">
        <v>2.1183284964405429</v>
      </c>
      <c r="W26" s="79">
        <v>2.3301613460845974</v>
      </c>
      <c r="X26" s="79"/>
      <c r="Y26" s="79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</row>
    <row r="27" spans="1:36" ht="12" hidden="1" thickBot="1">
      <c r="B27" s="40" t="s">
        <v>18</v>
      </c>
      <c r="C27" s="81">
        <f>SUM(C22+C24+C25+C26)</f>
        <v>17.838000000000001</v>
      </c>
      <c r="D27" s="81">
        <f>SUM(D22+D24+D25+D26)</f>
        <v>18.244870967741935</v>
      </c>
      <c r="E27" s="82">
        <v>18.580712903225805</v>
      </c>
      <c r="F27" s="82">
        <v>18.91810677419355</v>
      </c>
      <c r="G27" s="82">
        <v>19.259046483870968</v>
      </c>
      <c r="H27" s="82">
        <v>19.598144680645159</v>
      </c>
      <c r="I27" s="82">
        <v>19.804959148709678</v>
      </c>
      <c r="J27" s="82">
        <v>20.032455063580645</v>
      </c>
      <c r="K27" s="82">
        <v>20.282700569938712</v>
      </c>
      <c r="L27" s="82">
        <v>20.557970626932583</v>
      </c>
      <c r="M27" s="82">
        <v>20.860767689625838</v>
      </c>
      <c r="N27" s="82">
        <v>21.193844458588423</v>
      </c>
      <c r="O27" s="82">
        <v>21.560228904447268</v>
      </c>
      <c r="P27" s="82">
        <v>21.963251794891995</v>
      </c>
      <c r="Q27" s="82">
        <v>22.406576974381196</v>
      </c>
      <c r="R27" s="82">
        <v>22.894234671819316</v>
      </c>
      <c r="S27" s="82">
        <v>23.430658139001245</v>
      </c>
      <c r="T27" s="82">
        <v>24.020723952901371</v>
      </c>
      <c r="U27" s="82">
        <v>24.669796348191511</v>
      </c>
      <c r="V27" s="82">
        <v>25.383775983010661</v>
      </c>
      <c r="W27" s="82">
        <v>26.169153581311729</v>
      </c>
      <c r="X27" s="82"/>
      <c r="Y27" s="82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</row>
    <row r="28" spans="1:36" ht="12" hidden="1" thickBot="1">
      <c r="B28" s="42" t="s">
        <v>19</v>
      </c>
      <c r="C28" s="81"/>
      <c r="D28" s="44">
        <f>(D27/C27)-1</f>
        <v>2.2809225683481094E-2</v>
      </c>
      <c r="E28" s="83">
        <v>1.8407471123126129E-2</v>
      </c>
      <c r="F28" s="83">
        <v>1.8158284492365784E-2</v>
      </c>
      <c r="G28" s="83">
        <v>1.8021872576726272E-2</v>
      </c>
      <c r="H28" s="83">
        <v>1.7607216279278415E-2</v>
      </c>
      <c r="I28" s="83">
        <v>1.055275748978235E-2</v>
      </c>
      <c r="J28" s="83">
        <v>1.1486815658783511E-2</v>
      </c>
      <c r="K28" s="83">
        <v>1.2492003878896263E-2</v>
      </c>
      <c r="L28" s="83">
        <v>1.3571666950596084E-2</v>
      </c>
      <c r="M28" s="83">
        <v>1.4728937412556098E-2</v>
      </c>
      <c r="N28" s="83">
        <v>1.5966659229335267E-2</v>
      </c>
      <c r="O28" s="83">
        <v>1.728730464992978E-2</v>
      </c>
      <c r="P28" s="83">
        <v>1.8692885508353463E-2</v>
      </c>
      <c r="Q28" s="83">
        <v>2.0184860767853419E-2</v>
      </c>
      <c r="R28" s="83">
        <v>2.1764042673527939E-2</v>
      </c>
      <c r="S28" s="83">
        <v>2.3430504442335298E-2</v>
      </c>
      <c r="T28" s="83">
        <v>2.51834929432877E-2</v>
      </c>
      <c r="U28" s="83">
        <v>2.7021350254172516E-2</v>
      </c>
      <c r="V28" s="83">
        <v>2.8941448269048653E-2</v>
      </c>
      <c r="W28" s="83">
        <v>3.0940140616853906E-2</v>
      </c>
      <c r="X28" s="83"/>
      <c r="Y28" s="83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</row>
    <row r="29" spans="1:36" ht="12" thickBot="1">
      <c r="B29" s="24" t="s">
        <v>25</v>
      </c>
      <c r="D29" s="67">
        <f t="shared" ref="D29:AJ29" si="6">D13-C13</f>
        <v>0</v>
      </c>
      <c r="E29" s="67">
        <f t="shared" si="6"/>
        <v>0.33000000000000007</v>
      </c>
      <c r="F29" s="67">
        <f t="shared" si="6"/>
        <v>0</v>
      </c>
      <c r="G29" s="67">
        <f t="shared" si="6"/>
        <v>0.32999999999999963</v>
      </c>
      <c r="H29" s="67">
        <f t="shared" si="6"/>
        <v>6.0000000000000053E-2</v>
      </c>
      <c r="I29" s="67">
        <f>I13-H13</f>
        <v>0.2200000000000002</v>
      </c>
      <c r="J29" s="67">
        <f t="shared" si="6"/>
        <v>0.45999999999999996</v>
      </c>
      <c r="K29" s="67">
        <f t="shared" si="6"/>
        <v>3.62</v>
      </c>
      <c r="L29" s="67">
        <f t="shared" si="6"/>
        <v>0.37999999999999989</v>
      </c>
      <c r="M29" s="67">
        <f>M13-L13</f>
        <v>0.25</v>
      </c>
      <c r="N29" s="67">
        <f t="shared" si="6"/>
        <v>0.25</v>
      </c>
      <c r="O29" s="67">
        <f t="shared" si="6"/>
        <v>0.25</v>
      </c>
      <c r="P29" s="67">
        <f t="shared" si="6"/>
        <v>0.25</v>
      </c>
      <c r="Q29" s="67">
        <f t="shared" si="6"/>
        <v>0.25</v>
      </c>
      <c r="R29" s="67">
        <f t="shared" si="6"/>
        <v>0.25</v>
      </c>
      <c r="S29" s="67">
        <f t="shared" si="6"/>
        <v>9.9999999999999645E-2</v>
      </c>
      <c r="T29" s="67">
        <f t="shared" si="6"/>
        <v>9.9999999999999645E-2</v>
      </c>
      <c r="U29" s="67">
        <f t="shared" si="6"/>
        <v>0.10000000000000142</v>
      </c>
      <c r="V29" s="67">
        <f t="shared" si="6"/>
        <v>9.9999999999999645E-2</v>
      </c>
      <c r="W29" s="67">
        <f t="shared" si="6"/>
        <v>9.9999999999999645E-2</v>
      </c>
      <c r="X29" s="67">
        <f t="shared" si="6"/>
        <v>-1.7000000000000002</v>
      </c>
      <c r="Y29" s="67">
        <f t="shared" si="6"/>
        <v>0.35000000000000053</v>
      </c>
      <c r="Z29" s="67">
        <f t="shared" si="6"/>
        <v>0.34999999999999964</v>
      </c>
      <c r="AA29" s="67">
        <f t="shared" si="6"/>
        <v>0.40000000000000036</v>
      </c>
      <c r="AB29" s="67">
        <f t="shared" si="6"/>
        <v>0.40000000000000036</v>
      </c>
      <c r="AC29" s="67">
        <f t="shared" si="6"/>
        <v>0.39999999999999858</v>
      </c>
      <c r="AD29" s="67">
        <f t="shared" si="6"/>
        <v>0.40000000000000036</v>
      </c>
      <c r="AE29" s="67">
        <f t="shared" si="6"/>
        <v>0.40000000000000036</v>
      </c>
      <c r="AF29" s="67">
        <f t="shared" si="6"/>
        <v>0.40000000000000036</v>
      </c>
      <c r="AG29" s="67">
        <f t="shared" si="6"/>
        <v>0.5</v>
      </c>
      <c r="AH29" s="67">
        <f t="shared" si="6"/>
        <v>0.5</v>
      </c>
      <c r="AI29" s="67">
        <f t="shared" si="6"/>
        <v>0.5</v>
      </c>
      <c r="AJ29" s="67">
        <f t="shared" si="6"/>
        <v>0.5</v>
      </c>
    </row>
    <row r="30" spans="1:36" ht="12" thickBot="1">
      <c r="B30" s="84" t="s">
        <v>26</v>
      </c>
      <c r="C30" s="85">
        <v>2018</v>
      </c>
      <c r="D30" s="85">
        <v>2019</v>
      </c>
      <c r="E30" s="30">
        <v>2020</v>
      </c>
      <c r="F30" s="30">
        <v>2021</v>
      </c>
      <c r="G30" s="30">
        <v>2022</v>
      </c>
      <c r="H30" s="30">
        <v>2023</v>
      </c>
      <c r="I30" s="30">
        <v>2024</v>
      </c>
      <c r="J30" s="48">
        <v>2025</v>
      </c>
      <c r="K30" s="579">
        <v>2026</v>
      </c>
      <c r="L30" s="579">
        <v>2027</v>
      </c>
      <c r="M30" s="49">
        <v>2028</v>
      </c>
      <c r="N30" s="50">
        <v>2029</v>
      </c>
      <c r="O30" s="50">
        <v>2030</v>
      </c>
      <c r="P30" s="50">
        <v>2031</v>
      </c>
      <c r="Q30" s="50">
        <v>2032</v>
      </c>
      <c r="R30" s="50">
        <v>2033</v>
      </c>
      <c r="S30" s="50">
        <v>2034</v>
      </c>
      <c r="T30" s="50">
        <v>2035</v>
      </c>
      <c r="U30" s="50">
        <v>2036</v>
      </c>
      <c r="V30" s="50">
        <v>2037</v>
      </c>
      <c r="W30" s="50">
        <v>2038</v>
      </c>
      <c r="X30" s="50">
        <v>2039</v>
      </c>
      <c r="Y30" s="50">
        <v>2040</v>
      </c>
      <c r="Z30" s="50">
        <v>2041</v>
      </c>
      <c r="AA30" s="50">
        <v>2042</v>
      </c>
      <c r="AB30" s="50">
        <v>2043</v>
      </c>
      <c r="AC30" s="50">
        <v>2044</v>
      </c>
      <c r="AD30" s="50">
        <v>2045</v>
      </c>
      <c r="AE30" s="50">
        <v>2046</v>
      </c>
      <c r="AF30" s="50">
        <v>2047</v>
      </c>
      <c r="AG30" s="50">
        <v>2048</v>
      </c>
      <c r="AH30" s="50">
        <v>2049</v>
      </c>
      <c r="AI30" s="50">
        <v>2050</v>
      </c>
      <c r="AJ30" s="50">
        <v>2051</v>
      </c>
    </row>
    <row r="31" spans="1:36">
      <c r="B31" s="86" t="s">
        <v>27</v>
      </c>
      <c r="C31" s="87">
        <f>('[1]D4 Gallon Forecast'!J$12+'[1]D4 Gallon Forecast'!J$16+'[1]D5 Gallon Forecast'!J$10+'[1]D6 Gallon Forecast'!J$14+'[1]D6 Gallon Forecast'!J$15)/1000000000</f>
        <v>0.30984663699999998</v>
      </c>
      <c r="D31" s="87">
        <f>('[1]D4 Gallon Forecast'!K$12+'[1]D4 Gallon Forecast'!K$16+'[1]D5 Gallon Forecast'!K$10+'[1]D6 Gallon Forecast'!K$14+'[1]D6 Gallon Forecast'!K$15)/1000000000</f>
        <v>0.42037309699999997</v>
      </c>
      <c r="E31" s="88">
        <f>('[1]D4 Gallon Forecast'!L$12+'[1]D4 Gallon Forecast'!L$16+'[1]D5 Gallon Forecast'!L$10+'[1]D6 Gallon Forecast'!L$14+'[1]D6 Gallon Forecast'!L$15)/1000000000</f>
        <v>0.43547989199999998</v>
      </c>
      <c r="F31" s="88">
        <f>('[1]D4 Gallon Forecast'!M$12+'[1]D4 Gallon Forecast'!M$16+'[1]D5 Gallon Forecast'!M$10+'[1]D6 Gallon Forecast'!M$14+'[1]D6 Gallon Forecast'!M$15)/1000000000</f>
        <v>0.47100703300000002</v>
      </c>
      <c r="G31" s="88">
        <f>('[1]D4 Gallon Forecast'!N$12+'[1]D4 Gallon Forecast'!N$16+'[1]D5 Gallon Forecast'!N$10+'[1]D6 Gallon Forecast'!N$14+'[1]D6 Gallon Forecast'!N$15)/1000000000</f>
        <v>0.44642244800000003</v>
      </c>
      <c r="H31" s="88">
        <f>('[1]D4 Gallon Forecast'!O$12+'[1]D4 Gallon Forecast'!O$16+'[1]D5 Gallon Forecast'!O$10+'[1]D6 Gallon Forecast'!O$14+'[1]D6 Gallon Forecast'!O$15)/1000000000</f>
        <v>0.480751926</v>
      </c>
      <c r="I31" s="88">
        <f>('[1]D4 Gallon Forecast'!P$12+'[1]D4 Gallon Forecast'!P$16+'[1]D5 Gallon Forecast'!P$10+'[1]D6 Gallon Forecast'!P$14+'[1]D6 Gallon Forecast'!P$15)/1000000000</f>
        <v>0.42645882699999998</v>
      </c>
      <c r="J31" s="52">
        <f>0.5-0.4-0.05+0.2</f>
        <v>0.25</v>
      </c>
      <c r="K31" s="585">
        <v>0.32500000000000001</v>
      </c>
      <c r="L31" s="585">
        <v>0.3</v>
      </c>
      <c r="M31" s="89">
        <v>0.27500000000000002</v>
      </c>
      <c r="N31" s="89">
        <v>0.25</v>
      </c>
      <c r="O31" s="89">
        <v>0.22500000000000001</v>
      </c>
      <c r="P31" s="89">
        <v>0.22500000000000001</v>
      </c>
      <c r="Q31" s="89">
        <v>0.2</v>
      </c>
      <c r="R31" s="89">
        <v>0.19</v>
      </c>
      <c r="S31" s="89">
        <v>0.18</v>
      </c>
      <c r="T31" s="89">
        <v>0.18</v>
      </c>
      <c r="U31" s="89">
        <v>7.4999999999999997E-2</v>
      </c>
      <c r="V31" s="89">
        <v>0.05</v>
      </c>
      <c r="W31" s="89">
        <v>0.05</v>
      </c>
      <c r="X31" s="89">
        <v>0.05</v>
      </c>
      <c r="Y31" s="89">
        <v>0.05</v>
      </c>
      <c r="Z31" s="89">
        <v>0.05</v>
      </c>
      <c r="AA31" s="89">
        <v>0.05</v>
      </c>
      <c r="AB31" s="89">
        <v>0.05</v>
      </c>
      <c r="AC31" s="89">
        <v>0.05</v>
      </c>
      <c r="AD31" s="89">
        <v>0.05</v>
      </c>
      <c r="AE31" s="89">
        <v>0.05</v>
      </c>
      <c r="AF31" s="89">
        <v>0.05</v>
      </c>
      <c r="AG31" s="89">
        <v>0.05</v>
      </c>
      <c r="AH31" s="89">
        <v>0.05</v>
      </c>
      <c r="AI31" s="89">
        <v>0.05</v>
      </c>
      <c r="AJ31" s="89">
        <v>0.05</v>
      </c>
    </row>
    <row r="32" spans="1:36" ht="12" thickBot="1">
      <c r="B32" s="90" t="s">
        <v>28</v>
      </c>
      <c r="C32" s="91">
        <f>('[1]D4 Gallon Forecast'!J$6+'[1]D6 Gallon Forecast'!J$5)/1000000000</f>
        <v>0.17514132099999999</v>
      </c>
      <c r="D32" s="92">
        <f>('[1]D4 Gallon Forecast'!J$6+'[1]D6 Gallon Forecast'!J$5)/1000000000</f>
        <v>0.17514132099999999</v>
      </c>
      <c r="E32" s="93">
        <f>('[1]D4 Gallon Forecast'!J$6+'[1]D6 Gallon Forecast'!J$5)/1000000000</f>
        <v>0.17514132099999999</v>
      </c>
      <c r="F32" s="93">
        <f>('[1]D4 Gallon Forecast'!J$6+'[1]D6 Gallon Forecast'!J$5)/1000000000</f>
        <v>0.17514132099999999</v>
      </c>
      <c r="G32" s="93">
        <f>('[1]D4 Gallon Forecast'!K$6+'[1]D6 Gallon Forecast'!K$5)/1000000000</f>
        <v>0.184741553</v>
      </c>
      <c r="H32" s="93">
        <f>('[1]D4 Gallon Forecast'!L$6+'[1]D6 Gallon Forecast'!L$5)/1000000000</f>
        <v>0.20949367399999999</v>
      </c>
      <c r="I32" s="93">
        <f>('[1]D4 Gallon Forecast'!M$6+'[1]D6 Gallon Forecast'!M$5)/1000000000</f>
        <v>0.208450727</v>
      </c>
      <c r="J32" s="94">
        <f>0.2-0.075-0.06+0.275</f>
        <v>0.34</v>
      </c>
      <c r="K32" s="586">
        <v>0.19</v>
      </c>
      <c r="L32" s="586">
        <v>0.2</v>
      </c>
      <c r="M32" s="95">
        <v>0.22</v>
      </c>
      <c r="N32" s="95">
        <v>0.22</v>
      </c>
      <c r="O32" s="95">
        <v>0.23</v>
      </c>
      <c r="P32" s="95">
        <v>0.21</v>
      </c>
      <c r="Q32" s="95">
        <v>0.19</v>
      </c>
      <c r="R32" s="95">
        <v>0.18</v>
      </c>
      <c r="S32" s="95">
        <v>0.17499999999999999</v>
      </c>
      <c r="T32" s="95">
        <v>0.16</v>
      </c>
      <c r="U32" s="95">
        <v>0.13</v>
      </c>
      <c r="V32" s="95">
        <v>0.11</v>
      </c>
      <c r="W32" s="95">
        <v>0.09</v>
      </c>
      <c r="X32" s="95">
        <v>7.4999999999999997E-2</v>
      </c>
      <c r="Y32" s="95">
        <v>7.4999999999999997E-2</v>
      </c>
      <c r="Z32" s="95">
        <v>7.4999999999999997E-2</v>
      </c>
      <c r="AA32" s="95">
        <v>7.4999999999999997E-2</v>
      </c>
      <c r="AB32" s="95">
        <v>7.4999999999999997E-2</v>
      </c>
      <c r="AC32" s="95">
        <v>7.4999999999999997E-2</v>
      </c>
      <c r="AD32" s="95">
        <v>7.4999999999999997E-2</v>
      </c>
      <c r="AE32" s="95">
        <v>7.4999999999999997E-2</v>
      </c>
      <c r="AF32" s="95">
        <v>7.4999999999999997E-2</v>
      </c>
      <c r="AG32" s="95">
        <v>7.4999999999999997E-2</v>
      </c>
      <c r="AH32" s="95">
        <v>7.4999999999999997E-2</v>
      </c>
      <c r="AI32" s="95">
        <v>7.4999999999999997E-2</v>
      </c>
      <c r="AJ32" s="95">
        <v>7.4999999999999997E-2</v>
      </c>
    </row>
    <row r="33" spans="1:36" ht="12" thickBot="1"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</row>
    <row r="34" spans="1:36" ht="12" thickBot="1">
      <c r="B34" s="97" t="s">
        <v>29</v>
      </c>
      <c r="C34" s="85">
        <v>2018</v>
      </c>
      <c r="D34" s="85">
        <v>2019</v>
      </c>
      <c r="E34" s="85">
        <v>2020</v>
      </c>
      <c r="F34" s="85">
        <v>2021</v>
      </c>
      <c r="G34" s="85">
        <v>2022</v>
      </c>
      <c r="H34" s="85">
        <v>2023</v>
      </c>
      <c r="I34" s="85">
        <v>2024</v>
      </c>
      <c r="J34" s="98">
        <v>2025</v>
      </c>
      <c r="K34" s="587">
        <v>2026</v>
      </c>
      <c r="L34" s="587">
        <v>2027</v>
      </c>
      <c r="M34" s="50">
        <v>2028</v>
      </c>
      <c r="N34" s="50">
        <v>2029</v>
      </c>
      <c r="O34" s="50">
        <v>2030</v>
      </c>
      <c r="P34" s="50">
        <v>2031</v>
      </c>
      <c r="Q34" s="50">
        <v>2032</v>
      </c>
      <c r="R34" s="50">
        <v>2033</v>
      </c>
      <c r="S34" s="50">
        <v>2034</v>
      </c>
      <c r="T34" s="50">
        <v>2035</v>
      </c>
      <c r="U34" s="50">
        <v>2036</v>
      </c>
      <c r="V34" s="50">
        <v>2037</v>
      </c>
      <c r="W34" s="50">
        <v>2038</v>
      </c>
      <c r="X34" s="50">
        <v>2039</v>
      </c>
      <c r="Y34" s="50">
        <v>2040</v>
      </c>
      <c r="Z34" s="50">
        <v>2041</v>
      </c>
      <c r="AA34" s="50">
        <v>2042</v>
      </c>
      <c r="AB34" s="50">
        <v>2043</v>
      </c>
      <c r="AC34" s="50">
        <v>2044</v>
      </c>
      <c r="AD34" s="50">
        <v>2045</v>
      </c>
      <c r="AE34" s="50">
        <v>2046</v>
      </c>
      <c r="AF34" s="50">
        <v>2047</v>
      </c>
      <c r="AG34" s="50">
        <v>2048</v>
      </c>
      <c r="AH34" s="50">
        <v>2049</v>
      </c>
      <c r="AI34" s="50">
        <v>2050</v>
      </c>
      <c r="AJ34" s="50">
        <v>2051</v>
      </c>
    </row>
    <row r="35" spans="1:36">
      <c r="B35" s="99"/>
      <c r="C35" s="100"/>
      <c r="D35" s="100"/>
      <c r="E35" s="100"/>
      <c r="F35" s="100"/>
      <c r="G35" s="100"/>
      <c r="H35" s="100"/>
      <c r="I35" s="100"/>
      <c r="J35" s="101"/>
      <c r="K35" s="588"/>
      <c r="L35" s="588"/>
      <c r="M35" s="99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</row>
    <row r="36" spans="1:36">
      <c r="B36" s="99" t="s">
        <v>28</v>
      </c>
      <c r="C36" s="103">
        <f t="shared" ref="C36:I36" si="7">C45/C50</f>
        <v>0.84864409199735646</v>
      </c>
      <c r="D36" s="103">
        <f t="shared" si="7"/>
        <v>0.76417914358808481</v>
      </c>
      <c r="E36" s="103">
        <f t="shared" si="7"/>
        <v>0.75608362011205765</v>
      </c>
      <c r="F36" s="103">
        <f t="shared" si="7"/>
        <v>0.65122171752728664</v>
      </c>
      <c r="G36" s="103">
        <f t="shared" si="7"/>
        <v>0.51282078921943675</v>
      </c>
      <c r="H36" s="103">
        <f t="shared" si="7"/>
        <v>0.39962456663342427</v>
      </c>
      <c r="I36" s="103">
        <f t="shared" si="7"/>
        <v>0.33985616461946039</v>
      </c>
      <c r="J36" s="104">
        <f>1-J38-J40-J41</f>
        <v>0.36849999999999999</v>
      </c>
      <c r="K36" s="589">
        <f t="shared" ref="K36:Z36" si="8">1-K38-K40-K41</f>
        <v>0.30218210888224212</v>
      </c>
      <c r="L36" s="589">
        <f t="shared" si="8"/>
        <v>0.24299999999999994</v>
      </c>
      <c r="M36" s="105">
        <f t="shared" si="8"/>
        <v>0.20249999999999993</v>
      </c>
      <c r="N36" s="105">
        <f t="shared" si="8"/>
        <v>0.21799999999999997</v>
      </c>
      <c r="O36" s="105">
        <f t="shared" si="8"/>
        <v>0.21299999999999997</v>
      </c>
      <c r="P36" s="105">
        <f t="shared" si="8"/>
        <v>0.19375000000000003</v>
      </c>
      <c r="Q36" s="105">
        <f t="shared" si="8"/>
        <v>0.1245</v>
      </c>
      <c r="R36" s="105">
        <f t="shared" si="8"/>
        <v>8.3999999999999964E-2</v>
      </c>
      <c r="S36" s="105">
        <f t="shared" si="8"/>
        <v>0.11375000000000002</v>
      </c>
      <c r="T36" s="105">
        <f t="shared" si="8"/>
        <v>0.11375000000000002</v>
      </c>
      <c r="U36" s="105">
        <f t="shared" si="8"/>
        <v>9.5499999999999974E-2</v>
      </c>
      <c r="V36" s="105">
        <f t="shared" si="8"/>
        <v>6.8000000000000005E-2</v>
      </c>
      <c r="W36" s="105">
        <f t="shared" si="8"/>
        <v>6.0499999999999998E-2</v>
      </c>
      <c r="X36" s="105">
        <f t="shared" si="8"/>
        <v>4.8999999999999988E-2</v>
      </c>
      <c r="Y36" s="105">
        <f t="shared" si="8"/>
        <v>2.6249999999999996E-2</v>
      </c>
      <c r="Z36" s="105">
        <f t="shared" si="8"/>
        <v>2.899999999999997E-2</v>
      </c>
      <c r="AA36" s="105">
        <f>1-AA38-AA40-AA41</f>
        <v>2.6999999999999968E-2</v>
      </c>
      <c r="AB36" s="105">
        <v>1.9E-2</v>
      </c>
      <c r="AC36" s="105">
        <v>1.9E-2</v>
      </c>
      <c r="AD36" s="105">
        <v>1.9E-2</v>
      </c>
      <c r="AE36" s="105">
        <v>1.9E-2</v>
      </c>
      <c r="AF36" s="105">
        <v>1.9E-2</v>
      </c>
      <c r="AG36" s="105">
        <v>1.9E-2</v>
      </c>
      <c r="AH36" s="105">
        <v>1.9E-2</v>
      </c>
      <c r="AI36" s="105">
        <v>1.9E-2</v>
      </c>
      <c r="AJ36" s="105">
        <v>1.9E-2</v>
      </c>
    </row>
    <row r="37" spans="1:36">
      <c r="B37" s="99"/>
      <c r="C37" s="103"/>
      <c r="D37" s="103"/>
      <c r="E37" s="103"/>
      <c r="F37" s="103"/>
      <c r="G37" s="103"/>
      <c r="H37" s="103"/>
      <c r="I37" s="103"/>
      <c r="J37" s="104"/>
      <c r="K37" s="589"/>
      <c r="L37" s="589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</row>
    <row r="38" spans="1:36">
      <c r="B38" s="99" t="s">
        <v>30</v>
      </c>
      <c r="C38" s="103">
        <f t="shared" ref="C38:I38" si="9">C46/C50</f>
        <v>0.13972200108228547</v>
      </c>
      <c r="D38" s="103">
        <f t="shared" si="9"/>
        <v>0.21944612792794119</v>
      </c>
      <c r="E38" s="103">
        <f t="shared" si="9"/>
        <v>0.22104375555660249</v>
      </c>
      <c r="F38" s="103">
        <f t="shared" si="9"/>
        <v>0.32298295422855278</v>
      </c>
      <c r="G38" s="103">
        <f t="shared" si="9"/>
        <v>0.46063618282015217</v>
      </c>
      <c r="H38" s="103">
        <f t="shared" si="9"/>
        <v>0.5802162696274854</v>
      </c>
      <c r="I38" s="103">
        <f t="shared" si="9"/>
        <v>0.63860753640137036</v>
      </c>
      <c r="J38" s="104">
        <v>0.6</v>
      </c>
      <c r="K38" s="589">
        <v>0.6</v>
      </c>
      <c r="L38" s="589">
        <v>0.56000000000000005</v>
      </c>
      <c r="M38" s="105">
        <v>0.56000000000000005</v>
      </c>
      <c r="N38" s="105">
        <v>0.51</v>
      </c>
      <c r="O38" s="105">
        <v>0.5</v>
      </c>
      <c r="P38" s="105">
        <v>0.5</v>
      </c>
      <c r="Q38" s="105">
        <v>0.5</v>
      </c>
      <c r="R38" s="105">
        <v>0.5</v>
      </c>
      <c r="S38" s="105">
        <v>0.47</v>
      </c>
      <c r="T38" s="105">
        <v>0.47</v>
      </c>
      <c r="U38" s="105">
        <v>0.46500000000000002</v>
      </c>
      <c r="V38" s="105">
        <v>0.49</v>
      </c>
      <c r="W38" s="105">
        <v>0.49</v>
      </c>
      <c r="X38" s="105">
        <v>0.495</v>
      </c>
      <c r="Y38" s="105">
        <v>0.495</v>
      </c>
      <c r="Z38" s="105">
        <v>0.495</v>
      </c>
      <c r="AA38" s="105">
        <v>0.495</v>
      </c>
      <c r="AB38" s="105">
        <f>1-AB36-AB40-AB41</f>
        <v>0.495</v>
      </c>
      <c r="AC38" s="105">
        <f>1-AC36-AC40-AC41</f>
        <v>0.49</v>
      </c>
      <c r="AD38" s="105">
        <f>1-AD36-AD40-AD41</f>
        <v>0.47529999999999994</v>
      </c>
      <c r="AE38" s="105">
        <f t="shared" ref="AE38:AJ38" si="10">1-AE36-AE40-AE41</f>
        <v>0.44550000000000001</v>
      </c>
      <c r="AF38" s="105">
        <f t="shared" si="10"/>
        <v>0.42599999999999993</v>
      </c>
      <c r="AG38" s="105">
        <f t="shared" si="10"/>
        <v>0.42599999999999993</v>
      </c>
      <c r="AH38" s="105">
        <f t="shared" si="10"/>
        <v>0.42599999999999993</v>
      </c>
      <c r="AI38" s="105">
        <f t="shared" si="10"/>
        <v>0.42649999999999999</v>
      </c>
      <c r="AJ38" s="105">
        <f t="shared" si="10"/>
        <v>0.42599999999999993</v>
      </c>
    </row>
    <row r="39" spans="1:36">
      <c r="B39" s="99"/>
      <c r="C39" s="103"/>
      <c r="D39" s="103"/>
      <c r="E39" s="103"/>
      <c r="F39" s="103"/>
      <c r="G39" s="103"/>
      <c r="H39" s="103"/>
      <c r="I39" s="103"/>
      <c r="J39" s="104"/>
      <c r="K39" s="589"/>
      <c r="L39" s="589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</row>
    <row r="40" spans="1:36">
      <c r="B40" s="99" t="s">
        <v>31</v>
      </c>
      <c r="C40" s="103">
        <f t="shared" ref="C40:I40" si="11">C47/C50</f>
        <v>1.0797737711080495E-2</v>
      </c>
      <c r="D40" s="103">
        <f t="shared" si="11"/>
        <v>1.5291759625486019E-2</v>
      </c>
      <c r="E40" s="103">
        <f t="shared" si="11"/>
        <v>2.0963267471618093E-2</v>
      </c>
      <c r="F40" s="103">
        <f t="shared" si="11"/>
        <v>2.3855897212311118E-2</v>
      </c>
      <c r="G40" s="103">
        <f t="shared" si="11"/>
        <v>2.4044730155396907E-2</v>
      </c>
      <c r="H40" s="103">
        <f t="shared" si="11"/>
        <v>1.7245699194491648E-2</v>
      </c>
      <c r="I40" s="103">
        <f t="shared" si="11"/>
        <v>1.366515462090411E-2</v>
      </c>
      <c r="J40" s="104">
        <v>1.6500000000000001E-2</v>
      </c>
      <c r="K40" s="589">
        <v>1.6500000000000001E-2</v>
      </c>
      <c r="L40" s="589">
        <v>1.7000000000000001E-2</v>
      </c>
      <c r="M40" s="105">
        <v>1.7500000000000002E-2</v>
      </c>
      <c r="N40" s="105">
        <v>1.7000000000000001E-2</v>
      </c>
      <c r="O40" s="105">
        <v>1.7000000000000001E-2</v>
      </c>
      <c r="P40" s="105">
        <v>1.6250000000000001E-2</v>
      </c>
      <c r="Q40" s="105">
        <v>1.55E-2</v>
      </c>
      <c r="R40" s="105">
        <v>1.6E-2</v>
      </c>
      <c r="S40" s="105">
        <v>1.6250000000000001E-2</v>
      </c>
      <c r="T40" s="105">
        <v>1.6250000000000001E-2</v>
      </c>
      <c r="U40" s="105">
        <v>1.4500000000000001E-2</v>
      </c>
      <c r="V40" s="105">
        <v>1.4500000000000001E-2</v>
      </c>
      <c r="W40" s="105">
        <v>1.4500000000000001E-2</v>
      </c>
      <c r="X40" s="105">
        <v>1.6E-2</v>
      </c>
      <c r="Y40" s="105">
        <v>1.6750000000000001E-2</v>
      </c>
      <c r="Z40" s="105">
        <v>1.6E-2</v>
      </c>
      <c r="AA40" s="105">
        <v>1.6E-2</v>
      </c>
      <c r="AB40" s="105">
        <v>1.6E-2</v>
      </c>
      <c r="AC40" s="105">
        <v>1.6E-2</v>
      </c>
      <c r="AD40" s="105">
        <v>1.5699999999999999E-2</v>
      </c>
      <c r="AE40" s="105">
        <v>1.55E-2</v>
      </c>
      <c r="AF40" s="105">
        <v>1.4999999999999999E-2</v>
      </c>
      <c r="AG40" s="105">
        <v>1.4999999999999999E-2</v>
      </c>
      <c r="AH40" s="105">
        <v>1.4999999999999999E-2</v>
      </c>
      <c r="AI40" s="105">
        <v>1.4500000000000001E-2</v>
      </c>
      <c r="AJ40" s="105">
        <v>1.4999999999999999E-2</v>
      </c>
    </row>
    <row r="41" spans="1:36" ht="12" thickBot="1">
      <c r="B41" s="106" t="s">
        <v>32</v>
      </c>
      <c r="C41" s="107">
        <f t="shared" ref="C41:I41" si="12">C48/C50</f>
        <v>8.3616920927765098E-4</v>
      </c>
      <c r="D41" s="107">
        <f t="shared" si="12"/>
        <v>1.0829688584880479E-3</v>
      </c>
      <c r="E41" s="107">
        <f t="shared" si="12"/>
        <v>1.9093568597218053E-3</v>
      </c>
      <c r="F41" s="107">
        <f t="shared" si="12"/>
        <v>1.939431031849526E-3</v>
      </c>
      <c r="G41" s="107">
        <f t="shared" si="12"/>
        <v>2.4982978050142766E-3</v>
      </c>
      <c r="H41" s="107">
        <f t="shared" si="12"/>
        <v>2.9134645445988627E-3</v>
      </c>
      <c r="I41" s="107">
        <f t="shared" si="12"/>
        <v>7.8711443582650861E-3</v>
      </c>
      <c r="J41" s="108">
        <v>1.4999999999999999E-2</v>
      </c>
      <c r="K41" s="590">
        <v>8.1317891117757904E-2</v>
      </c>
      <c r="L41" s="590">
        <v>0.18</v>
      </c>
      <c r="M41" s="109">
        <v>0.22</v>
      </c>
      <c r="N41" s="109">
        <v>0.255</v>
      </c>
      <c r="O41" s="109">
        <v>0.27</v>
      </c>
      <c r="P41" s="109">
        <v>0.28999999999999998</v>
      </c>
      <c r="Q41" s="109">
        <v>0.36</v>
      </c>
      <c r="R41" s="109">
        <v>0.4</v>
      </c>
      <c r="S41" s="109">
        <v>0.4</v>
      </c>
      <c r="T41" s="109">
        <v>0.4</v>
      </c>
      <c r="U41" s="109">
        <v>0.42499999999999999</v>
      </c>
      <c r="V41" s="109">
        <v>0.42749999999999999</v>
      </c>
      <c r="W41" s="109">
        <v>0.435</v>
      </c>
      <c r="X41" s="109">
        <v>0.44</v>
      </c>
      <c r="Y41" s="109">
        <v>0.46200000000000002</v>
      </c>
      <c r="Z41" s="109">
        <v>0.46</v>
      </c>
      <c r="AA41" s="109">
        <v>0.46200000000000002</v>
      </c>
      <c r="AB41" s="109">
        <v>0.47</v>
      </c>
      <c r="AC41" s="109">
        <v>0.47499999999999998</v>
      </c>
      <c r="AD41" s="109">
        <v>0.49</v>
      </c>
      <c r="AE41" s="109">
        <v>0.52</v>
      </c>
      <c r="AF41" s="109">
        <v>0.54</v>
      </c>
      <c r="AG41" s="109">
        <v>0.54</v>
      </c>
      <c r="AH41" s="109">
        <v>0.54</v>
      </c>
      <c r="AI41" s="109">
        <v>0.54</v>
      </c>
      <c r="AJ41" s="109">
        <v>0.54</v>
      </c>
    </row>
    <row r="42" spans="1:36">
      <c r="C42" s="110">
        <f>+C40+C38+C36</f>
        <v>0.99916383079072246</v>
      </c>
      <c r="D42" s="110">
        <f>+D40+D38+D36</f>
        <v>0.99891703114151198</v>
      </c>
      <c r="E42" s="110">
        <f>+E40+E38+E36</f>
        <v>0.99809064314027829</v>
      </c>
      <c r="F42" s="110">
        <f>+F40+F38+F36</f>
        <v>0.99806056896815054</v>
      </c>
      <c r="G42" s="110">
        <f>+G40+G38+G36+G41</f>
        <v>1.0000000000000002</v>
      </c>
      <c r="H42" s="110">
        <f>+H40+H38+H36+H41</f>
        <v>1.0000000000000002</v>
      </c>
      <c r="I42" s="110">
        <f>+I40+I38+I36+I41</f>
        <v>1</v>
      </c>
      <c r="J42" s="111">
        <f>+J40+J38+J36+J41</f>
        <v>0.99999999999999989</v>
      </c>
      <c r="K42" s="591">
        <f t="shared" ref="K42:R42" si="13">+K40+K38+K36+K41</f>
        <v>1</v>
      </c>
      <c r="L42" s="591">
        <f t="shared" si="13"/>
        <v>1</v>
      </c>
      <c r="M42" s="112">
        <f t="shared" si="13"/>
        <v>0.99999999999999989</v>
      </c>
      <c r="N42" s="112">
        <f t="shared" si="13"/>
        <v>1</v>
      </c>
      <c r="O42" s="112">
        <f t="shared" si="13"/>
        <v>1</v>
      </c>
      <c r="P42" s="112">
        <f t="shared" si="13"/>
        <v>1</v>
      </c>
      <c r="Q42" s="112">
        <f t="shared" si="13"/>
        <v>0.99999999999999989</v>
      </c>
      <c r="R42" s="112">
        <f t="shared" si="13"/>
        <v>1</v>
      </c>
      <c r="S42" s="112">
        <f>+S40+S38+S36+S41</f>
        <v>1</v>
      </c>
      <c r="T42" s="112">
        <f t="shared" ref="T42:AI42" si="14">+T40+T38+T36+T41</f>
        <v>1</v>
      </c>
      <c r="U42" s="112">
        <f t="shared" si="14"/>
        <v>1</v>
      </c>
      <c r="V42" s="112">
        <f t="shared" si="14"/>
        <v>1</v>
      </c>
      <c r="W42" s="112">
        <f t="shared" si="14"/>
        <v>1</v>
      </c>
      <c r="X42" s="112">
        <f t="shared" si="14"/>
        <v>1</v>
      </c>
      <c r="Y42" s="112">
        <f t="shared" si="14"/>
        <v>1</v>
      </c>
      <c r="Z42" s="112">
        <f t="shared" si="14"/>
        <v>1</v>
      </c>
      <c r="AA42" s="112">
        <f t="shared" si="14"/>
        <v>1</v>
      </c>
      <c r="AB42" s="112">
        <f t="shared" si="14"/>
        <v>1</v>
      </c>
      <c r="AC42" s="112">
        <f t="shared" si="14"/>
        <v>1</v>
      </c>
      <c r="AD42" s="112">
        <f t="shared" si="14"/>
        <v>0.99999999999999989</v>
      </c>
      <c r="AE42" s="112">
        <f t="shared" si="14"/>
        <v>1</v>
      </c>
      <c r="AF42" s="112">
        <f t="shared" si="14"/>
        <v>1</v>
      </c>
      <c r="AG42" s="112">
        <f t="shared" si="14"/>
        <v>1</v>
      </c>
      <c r="AH42" s="112">
        <f t="shared" si="14"/>
        <v>1</v>
      </c>
      <c r="AI42" s="112">
        <f t="shared" si="14"/>
        <v>1</v>
      </c>
      <c r="AJ42" s="112">
        <f>+AJ40+AJ38+AJ36+AJ41</f>
        <v>1</v>
      </c>
    </row>
    <row r="43" spans="1:36">
      <c r="B43" s="24" t="s">
        <v>33</v>
      </c>
      <c r="C43" s="26">
        <f t="shared" ref="C43:AI43" si="15">C13+C15+C16+C17-C18</f>
        <v>0</v>
      </c>
      <c r="D43" s="26">
        <f t="shared" si="15"/>
        <v>0</v>
      </c>
      <c r="E43" s="26">
        <f t="shared" si="15"/>
        <v>0</v>
      </c>
      <c r="F43" s="26">
        <f t="shared" si="15"/>
        <v>0</v>
      </c>
      <c r="G43" s="26">
        <f t="shared" si="15"/>
        <v>0</v>
      </c>
      <c r="H43" s="26">
        <f>H13+H15+H16+H17-H18</f>
        <v>0.25</v>
      </c>
      <c r="I43" s="26">
        <f t="shared" si="15"/>
        <v>0</v>
      </c>
      <c r="J43" s="26">
        <f>J13+J15+J16+J17-J18</f>
        <v>0</v>
      </c>
      <c r="K43" s="26">
        <f t="shared" si="15"/>
        <v>0</v>
      </c>
      <c r="L43" s="26">
        <f t="shared" si="15"/>
        <v>0</v>
      </c>
      <c r="M43" s="26">
        <f t="shared" si="15"/>
        <v>0</v>
      </c>
      <c r="N43" s="26">
        <f t="shared" si="15"/>
        <v>0</v>
      </c>
      <c r="O43" s="26">
        <f t="shared" si="15"/>
        <v>0</v>
      </c>
      <c r="P43" s="26">
        <f t="shared" si="15"/>
        <v>0</v>
      </c>
      <c r="Q43" s="26">
        <f t="shared" si="15"/>
        <v>0</v>
      </c>
      <c r="R43" s="26">
        <f t="shared" si="15"/>
        <v>0</v>
      </c>
      <c r="S43" s="26">
        <f t="shared" si="15"/>
        <v>0</v>
      </c>
      <c r="T43" s="26">
        <f t="shared" si="15"/>
        <v>0</v>
      </c>
      <c r="U43" s="26">
        <f t="shared" si="15"/>
        <v>0</v>
      </c>
      <c r="V43" s="26">
        <f t="shared" si="15"/>
        <v>0</v>
      </c>
      <c r="W43" s="26">
        <f t="shared" si="15"/>
        <v>0</v>
      </c>
      <c r="X43" s="26">
        <f t="shared" si="15"/>
        <v>0</v>
      </c>
      <c r="Y43" s="26">
        <f t="shared" si="15"/>
        <v>0</v>
      </c>
      <c r="Z43" s="26">
        <f t="shared" si="15"/>
        <v>0</v>
      </c>
      <c r="AA43" s="26">
        <f t="shared" si="15"/>
        <v>0</v>
      </c>
      <c r="AB43" s="26">
        <f t="shared" si="15"/>
        <v>0</v>
      </c>
      <c r="AC43" s="26">
        <f t="shared" si="15"/>
        <v>0</v>
      </c>
      <c r="AD43" s="26">
        <f t="shared" si="15"/>
        <v>0</v>
      </c>
      <c r="AE43" s="26">
        <f t="shared" si="15"/>
        <v>0</v>
      </c>
      <c r="AF43" s="26">
        <f t="shared" si="15"/>
        <v>0</v>
      </c>
      <c r="AG43" s="26">
        <f t="shared" si="15"/>
        <v>0</v>
      </c>
      <c r="AH43" s="26">
        <f t="shared" si="15"/>
        <v>0</v>
      </c>
      <c r="AI43" s="26">
        <f t="shared" si="15"/>
        <v>0</v>
      </c>
      <c r="AJ43" s="26">
        <f>AJ13+AJ15+AJ16+AJ17-AJ18</f>
        <v>0</v>
      </c>
    </row>
    <row r="44" spans="1:36">
      <c r="A44" s="67"/>
      <c r="B44" s="67">
        <f>I46-A46</f>
        <v>3.137465664</v>
      </c>
      <c r="C44" s="113">
        <f t="shared" ref="C44:H44" si="16">SUM(C45:C47)</f>
        <v>2.1845450820000001</v>
      </c>
      <c r="D44" s="113">
        <f t="shared" si="16"/>
        <v>2.2402045749999999</v>
      </c>
      <c r="E44" s="113">
        <f t="shared" si="16"/>
        <v>2.4089786559999999</v>
      </c>
      <c r="F44" s="113">
        <f t="shared" si="16"/>
        <v>2.6125070479999999</v>
      </c>
      <c r="G44" s="113">
        <f t="shared" si="16"/>
        <v>3.1515128329999995</v>
      </c>
      <c r="H44" s="113">
        <f t="shared" si="16"/>
        <v>4.1721048459999999</v>
      </c>
      <c r="I44" s="114">
        <v>4.3545542620302786</v>
      </c>
      <c r="J44" s="114">
        <v>4.6493276105087302</v>
      </c>
      <c r="K44" s="113">
        <v>4.5239078707761715</v>
      </c>
      <c r="L44" s="113">
        <v>5.3043942872108234</v>
      </c>
      <c r="M44" s="113">
        <v>5.3865977898452986</v>
      </c>
      <c r="N44" s="113">
        <v>5.944938384012401</v>
      </c>
      <c r="O44" s="113">
        <v>6.3592444419032859</v>
      </c>
      <c r="P44" s="113">
        <v>6.9156532706252607</v>
      </c>
      <c r="Q44" s="113">
        <v>8.2211924460203463</v>
      </c>
      <c r="R44" s="113">
        <v>8.1723929425203359</v>
      </c>
      <c r="S44" s="113">
        <v>8.4329569519988627</v>
      </c>
      <c r="T44" s="113">
        <v>8.9370047936697219</v>
      </c>
      <c r="U44" s="113">
        <v>9.7946444466595057</v>
      </c>
      <c r="V44" s="113">
        <v>10.590316489595208</v>
      </c>
      <c r="W44" s="113">
        <v>11.677655774714646</v>
      </c>
      <c r="X44" s="113">
        <v>11.560222782156849</v>
      </c>
      <c r="Y44" s="113">
        <v>11.03542318593589</v>
      </c>
      <c r="Z44" s="113">
        <v>11.595087119878396</v>
      </c>
      <c r="AA44" s="113">
        <v>12.182493191936848</v>
      </c>
      <c r="AB44" s="113">
        <v>13.153666987173732</v>
      </c>
      <c r="AC44" s="113">
        <v>13.482164831862512</v>
      </c>
      <c r="AD44" s="113">
        <v>13.713509675241038</v>
      </c>
      <c r="AE44" s="113">
        <v>13.827718939449612</v>
      </c>
      <c r="AF44" s="113">
        <v>14.043791309389864</v>
      </c>
      <c r="AG44" s="113">
        <v>14.581207383461564</v>
      </c>
      <c r="AH44" s="113">
        <v>15.107492935714056</v>
      </c>
      <c r="AI44" s="113">
        <v>15.768495432132983</v>
      </c>
      <c r="AJ44" s="113">
        <v>16.985484873389744</v>
      </c>
    </row>
    <row r="45" spans="1:36">
      <c r="B45" s="115" t="s">
        <v>28</v>
      </c>
      <c r="C45" s="116">
        <f>('[1]D4 Gallon Forecast'!J$4+'[1]D6 Gallon Forecast'!J$4)/1000000000</f>
        <v>1.85545275</v>
      </c>
      <c r="D45" s="116">
        <f>('[1]D4 Gallon Forecast'!K$4+'[1]D6 Gallon Forecast'!K$4)/1000000000</f>
        <v>1.713773577</v>
      </c>
      <c r="E45" s="116">
        <f>('[1]D4 Gallon Forecast'!L$4+'[1]D6 Gallon Forecast'!L$4)/1000000000</f>
        <v>1.8248736379999999</v>
      </c>
      <c r="F45" s="116">
        <f>('[1]D4 Gallon Forecast'!M$4+'[1]D6 Gallon Forecast'!M$4)/1000000000</f>
        <v>1.704627334</v>
      </c>
      <c r="G45" s="116">
        <f>('[1]D4 Gallon Forecast'!N$4+'[1]D6 Gallon Forecast'!N$4)/1000000000</f>
        <v>1.6202090629999999</v>
      </c>
      <c r="H45" s="116">
        <f>('[1]D4 Gallon Forecast'!O$4+'[1]D6 Gallon Forecast'!O$4)/1000000000</f>
        <v>1.6721473330000001</v>
      </c>
      <c r="I45" s="116">
        <f>('[1]D4 Gallon Forecast'!P$4+'[1]D6 Gallon Forecast'!P$4)/1000000000</f>
        <v>1.6697063320000001</v>
      </c>
      <c r="J45" s="117">
        <f>(J44*J36)+(AVERAGE(I50-I44,H50-H44,G50-G44,F50-F44,E50-E44))-0.25</f>
        <v>1.5809160410664111</v>
      </c>
      <c r="K45" s="592">
        <f>(K44*K36)+(AVERAGE(J50-J44,I50-I44,H50-H44,G50-G44,F50-F44))</f>
        <v>1.4562889208928502</v>
      </c>
      <c r="L45" s="592">
        <f>(L44*L36)+((AVERAGE(K50-K44,J50-J44,I50-I44,H50-H44,G50-G44)*L36))+0.15</f>
        <v>1.4741037746967698</v>
      </c>
      <c r="M45" s="118">
        <f>(M44*M36)+((AVERAGE(L50-L44,K50-K44,J50-J44,I50-I44,H50-H44)*M36))+0.05</f>
        <v>1.1900367778718348</v>
      </c>
      <c r="N45" s="118">
        <f>(N44*N36)+((AVERAGE(M50-M44,L50-L44,K50-K44,J50-J44,I50-I44)*N36))+0.02</f>
        <v>1.3937372358532385</v>
      </c>
      <c r="O45" s="118">
        <f>(O44*O36)+((AVERAGE(N50-N44,M50-M44,L50-L44,K50-K44,J50-J44)*O36))</f>
        <v>1.431556783575296</v>
      </c>
      <c r="P45" s="118">
        <f t="shared" ref="P45:AJ45" si="17">(P44*P36)+((AVERAGE(O50-O44,N50-N44,M50-M44,L50-L44,K50-K44)*P36))</f>
        <v>1.436439275890566</v>
      </c>
      <c r="Q45" s="118">
        <f>(Q44*Q36)+((AVERAGE(P50-P44,O50-O44,N50-N44,M50-M44,L50-L44)*Q36))+0.4</f>
        <v>1.4914821547054964</v>
      </c>
      <c r="R45" s="118">
        <f>(R44*R36)+((AVERAGE(Q50-Q44,P50-P44,O50-O44,N50-N44,M50-M44)*R36))+0.3</f>
        <v>1.0367201658333904</v>
      </c>
      <c r="S45" s="118">
        <f>(S44*S36)+((AVERAGE(R50-R44,Q50-Q44,P50-P44,O50-O44,N50-N44)*S36))+0.3</f>
        <v>1.3349140122352912</v>
      </c>
      <c r="T45" s="118">
        <f>(T44*T36)+((AVERAGE(S50-S44,R50-R44,Q50-Q44,P50-P44,O50-O44)*T36))+0.2</f>
        <v>1.3032997336258769</v>
      </c>
      <c r="U45" s="118">
        <f t="shared" si="17"/>
        <v>1.0191015416860563</v>
      </c>
      <c r="V45" s="118">
        <f t="shared" si="17"/>
        <v>0.78288317154872755</v>
      </c>
      <c r="W45" s="118">
        <f t="shared" si="17"/>
        <v>0.75985761463568102</v>
      </c>
      <c r="X45" s="118">
        <f t="shared" si="17"/>
        <v>0.60315308077925434</v>
      </c>
      <c r="Y45" s="118">
        <f t="shared" si="17"/>
        <v>0.30470374764333696</v>
      </c>
      <c r="Z45" s="118">
        <f t="shared" si="17"/>
        <v>0.35025761720065324</v>
      </c>
      <c r="AA45" s="118">
        <f t="shared" si="17"/>
        <v>0.34189790660752356</v>
      </c>
      <c r="AB45" s="118">
        <f t="shared" si="17"/>
        <v>0.25913543924485949</v>
      </c>
      <c r="AC45" s="118">
        <f t="shared" si="17"/>
        <v>0.2651114741936863</v>
      </c>
      <c r="AD45" s="118">
        <f t="shared" si="17"/>
        <v>0.26902199476006389</v>
      </c>
      <c r="AE45" s="118">
        <f t="shared" si="17"/>
        <v>0.26854567420251296</v>
      </c>
      <c r="AF45" s="118">
        <f t="shared" si="17"/>
        <v>0.26967250508195562</v>
      </c>
      <c r="AG45" s="118">
        <f t="shared" si="17"/>
        <v>0.27726190549302393</v>
      </c>
      <c r="AH45" s="118">
        <f t="shared" si="17"/>
        <v>0.28521263013278242</v>
      </c>
      <c r="AI45" s="118">
        <f t="shared" si="17"/>
        <v>0.29509552276939643</v>
      </c>
      <c r="AJ45" s="118">
        <f t="shared" si="17"/>
        <v>0.3145543748802998</v>
      </c>
    </row>
    <row r="46" spans="1:36">
      <c r="B46" s="119" t="s">
        <v>34</v>
      </c>
      <c r="C46" s="116">
        <f>('[1]D4 Gallon Forecast'!J$8+'[1]D6 Gallon Forecast'!J$13+'[1]D5 Gallon Forecast'!J$7)/1000000000</f>
        <v>0.30548444699999999</v>
      </c>
      <c r="D46" s="116">
        <f>('[1]D4 Gallon Forecast'!K$8+'[1]D6 Gallon Forecast'!K$13+'[1]D5 Gallon Forecast'!K$7)/1000000000</f>
        <v>0.49213718899999997</v>
      </c>
      <c r="E46" s="116">
        <f>('[1]D4 Gallon Forecast'!L$8+'[1]D6 Gallon Forecast'!L$13+'[1]D5 Gallon Forecast'!L$7)/1000000000</f>
        <v>0.53350834700000005</v>
      </c>
      <c r="F46" s="116">
        <f>('[1]D4 Gallon Forecast'!M$8+'[1]D6 Gallon Forecast'!M$13+'[1]D5 Gallon Forecast'!M$7)/1000000000</f>
        <v>0.84543490700000001</v>
      </c>
      <c r="G46" s="116">
        <f>('[1]D4 Gallon Forecast'!N$8+'[1]D6 Gallon Forecast'!N$13+'[1]D5 Gallon Forecast'!N$7)/1000000000</f>
        <v>1.455336706</v>
      </c>
      <c r="H46" s="116">
        <f>('[1]D4 Gallon Forecast'!O$8+'[1]D6 Gallon Forecast'!O$13+'[1]D5 Gallon Forecast'!O$7)/1000000000</f>
        <v>2.4277964089999999</v>
      </c>
      <c r="I46" s="116">
        <f>('[1]D4 Gallon Forecast'!P$8+'[1]D6 Gallon Forecast'!P$13+'[1]D5 Gallon Forecast'!P$7)/1000000000</f>
        <v>3.137465664</v>
      </c>
      <c r="J46" s="117">
        <f t="shared" ref="J46:X46" si="18">J44*J38</f>
        <v>2.7895965663052382</v>
      </c>
      <c r="K46" s="592">
        <f t="shared" si="18"/>
        <v>2.7143447224657029</v>
      </c>
      <c r="L46" s="592">
        <f t="shared" si="18"/>
        <v>2.9704608008380613</v>
      </c>
      <c r="M46" s="120">
        <f t="shared" si="18"/>
        <v>3.0164947623133673</v>
      </c>
      <c r="N46" s="120">
        <f t="shared" si="18"/>
        <v>3.0319185758463245</v>
      </c>
      <c r="O46" s="120">
        <f t="shared" si="18"/>
        <v>3.1796222209516429</v>
      </c>
      <c r="P46" s="120">
        <f t="shared" si="18"/>
        <v>3.4578266353126303</v>
      </c>
      <c r="Q46" s="120">
        <f t="shared" si="18"/>
        <v>4.1105962230101731</v>
      </c>
      <c r="R46" s="120">
        <f t="shared" si="18"/>
        <v>4.0861964712601679</v>
      </c>
      <c r="S46" s="120">
        <f t="shared" si="18"/>
        <v>3.9634897674394653</v>
      </c>
      <c r="T46" s="120">
        <f t="shared" si="18"/>
        <v>4.200392253024769</v>
      </c>
      <c r="U46" s="120">
        <f t="shared" si="18"/>
        <v>4.5545096676966708</v>
      </c>
      <c r="V46" s="120">
        <f t="shared" si="18"/>
        <v>5.1892550799016517</v>
      </c>
      <c r="W46" s="120">
        <f>W44*W38</f>
        <v>5.722051329610176</v>
      </c>
      <c r="X46" s="120">
        <f t="shared" si="18"/>
        <v>5.7223102771676402</v>
      </c>
      <c r="Y46" s="120">
        <f>Y44*Y38</f>
        <v>5.4625344770382656</v>
      </c>
      <c r="Z46" s="120">
        <f>Z44*Z38</f>
        <v>5.7395681243398062</v>
      </c>
      <c r="AA46" s="120">
        <f>AA44*AA38</f>
        <v>6.0303341300087396</v>
      </c>
      <c r="AB46" s="120">
        <f>AB44*AB38</f>
        <v>6.5110651586509976</v>
      </c>
      <c r="AC46" s="120">
        <f>AC44*AC38</f>
        <v>6.606260767612631</v>
      </c>
      <c r="AD46" s="120">
        <f t="shared" ref="AD46:AJ46" si="19">AD44*AD38</f>
        <v>6.5180311486420646</v>
      </c>
      <c r="AE46" s="120">
        <f t="shared" si="19"/>
        <v>6.160248787524802</v>
      </c>
      <c r="AF46" s="120">
        <f t="shared" si="19"/>
        <v>5.9826550978000812</v>
      </c>
      <c r="AG46" s="120">
        <f t="shared" si="19"/>
        <v>6.2115943453546256</v>
      </c>
      <c r="AH46" s="120">
        <f t="shared" si="19"/>
        <v>6.4357919906141872</v>
      </c>
      <c r="AI46" s="120">
        <f t="shared" si="19"/>
        <v>6.7252633018047172</v>
      </c>
      <c r="AJ46" s="120">
        <f t="shared" si="19"/>
        <v>7.2358165560640302</v>
      </c>
    </row>
    <row r="47" spans="1:36">
      <c r="B47" s="119" t="s">
        <v>35</v>
      </c>
      <c r="C47" s="116">
        <f>'[1]D5 Gallon Forecast'!J$7/1000000000</f>
        <v>2.3607884999999999E-2</v>
      </c>
      <c r="D47" s="116">
        <f>'[1]D5 Gallon Forecast'!K$7/1000000000</f>
        <v>3.4293809000000001E-2</v>
      </c>
      <c r="E47" s="116">
        <f>'[1]D5 Gallon Forecast'!L$7/1000000000</f>
        <v>5.0596671000000003E-2</v>
      </c>
      <c r="F47" s="116">
        <f>'[1]D5 Gallon Forecast'!M$7/1000000000</f>
        <v>6.2444806999999998E-2</v>
      </c>
      <c r="G47" s="116">
        <f>'[1]D5 Gallon Forecast'!N$7/1000000000</f>
        <v>7.5967064000000001E-2</v>
      </c>
      <c r="H47" s="116">
        <f>'[1]D5 Gallon Forecast'!O$7/1000000000</f>
        <v>7.2161104000000004E-2</v>
      </c>
      <c r="I47" s="116">
        <f>'[1]D5 Gallon Forecast'!P$7/1000000000</f>
        <v>6.7136623000000006E-2</v>
      </c>
      <c r="J47" s="117">
        <f>J44*J40-0.015</f>
        <v>6.1713905573394054E-2</v>
      </c>
      <c r="K47" s="592">
        <f>K44*K40</f>
        <v>7.464447986780684E-2</v>
      </c>
      <c r="L47" s="592">
        <f>L44*L40</f>
        <v>9.0174702882584001E-2</v>
      </c>
      <c r="M47" s="120">
        <f t="shared" ref="M47:X47" si="20">M44*M40</f>
        <v>9.4265461322292729E-2</v>
      </c>
      <c r="N47" s="120">
        <f t="shared" si="20"/>
        <v>0.10106395252821082</v>
      </c>
      <c r="O47" s="120">
        <f t="shared" si="20"/>
        <v>0.10810715551235586</v>
      </c>
      <c r="P47" s="120">
        <f t="shared" si="20"/>
        <v>0.11237936564766049</v>
      </c>
      <c r="Q47" s="120">
        <f t="shared" si="20"/>
        <v>0.12742848291331538</v>
      </c>
      <c r="R47" s="120">
        <f t="shared" si="20"/>
        <v>0.13075828708032539</v>
      </c>
      <c r="S47" s="120">
        <f t="shared" si="20"/>
        <v>0.13703555046998153</v>
      </c>
      <c r="T47" s="120">
        <f t="shared" si="20"/>
        <v>0.145226327897133</v>
      </c>
      <c r="U47" s="120">
        <f t="shared" si="20"/>
        <v>0.14202234447656284</v>
      </c>
      <c r="V47" s="120">
        <f t="shared" si="20"/>
        <v>0.15355958909913053</v>
      </c>
      <c r="W47" s="120">
        <f t="shared" si="20"/>
        <v>0.16932600873336237</v>
      </c>
      <c r="X47" s="120">
        <f t="shared" si="20"/>
        <v>0.1849635645145096</v>
      </c>
      <c r="Y47" s="120">
        <f>Y44*Y40</f>
        <v>0.18484333836442618</v>
      </c>
      <c r="Z47" s="120">
        <f>Z44*Z40</f>
        <v>0.18552139391805433</v>
      </c>
      <c r="AA47" s="120">
        <f>AA44*AA40</f>
        <v>0.19491989107098956</v>
      </c>
      <c r="AB47" s="120">
        <f>AB44*AB40</f>
        <v>0.21045867179477973</v>
      </c>
      <c r="AC47" s="120">
        <f>AC44*AC40</f>
        <v>0.2157146373098002</v>
      </c>
      <c r="AD47" s="120">
        <f t="shared" ref="AD47:AJ47" si="21">AD44*AD40</f>
        <v>0.21530210190128429</v>
      </c>
      <c r="AE47" s="120">
        <f t="shared" si="21"/>
        <v>0.214329643561469</v>
      </c>
      <c r="AF47" s="120">
        <f t="shared" si="21"/>
        <v>0.21065686964084795</v>
      </c>
      <c r="AG47" s="120">
        <f t="shared" si="21"/>
        <v>0.21871811075192346</v>
      </c>
      <c r="AH47" s="120">
        <f t="shared" si="21"/>
        <v>0.22661239403571085</v>
      </c>
      <c r="AI47" s="120">
        <f t="shared" si="21"/>
        <v>0.22864318376592827</v>
      </c>
      <c r="AJ47" s="120">
        <f t="shared" si="21"/>
        <v>0.25478227310084617</v>
      </c>
    </row>
    <row r="48" spans="1:36">
      <c r="B48" s="115" t="s">
        <v>32</v>
      </c>
      <c r="C48" s="116">
        <f>'[1]D4 Gallon Forecast'!J$21/1000000000</f>
        <v>1.828178E-3</v>
      </c>
      <c r="D48" s="116">
        <f>'[1]D4 Gallon Forecast'!K$21/1000000000</f>
        <v>2.428702E-3</v>
      </c>
      <c r="E48" s="116">
        <f>'[1]D4 Gallon Forecast'!L$21/1000000000</f>
        <v>4.608399E-3</v>
      </c>
      <c r="F48" s="116">
        <f>'[1]D4 Gallon Forecast'!M$21/1000000000</f>
        <v>5.0766229999999997E-3</v>
      </c>
      <c r="G48" s="116">
        <f>'[1]D4 Gallon Forecast'!N$21/1000000000</f>
        <v>7.8931369999999997E-3</v>
      </c>
      <c r="H48" s="116">
        <f>'[1]D4 Gallon Forecast'!O$21/1000000000</f>
        <v>1.2190797E-2</v>
      </c>
      <c r="I48" s="116">
        <f>'[1]D4 Gallon Forecast'!P$21/1000000000</f>
        <v>3.867077E-2</v>
      </c>
      <c r="J48" s="117">
        <f>J44*J41+0.01</f>
        <v>7.9739914157630945E-2</v>
      </c>
      <c r="K48" s="592">
        <f>K49*K41</f>
        <v>0.56044406966803684</v>
      </c>
      <c r="L48" s="592">
        <f>L49*L41</f>
        <v>1.2706532406340421</v>
      </c>
      <c r="M48" s="120">
        <f>M49*M41</f>
        <v>1.6649671380293929</v>
      </c>
      <c r="N48" s="120">
        <f t="shared" ref="N48:X48" si="22">N49*N41</f>
        <v>2.0019980227772405</v>
      </c>
      <c r="O48" s="120">
        <f t="shared" si="22"/>
        <v>2.1853342902382553</v>
      </c>
      <c r="P48" s="120">
        <f t="shared" si="22"/>
        <v>2.4283504577412969</v>
      </c>
      <c r="Q48" s="120">
        <f t="shared" si="22"/>
        <v>3.2544474711804372</v>
      </c>
      <c r="R48" s="120">
        <f t="shared" si="22"/>
        <v>3.8333993097695527</v>
      </c>
      <c r="S48" s="120">
        <f t="shared" si="22"/>
        <v>4.0670235919028048</v>
      </c>
      <c r="T48" s="120">
        <f t="shared" si="22"/>
        <v>4.4046742935525023</v>
      </c>
      <c r="U48" s="120">
        <f t="shared" si="22"/>
        <v>4.8288305675980157</v>
      </c>
      <c r="V48" s="120">
        <f t="shared" si="22"/>
        <v>5.0238949946633253</v>
      </c>
      <c r="W48" s="120">
        <f t="shared" si="22"/>
        <v>5.2763498386335064</v>
      </c>
      <c r="X48" s="120">
        <f t="shared" si="22"/>
        <v>5.2358761531932583</v>
      </c>
      <c r="Y48" s="120">
        <f>Y49*Y41</f>
        <v>5.7520450376268277</v>
      </c>
      <c r="Z48" s="120">
        <f>Z49*Z41</f>
        <v>6.0577121035266366</v>
      </c>
      <c r="AA48" s="120">
        <f>AA49*AA41</f>
        <v>6.197858127525401</v>
      </c>
      <c r="AB48" s="120">
        <f>AB49*AB41</f>
        <v>6.3530882869443275</v>
      </c>
      <c r="AC48" s="120">
        <f>AC49*AC41</f>
        <v>6.4535183889246195</v>
      </c>
      <c r="AD48" s="120">
        <f t="shared" ref="AD48:AJ48" si="23">AD49*AD41</f>
        <v>6.6834640084867569</v>
      </c>
      <c r="AE48" s="120">
        <f t="shared" si="23"/>
        <v>7.1387395455249152</v>
      </c>
      <c r="AF48" s="120">
        <f t="shared" si="23"/>
        <v>7.4734539642759481</v>
      </c>
      <c r="AG48" s="120">
        <f t="shared" si="23"/>
        <v>7.5145817878919301</v>
      </c>
      <c r="AH48" s="120">
        <f t="shared" si="23"/>
        <v>7.5140650951765453</v>
      </c>
      <c r="AI48" s="120">
        <f t="shared" si="23"/>
        <v>7.527606351559152</v>
      </c>
      <c r="AJ48" s="120">
        <f t="shared" si="23"/>
        <v>8.5502704747652327</v>
      </c>
    </row>
    <row r="49" spans="2:36">
      <c r="B49" s="596" t="s">
        <v>36</v>
      </c>
      <c r="C49" s="120">
        <f>'[2]RVO Forecast'!I$40/1000000000</f>
        <v>1.8066396048989706</v>
      </c>
      <c r="D49" s="120">
        <f>'[2]RVO Forecast'!J$40/1000000000</f>
        <v>1.7966063855119176</v>
      </c>
      <c r="E49" s="120">
        <f>'[2]RVO Forecast'!K$40/1000000000</f>
        <v>2.5668769684628825</v>
      </c>
      <c r="F49" s="120">
        <f>'[2]RVO Forecast'!L$40/1000000000</f>
        <v>3.0502287440853721</v>
      </c>
      <c r="G49" s="120">
        <f>'[2]RVO Forecast'!M$40/1000000000</f>
        <v>3.3067873868070476</v>
      </c>
      <c r="H49" s="120">
        <f>'[2]RVO Forecast'!N$40/1000000000</f>
        <v>3.5660867466309072</v>
      </c>
      <c r="I49" s="120">
        <f>'[2]RVO Forecast'!O$40/1000000000</f>
        <v>3.9040062201100922</v>
      </c>
      <c r="J49" s="113">
        <f>'[2]RVO Forecast'!P$40/1000000000</f>
        <v>4.2946517593702485</v>
      </c>
      <c r="K49" s="593">
        <f>'[2]RVO Forecast'!Q$40/1000000000</f>
        <v>6.8920143152316591</v>
      </c>
      <c r="L49" s="593">
        <f>'[2]RVO Forecast'!R$40/1000000000</f>
        <v>7.059184670189123</v>
      </c>
      <c r="M49" s="113">
        <f>'[2]RVO Forecast'!S$40/1000000000</f>
        <v>7.5680324455881491</v>
      </c>
      <c r="N49" s="113">
        <f>'[2]RVO Forecast'!T$40/1000000000</f>
        <v>7.8509726383421192</v>
      </c>
      <c r="O49" s="113">
        <f>'[2]RVO Forecast'!U$40/1000000000</f>
        <v>8.0938307045861304</v>
      </c>
      <c r="P49" s="113">
        <f>'[2]RVO Forecast'!V$40/1000000000</f>
        <v>8.3736222680734382</v>
      </c>
      <c r="Q49" s="113">
        <f>'[2]RVO Forecast'!W$40/1000000000</f>
        <v>9.0401318643901032</v>
      </c>
      <c r="R49" s="113">
        <f>'[2]RVO Forecast'!X$40/1000000000</f>
        <v>9.5834982744238815</v>
      </c>
      <c r="S49" s="113">
        <f>'[2]RVO Forecast'!Y$40/1000000000</f>
        <v>10.167558979757011</v>
      </c>
      <c r="T49" s="113">
        <f>'[2]RVO Forecast'!Z$40/1000000000</f>
        <v>11.011685733881256</v>
      </c>
      <c r="U49" s="113">
        <f>'[2]RVO Forecast'!AA$40/1000000000</f>
        <v>11.361954276701214</v>
      </c>
      <c r="V49" s="113">
        <f>'[2]RVO Forecast'!AB$40/1000000000</f>
        <v>11.751801157107193</v>
      </c>
      <c r="W49" s="113">
        <f>'[2]RVO Forecast'!AC$40/1000000000</f>
        <v>12.1295398589276</v>
      </c>
      <c r="X49" s="113">
        <f>'[2]RVO Forecast'!AD$40/1000000000</f>
        <v>11.899718529984678</v>
      </c>
      <c r="Y49" s="113">
        <f>'[2]RVO Forecast'!AE$40/1000000000</f>
        <v>12.450313934257203</v>
      </c>
      <c r="Z49" s="113">
        <f>'[2]RVO Forecast'!AF$40/1000000000</f>
        <v>13.168939355492688</v>
      </c>
      <c r="AA49" s="113">
        <f>'[2]RVO Forecast'!AG$40/1000000000</f>
        <v>13.415277332306061</v>
      </c>
      <c r="AB49" s="113">
        <f>'[2]RVO Forecast'!AH$40/1000000000</f>
        <v>13.517209121158144</v>
      </c>
      <c r="AC49" s="113">
        <f>'[2]RVO Forecast'!AI$40/1000000000</f>
        <v>13.5863545029992</v>
      </c>
      <c r="AD49" s="113">
        <f>'[2]RVO Forecast'!AJ$40/1000000000</f>
        <v>13.639722466299505</v>
      </c>
      <c r="AE49" s="113">
        <f>'[2]RVO Forecast'!AK$40/1000000000</f>
        <v>13.728345279855606</v>
      </c>
      <c r="AF49" s="113">
        <f>'[2]RVO Forecast'!AL$40/1000000000</f>
        <v>13.839729563473977</v>
      </c>
      <c r="AG49" s="113">
        <f>'[2]RVO Forecast'!AM$40/1000000000</f>
        <v>13.91589219979987</v>
      </c>
      <c r="AH49" s="113">
        <f>'[2]RVO Forecast'!AN$40/1000000000</f>
        <v>13.914935361438046</v>
      </c>
      <c r="AI49" s="113">
        <f>'[2]RVO Forecast'!AO$40/1000000000</f>
        <v>13.940011762146577</v>
      </c>
      <c r="AJ49" s="113">
        <f>'[2]RVO Forecast'!AP$40/1000000000</f>
        <v>15.833834212528208</v>
      </c>
    </row>
    <row r="50" spans="2:36">
      <c r="B50" s="596"/>
      <c r="C50" s="594">
        <f>SUM(C45:C48)</f>
        <v>2.1863732599999999</v>
      </c>
      <c r="D50" s="594">
        <f t="shared" ref="D50:X50" si="24">SUM(D45:D48)</f>
        <v>2.2426332769999999</v>
      </c>
      <c r="E50" s="594">
        <f t="shared" si="24"/>
        <v>2.4135870549999998</v>
      </c>
      <c r="F50" s="594">
        <f t="shared" si="24"/>
        <v>2.6175836709999998</v>
      </c>
      <c r="G50" s="594">
        <f t="shared" si="24"/>
        <v>3.1594059699999995</v>
      </c>
      <c r="H50" s="594">
        <f t="shared" si="24"/>
        <v>4.1842956429999996</v>
      </c>
      <c r="I50" s="594">
        <f t="shared" si="24"/>
        <v>4.9129793890000002</v>
      </c>
      <c r="J50" s="595">
        <f t="shared" si="24"/>
        <v>4.5119664271026751</v>
      </c>
      <c r="K50" s="595">
        <f t="shared" si="24"/>
        <v>4.8057221928943967</v>
      </c>
      <c r="L50" s="595">
        <f t="shared" si="24"/>
        <v>5.8053925190514573</v>
      </c>
      <c r="M50" s="595">
        <f t="shared" si="24"/>
        <v>5.9657641395368879</v>
      </c>
      <c r="N50" s="595">
        <f t="shared" si="24"/>
        <v>6.5287177870050144</v>
      </c>
      <c r="O50" s="595">
        <f t="shared" si="24"/>
        <v>6.9046204502775499</v>
      </c>
      <c r="P50" s="595">
        <f t="shared" si="24"/>
        <v>7.4349957345921531</v>
      </c>
      <c r="Q50" s="595">
        <f>SUM(Q45:Q48)</f>
        <v>8.9839543318094215</v>
      </c>
      <c r="R50" s="595">
        <f>SUM(R45:R48)</f>
        <v>9.0870742339434365</v>
      </c>
      <c r="S50" s="595">
        <f t="shared" si="24"/>
        <v>9.5024629220475418</v>
      </c>
      <c r="T50" s="595">
        <f t="shared" si="24"/>
        <v>10.053592608100281</v>
      </c>
      <c r="U50" s="595">
        <f t="shared" si="24"/>
        <v>10.544464121457306</v>
      </c>
      <c r="V50" s="595">
        <f t="shared" si="24"/>
        <v>11.149592835212836</v>
      </c>
      <c r="W50" s="595">
        <f t="shared" si="24"/>
        <v>11.927584791612727</v>
      </c>
      <c r="X50" s="595">
        <f t="shared" si="24"/>
        <v>11.746303075654662</v>
      </c>
      <c r="Y50" s="595">
        <f>SUM(Y45:Y48)</f>
        <v>11.704126600672856</v>
      </c>
      <c r="Z50" s="595">
        <f>SUM(Z45:Z48)</f>
        <v>12.33305923898515</v>
      </c>
      <c r="AA50" s="595">
        <f>SUM(AA45:AA48)</f>
        <v>12.765010055212654</v>
      </c>
      <c r="AB50" s="595">
        <f>SUM(AB45:AB48)</f>
        <v>13.333747556634965</v>
      </c>
      <c r="AC50" s="595">
        <f>SUM(AC45:AC48)</f>
        <v>13.540605268040736</v>
      </c>
      <c r="AD50" s="595">
        <f t="shared" ref="AD50:AJ50" si="25">SUM(AD45:AD48)</f>
        <v>13.68581925379017</v>
      </c>
      <c r="AE50" s="595">
        <f t="shared" si="25"/>
        <v>13.781863650813699</v>
      </c>
      <c r="AF50" s="595">
        <f t="shared" si="25"/>
        <v>13.936438436798834</v>
      </c>
      <c r="AG50" s="595">
        <f t="shared" si="25"/>
        <v>14.222156149491504</v>
      </c>
      <c r="AH50" s="595">
        <f t="shared" si="25"/>
        <v>14.461682109959225</v>
      </c>
      <c r="AI50" s="595">
        <f t="shared" si="25"/>
        <v>14.776608359899194</v>
      </c>
      <c r="AJ50" s="595">
        <f t="shared" si="25"/>
        <v>16.355423678810411</v>
      </c>
    </row>
    <row r="51" spans="2:36">
      <c r="K51" s="121">
        <f>K50/J50-1</f>
        <v>6.5105928986345374E-2</v>
      </c>
      <c r="L51" s="121">
        <f>L50/K50-1</f>
        <v>0.20801666971826727</v>
      </c>
      <c r="M51" s="121">
        <f>M50/L50-1</f>
        <v>2.7624595573708666E-2</v>
      </c>
      <c r="N51" s="121">
        <f>N44/M44-1</f>
        <v>0.10365366339764126</v>
      </c>
      <c r="O51" s="121">
        <f>O44/N44-1</f>
        <v>6.9690555415186317E-2</v>
      </c>
      <c r="P51" s="121">
        <f>P50/O50-1</f>
        <v>7.6814545873159945E-2</v>
      </c>
      <c r="Q51" s="121">
        <f>Q50/P50-1</f>
        <v>0.20833348834493126</v>
      </c>
      <c r="R51" s="121">
        <f>R50/Q50-1</f>
        <v>1.1478230890922925E-2</v>
      </c>
      <c r="S51" s="121">
        <f t="shared" ref="S51:AJ51" si="26">S50/R50-1</f>
        <v>4.5712038595710158E-2</v>
      </c>
      <c r="T51" s="121">
        <f t="shared" si="26"/>
        <v>5.7998614735345289E-2</v>
      </c>
      <c r="U51" s="121">
        <f t="shared" si="26"/>
        <v>4.8825482838992684E-2</v>
      </c>
      <c r="V51" s="121">
        <f t="shared" si="26"/>
        <v>5.7388285149942542E-2</v>
      </c>
      <c r="W51" s="121">
        <f t="shared" si="26"/>
        <v>6.9777611424770791E-2</v>
      </c>
      <c r="X51" s="121">
        <f t="shared" si="26"/>
        <v>-1.5198526703037007E-2</v>
      </c>
      <c r="Y51" s="121">
        <f t="shared" si="26"/>
        <v>-3.5906169549823064E-3</v>
      </c>
      <c r="Z51" s="121">
        <f t="shared" si="26"/>
        <v>5.3735973624562394E-2</v>
      </c>
      <c r="AA51" s="121">
        <f t="shared" si="26"/>
        <v>3.5023817518211153E-2</v>
      </c>
      <c r="AB51" s="121">
        <f t="shared" si="26"/>
        <v>4.4554410765235808E-2</v>
      </c>
      <c r="AC51" s="121">
        <f t="shared" si="26"/>
        <v>1.5513846390682318E-2</v>
      </c>
      <c r="AD51" s="121">
        <f t="shared" si="26"/>
        <v>1.0724334907847632E-2</v>
      </c>
      <c r="AE51" s="121">
        <f t="shared" si="26"/>
        <v>7.0178039942279113E-3</v>
      </c>
      <c r="AF51" s="121">
        <f t="shared" si="26"/>
        <v>1.1215811584089241E-2</v>
      </c>
      <c r="AG51" s="121">
        <f t="shared" si="26"/>
        <v>2.0501487090004211E-2</v>
      </c>
      <c r="AH51" s="121">
        <f t="shared" si="26"/>
        <v>1.6841747337747126E-2</v>
      </c>
      <c r="AI51" s="121">
        <f t="shared" si="26"/>
        <v>2.1776598845516748E-2</v>
      </c>
      <c r="AJ51" s="121">
        <f t="shared" si="26"/>
        <v>0.10684558191281646</v>
      </c>
    </row>
    <row r="52" spans="2:36">
      <c r="L52" s="24" t="s">
        <v>37</v>
      </c>
      <c r="M52" s="24">
        <v>2023</v>
      </c>
      <c r="N52" s="24">
        <v>2024</v>
      </c>
      <c r="O52" s="24">
        <v>2025</v>
      </c>
    </row>
    <row r="53" spans="2:36">
      <c r="L53" s="24" t="s">
        <v>38</v>
      </c>
      <c r="M53" s="24">
        <v>1.3940585724833989</v>
      </c>
      <c r="N53" s="24">
        <v>0.66115295646186933</v>
      </c>
      <c r="O53" s="24">
        <v>0.56336525250768388</v>
      </c>
    </row>
    <row r="54" spans="2:36">
      <c r="K54" s="122">
        <f>J44*J36</f>
        <v>1.713277224472467</v>
      </c>
      <c r="L54" s="122"/>
      <c r="M54" s="123">
        <f>H45-M53</f>
        <v>0.27808876051660114</v>
      </c>
      <c r="N54" s="123">
        <f>I45-N53</f>
        <v>1.0085533755381308</v>
      </c>
      <c r="O54" s="123">
        <f>J45-O53</f>
        <v>1.0175507885587272</v>
      </c>
    </row>
    <row r="55" spans="2:36">
      <c r="L55" s="24" t="s">
        <v>34</v>
      </c>
      <c r="M55" s="24">
        <v>1.7172375775525328</v>
      </c>
      <c r="N55" s="24">
        <v>2.5922993580815645</v>
      </c>
      <c r="O55" s="24">
        <v>3.1172877305425173</v>
      </c>
    </row>
    <row r="56" spans="2:36">
      <c r="K56" s="124"/>
      <c r="L56" s="124"/>
      <c r="M56" s="123">
        <f>H46-M55</f>
        <v>0.71055883144746712</v>
      </c>
      <c r="N56" s="123">
        <f>I46-N55</f>
        <v>0.54516630591843551</v>
      </c>
      <c r="O56" s="123">
        <f>J46-O55</f>
        <v>-0.32769116423727906</v>
      </c>
    </row>
    <row r="57" spans="2:36">
      <c r="K57" s="124"/>
      <c r="L57" s="124"/>
      <c r="M57" s="124"/>
      <c r="N57" s="124"/>
    </row>
    <row r="58" spans="2:36">
      <c r="K58" s="124"/>
      <c r="L58" s="124" t="s">
        <v>39</v>
      </c>
      <c r="M58" s="124"/>
      <c r="N58" s="124"/>
    </row>
    <row r="59" spans="2:36">
      <c r="L59" s="24" t="s">
        <v>38</v>
      </c>
      <c r="M59" s="24">
        <v>0.23859388275474311</v>
      </c>
      <c r="N59" s="24">
        <v>1.4161018344276651E-3</v>
      </c>
      <c r="O59" s="24">
        <v>0</v>
      </c>
    </row>
    <row r="61" spans="2:36">
      <c r="L61" s="24" t="s">
        <v>34</v>
      </c>
      <c r="M61" s="24">
        <v>2.8727022672811886</v>
      </c>
      <c r="N61" s="24">
        <v>3.2520362127090063</v>
      </c>
      <c r="O61" s="24">
        <v>3.6806529830502015</v>
      </c>
    </row>
    <row r="62" spans="2:36">
      <c r="L62" s="125" t="s">
        <v>40</v>
      </c>
    </row>
    <row r="63" spans="2:36">
      <c r="M63" s="24">
        <v>2022</v>
      </c>
      <c r="N63" s="24">
        <v>2023</v>
      </c>
      <c r="O63" s="24">
        <v>2024</v>
      </c>
      <c r="P63" s="24">
        <v>2025</v>
      </c>
    </row>
    <row r="64" spans="2:36">
      <c r="L64" s="24" t="s">
        <v>41</v>
      </c>
      <c r="M64" s="24">
        <v>3.2379983996285371</v>
      </c>
      <c r="N64" s="24">
        <v>5.1918914080902097</v>
      </c>
      <c r="O64" s="24">
        <v>5.3320043163002113</v>
      </c>
      <c r="P64" s="24">
        <v>5.755768350051226</v>
      </c>
    </row>
    <row r="65" spans="1:36">
      <c r="L65" s="24" t="s">
        <v>38</v>
      </c>
      <c r="M65" s="24">
        <v>1.653807682610275</v>
      </c>
      <c r="N65" s="24">
        <v>2.2675585724833991</v>
      </c>
      <c r="O65" s="24">
        <v>1.0580029564618691</v>
      </c>
      <c r="P65" s="24">
        <v>0.86336525250768392</v>
      </c>
    </row>
    <row r="66" spans="1:36">
      <c r="L66" s="24" t="s">
        <v>34</v>
      </c>
      <c r="M66" s="24">
        <v>1.5056692558272697</v>
      </c>
      <c r="N66" s="24">
        <v>2.7932375775525329</v>
      </c>
      <c r="O66" s="24">
        <v>4.1482993580815641</v>
      </c>
      <c r="P66" s="24">
        <v>4.7772877305425174</v>
      </c>
    </row>
    <row r="67" spans="1:36">
      <c r="L67" s="24" t="s">
        <v>42</v>
      </c>
    </row>
    <row r="68" spans="1:36">
      <c r="L68" s="24" t="s">
        <v>41</v>
      </c>
      <c r="M68" s="24">
        <v>3.2379983996285371</v>
      </c>
      <c r="N68" s="24">
        <v>3.1918914080902097</v>
      </c>
      <c r="O68" s="24">
        <v>3.3320043163002113</v>
      </c>
      <c r="P68" s="24">
        <v>3.755768350051226</v>
      </c>
    </row>
    <row r="69" spans="1:36">
      <c r="L69" s="24" t="s">
        <v>38</v>
      </c>
      <c r="M69" s="24">
        <v>1.653807682610275</v>
      </c>
      <c r="N69" s="24">
        <v>1.3940585724833989</v>
      </c>
      <c r="O69" s="24">
        <v>0.66115295646186933</v>
      </c>
      <c r="P69" s="24">
        <v>0.56336525250768388</v>
      </c>
    </row>
    <row r="70" spans="1:36">
      <c r="L70" s="24" t="s">
        <v>34</v>
      </c>
      <c r="M70" s="24">
        <v>1.5056692558272697</v>
      </c>
      <c r="N70" s="24">
        <v>1.7172375775525328</v>
      </c>
      <c r="O70" s="24">
        <v>2.5922993580815645</v>
      </c>
      <c r="P70" s="24">
        <v>3.1172877305425173</v>
      </c>
    </row>
    <row r="73" spans="1:36">
      <c r="E73" s="115" t="s">
        <v>28</v>
      </c>
      <c r="F73" s="112">
        <f>F36</f>
        <v>0.65122171752728664</v>
      </c>
      <c r="G73" s="112">
        <f>G36</f>
        <v>0.51282078921943675</v>
      </c>
      <c r="H73" s="112">
        <f>H45/H$50</f>
        <v>0.39962456663342427</v>
      </c>
      <c r="I73" s="112">
        <f t="shared" ref="I73:AI76" si="27">I45/I$50</f>
        <v>0.33985616461946039</v>
      </c>
      <c r="J73" s="112">
        <f t="shared" si="27"/>
        <v>0.35038293538047982</v>
      </c>
      <c r="K73" s="112">
        <f t="shared" si="27"/>
        <v>0.30303227328580862</v>
      </c>
      <c r="L73" s="112">
        <f t="shared" si="27"/>
        <v>0.25391974269771228</v>
      </c>
      <c r="M73" s="112">
        <f t="shared" si="27"/>
        <v>0.19947767797005386</v>
      </c>
      <c r="N73" s="112">
        <f t="shared" si="27"/>
        <v>0.21347794181383997</v>
      </c>
      <c r="O73" s="112">
        <f t="shared" si="27"/>
        <v>0.20733316101651189</v>
      </c>
      <c r="P73" s="112">
        <f t="shared" si="27"/>
        <v>0.19319974444738022</v>
      </c>
      <c r="Q73" s="112">
        <f t="shared" si="27"/>
        <v>0.16601622176824923</v>
      </c>
      <c r="R73" s="112">
        <f t="shared" si="27"/>
        <v>0.11408734419279573</v>
      </c>
      <c r="S73" s="112">
        <f t="shared" si="27"/>
        <v>0.14048084409127595</v>
      </c>
      <c r="T73" s="112">
        <f t="shared" si="27"/>
        <v>0.12963522438494227</v>
      </c>
      <c r="U73" s="112">
        <f t="shared" si="27"/>
        <v>9.664801643283609E-2</v>
      </c>
      <c r="V73" s="112">
        <f t="shared" si="27"/>
        <v>7.0216301448803808E-2</v>
      </c>
      <c r="W73" s="112">
        <f t="shared" si="27"/>
        <v>6.3705907600841355E-2</v>
      </c>
      <c r="X73" s="112">
        <f t="shared" si="27"/>
        <v>5.1348332909044961E-2</v>
      </c>
      <c r="Y73" s="112">
        <f t="shared" si="27"/>
        <v>2.6033873183311254E-2</v>
      </c>
      <c r="Z73" s="112">
        <f t="shared" si="27"/>
        <v>2.8399897415028946E-2</v>
      </c>
      <c r="AA73" s="112">
        <f t="shared" si="27"/>
        <v>2.6783990386902035E-2</v>
      </c>
      <c r="AB73" s="112">
        <f t="shared" si="27"/>
        <v>1.9434554174974757E-2</v>
      </c>
      <c r="AC73" s="112">
        <f t="shared" si="27"/>
        <v>1.9578997315534828E-2</v>
      </c>
      <c r="AD73" s="112">
        <f t="shared" si="27"/>
        <v>1.9656988724702073E-2</v>
      </c>
      <c r="AE73" s="112">
        <f t="shared" si="27"/>
        <v>1.9485439778433571E-2</v>
      </c>
      <c r="AF73" s="112">
        <f t="shared" si="27"/>
        <v>1.9350173740938847E-2</v>
      </c>
      <c r="AG73" s="112">
        <f t="shared" si="27"/>
        <v>1.9495068298974984E-2</v>
      </c>
      <c r="AH73" s="112">
        <f t="shared" si="27"/>
        <v>1.9721954055148747E-2</v>
      </c>
      <c r="AI73" s="112">
        <f t="shared" si="27"/>
        <v>1.9970450294279136E-2</v>
      </c>
      <c r="AJ73" s="112">
        <f>AJ45/AJ$50</f>
        <v>1.9232419841732799E-2</v>
      </c>
    </row>
    <row r="74" spans="1:36">
      <c r="E74" s="115" t="s">
        <v>30</v>
      </c>
      <c r="F74" s="112">
        <v>0.30643739603813563</v>
      </c>
      <c r="G74" s="112">
        <v>0.44793863275707024</v>
      </c>
      <c r="H74" s="112">
        <f>H46/H$50</f>
        <v>0.5802162696274854</v>
      </c>
      <c r="I74" s="112">
        <f t="shared" si="27"/>
        <v>0.63860753640137036</v>
      </c>
      <c r="J74" s="112">
        <f t="shared" si="27"/>
        <v>0.61826625073018471</v>
      </c>
      <c r="K74" s="112">
        <f t="shared" si="27"/>
        <v>0.564815154417177</v>
      </c>
      <c r="L74" s="112">
        <f t="shared" si="27"/>
        <v>0.51167268898527551</v>
      </c>
      <c r="M74" s="112">
        <f t="shared" si="27"/>
        <v>0.50563426440582226</v>
      </c>
      <c r="N74" s="112">
        <f t="shared" si="27"/>
        <v>0.46439724839709873</v>
      </c>
      <c r="O74" s="112">
        <f t="shared" si="27"/>
        <v>0.46050644548084169</v>
      </c>
      <c r="P74" s="112">
        <f t="shared" si="27"/>
        <v>0.46507446120307822</v>
      </c>
      <c r="Q74" s="112">
        <f t="shared" si="27"/>
        <v>0.45754865521252874</v>
      </c>
      <c r="R74" s="112">
        <f t="shared" si="27"/>
        <v>0.44967129860090488</v>
      </c>
      <c r="S74" s="112">
        <f t="shared" si="27"/>
        <v>0.41710131362295627</v>
      </c>
      <c r="T74" s="112">
        <f t="shared" si="27"/>
        <v>0.41780012546365469</v>
      </c>
      <c r="U74" s="112">
        <f t="shared" si="27"/>
        <v>0.43193372515048317</v>
      </c>
      <c r="V74" s="112">
        <f t="shared" si="27"/>
        <v>0.46542103883048153</v>
      </c>
      <c r="W74" s="112">
        <f t="shared" si="27"/>
        <v>0.47973260551740737</v>
      </c>
      <c r="X74" s="112">
        <f t="shared" si="27"/>
        <v>0.48715840552655892</v>
      </c>
      <c r="Y74" s="112">
        <f t="shared" si="27"/>
        <v>0.4667186765327907</v>
      </c>
      <c r="Z74" s="112">
        <f t="shared" si="27"/>
        <v>0.4653807310190215</v>
      </c>
      <c r="AA74" s="112">
        <f t="shared" si="27"/>
        <v>0.47241123226113113</v>
      </c>
      <c r="AB74" s="112">
        <f t="shared" si="27"/>
        <v>0.48831471654876552</v>
      </c>
      <c r="AC74" s="112">
        <f t="shared" si="27"/>
        <v>0.48788518953470145</v>
      </c>
      <c r="AD74" s="112">
        <f t="shared" si="27"/>
        <v>0.47626167113356782</v>
      </c>
      <c r="AE74" s="112">
        <f t="shared" si="27"/>
        <v>0.44698227638909288</v>
      </c>
      <c r="AF74" s="112">
        <f t="shared" si="27"/>
        <v>0.42928149289584794</v>
      </c>
      <c r="AG74" s="112">
        <f t="shared" si="27"/>
        <v>0.43675475645629963</v>
      </c>
      <c r="AH74" s="112">
        <f t="shared" si="27"/>
        <v>0.44502374908255626</v>
      </c>
      <c r="AI74" s="112">
        <f t="shared" si="27"/>
        <v>0.45512902135619682</v>
      </c>
      <c r="AJ74" s="112">
        <f>AJ46/AJ$50</f>
        <v>0.44241082946928084</v>
      </c>
    </row>
    <row r="75" spans="1:36">
      <c r="E75" s="115" t="s">
        <v>31</v>
      </c>
      <c r="F75" s="112">
        <f>F40</f>
        <v>2.3855897212311118E-2</v>
      </c>
      <c r="G75" s="112">
        <f>G40</f>
        <v>2.4044730155396907E-2</v>
      </c>
      <c r="H75" s="112">
        <f>H47/H$50</f>
        <v>1.7245699194491648E-2</v>
      </c>
      <c r="I75" s="112">
        <f t="shared" si="27"/>
        <v>1.366515462090411E-2</v>
      </c>
      <c r="J75" s="112">
        <f t="shared" si="27"/>
        <v>1.3677829073081816E-2</v>
      </c>
      <c r="K75" s="112">
        <f t="shared" si="27"/>
        <v>1.5532416746472369E-2</v>
      </c>
      <c r="L75" s="112">
        <f>L47/L$50</f>
        <v>1.5532920915624434E-2</v>
      </c>
      <c r="M75" s="112">
        <f t="shared" si="27"/>
        <v>1.5801070762681946E-2</v>
      </c>
      <c r="N75" s="112">
        <f t="shared" si="27"/>
        <v>1.5479908279903292E-2</v>
      </c>
      <c r="O75" s="112">
        <f t="shared" si="27"/>
        <v>1.5657219146348617E-2</v>
      </c>
      <c r="P75" s="112">
        <f t="shared" si="27"/>
        <v>1.5114919989100042E-2</v>
      </c>
      <c r="Q75" s="112">
        <f t="shared" si="27"/>
        <v>1.4184008311588392E-2</v>
      </c>
      <c r="R75" s="112">
        <f t="shared" si="27"/>
        <v>1.4389481555228957E-2</v>
      </c>
      <c r="S75" s="112">
        <f t="shared" si="27"/>
        <v>1.4421056056112852E-2</v>
      </c>
      <c r="T75" s="112">
        <f t="shared" si="27"/>
        <v>1.4445217103796575E-2</v>
      </c>
      <c r="U75" s="112">
        <f t="shared" si="27"/>
        <v>1.3468901106843022E-2</v>
      </c>
      <c r="V75" s="112">
        <f t="shared" si="27"/>
        <v>1.3772663393963231E-2</v>
      </c>
      <c r="W75" s="112">
        <f t="shared" si="27"/>
        <v>1.4196168938780424E-2</v>
      </c>
      <c r="X75" s="112">
        <f t="shared" si="27"/>
        <v>1.5746534320050392E-2</v>
      </c>
      <c r="Y75" s="112">
        <f t="shared" si="27"/>
        <v>1.5793005721059079E-2</v>
      </c>
      <c r="Z75" s="112">
        <f t="shared" si="27"/>
        <v>1.5042609487483522E-2</v>
      </c>
      <c r="AA75" s="112">
        <f t="shared" si="27"/>
        <v>1.5269858012481007E-2</v>
      </c>
      <c r="AB75" s="112">
        <f t="shared" si="27"/>
        <v>1.5783910029859089E-2</v>
      </c>
      <c r="AC75" s="112">
        <f t="shared" si="27"/>
        <v>1.5930944964398414E-2</v>
      </c>
      <c r="AD75" s="112">
        <f t="shared" si="27"/>
        <v>1.5731765699131109E-2</v>
      </c>
      <c r="AE75" s="112">
        <f t="shared" si="27"/>
        <v>1.5551571905793357E-2</v>
      </c>
      <c r="AF75" s="112">
        <f t="shared" si="27"/>
        <v>1.511554552450169E-2</v>
      </c>
      <c r="AG75" s="112">
        <f t="shared" si="27"/>
        <v>1.5378688607616186E-2</v>
      </c>
      <c r="AH75" s="112">
        <f t="shared" si="27"/>
        <v>1.5669850319808321E-2</v>
      </c>
      <c r="AI75" s="112">
        <f t="shared" si="27"/>
        <v>1.5473319600620995E-2</v>
      </c>
      <c r="AJ75" s="112">
        <f>AJ47/AJ$50</f>
        <v>1.557784610807327E-2</v>
      </c>
    </row>
    <row r="76" spans="1:36">
      <c r="E76" s="115" t="s">
        <v>32</v>
      </c>
      <c r="F76" s="112">
        <f>F41</f>
        <v>1.939431031849526E-3</v>
      </c>
      <c r="G76" s="112">
        <f>G41</f>
        <v>2.4982978050142766E-3</v>
      </c>
      <c r="H76" s="112">
        <f>H48/H$50</f>
        <v>2.9134645445988627E-3</v>
      </c>
      <c r="I76" s="112">
        <f t="shared" si="27"/>
        <v>7.8711443582650861E-3</v>
      </c>
      <c r="J76" s="112">
        <f t="shared" si="27"/>
        <v>1.767298481625346E-2</v>
      </c>
      <c r="K76" s="112">
        <f t="shared" si="27"/>
        <v>0.1166201555505421</v>
      </c>
      <c r="L76" s="112">
        <f t="shared" si="27"/>
        <v>0.21887464740138776</v>
      </c>
      <c r="M76" s="112">
        <f t="shared" si="27"/>
        <v>0.27908698686144195</v>
      </c>
      <c r="N76" s="112">
        <f t="shared" si="27"/>
        <v>0.30664490150915796</v>
      </c>
      <c r="O76" s="112">
        <f t="shared" si="27"/>
        <v>0.31650317435629788</v>
      </c>
      <c r="P76" s="112">
        <f t="shared" si="27"/>
        <v>0.32661087436044162</v>
      </c>
      <c r="Q76" s="112">
        <f t="shared" si="27"/>
        <v>0.36225111470763366</v>
      </c>
      <c r="R76" s="112">
        <f t="shared" si="27"/>
        <v>0.42185187565107041</v>
      </c>
      <c r="S76" s="112">
        <f t="shared" si="27"/>
        <v>0.42799678622965504</v>
      </c>
      <c r="T76" s="112">
        <f t="shared" si="27"/>
        <v>0.43811943304760642</v>
      </c>
      <c r="U76" s="112">
        <f t="shared" si="27"/>
        <v>0.45794935730983771</v>
      </c>
      <c r="V76" s="112">
        <f t="shared" si="27"/>
        <v>0.4505899963267514</v>
      </c>
      <c r="W76" s="112">
        <f t="shared" si="27"/>
        <v>0.44236531794297074</v>
      </c>
      <c r="X76" s="112">
        <f t="shared" si="27"/>
        <v>0.44574672724434572</v>
      </c>
      <c r="Y76" s="112">
        <f t="shared" si="27"/>
        <v>0.49145444456283904</v>
      </c>
      <c r="Z76" s="112">
        <f t="shared" si="27"/>
        <v>0.49117676207846606</v>
      </c>
      <c r="AA76" s="112">
        <f t="shared" si="27"/>
        <v>0.48553491933948578</v>
      </c>
      <c r="AB76" s="112">
        <f t="shared" si="27"/>
        <v>0.47646681924640061</v>
      </c>
      <c r="AC76" s="112">
        <f t="shared" si="27"/>
        <v>0.4766048681853654</v>
      </c>
      <c r="AD76" s="112">
        <f t="shared" si="27"/>
        <v>0.48834957444259897</v>
      </c>
      <c r="AE76" s="112">
        <f t="shared" si="27"/>
        <v>0.51798071192668016</v>
      </c>
      <c r="AF76" s="112">
        <f t="shared" si="27"/>
        <v>0.53625278783871144</v>
      </c>
      <c r="AG76" s="112">
        <f t="shared" si="27"/>
        <v>0.5283714866371092</v>
      </c>
      <c r="AH76" s="112">
        <f t="shared" si="27"/>
        <v>0.5195844465424867</v>
      </c>
      <c r="AI76" s="112">
        <f t="shared" si="27"/>
        <v>0.50942720874890302</v>
      </c>
      <c r="AJ76" s="112">
        <f>AJ48/AJ$50</f>
        <v>0.52277890458091303</v>
      </c>
    </row>
    <row r="78" spans="1:36">
      <c r="D78" s="24" t="s">
        <v>34</v>
      </c>
      <c r="E78" s="24">
        <f t="shared" ref="E78:J78" si="28">E46*1000</f>
        <v>533.50834700000007</v>
      </c>
      <c r="F78" s="24">
        <f t="shared" si="28"/>
        <v>845.43490700000007</v>
      </c>
      <c r="G78" s="24">
        <f t="shared" si="28"/>
        <v>1455.336706</v>
      </c>
      <c r="H78" s="24">
        <f t="shared" si="28"/>
        <v>2427.796409</v>
      </c>
      <c r="I78" s="24">
        <f t="shared" si="28"/>
        <v>3137.4656639999998</v>
      </c>
      <c r="J78" s="24">
        <f t="shared" si="28"/>
        <v>2789.5965663052384</v>
      </c>
    </row>
    <row r="79" spans="1:36">
      <c r="A79" s="126"/>
      <c r="D79" s="24" t="s">
        <v>43</v>
      </c>
      <c r="E79" s="24">
        <f t="shared" ref="E79:J79" si="29">E45*1000</f>
        <v>1824.8736379999998</v>
      </c>
      <c r="F79" s="24">
        <f t="shared" si="29"/>
        <v>1704.627334</v>
      </c>
      <c r="G79" s="24">
        <f t="shared" si="29"/>
        <v>1620.2090629999998</v>
      </c>
      <c r="H79" s="24">
        <f t="shared" si="29"/>
        <v>1672.1473330000001</v>
      </c>
      <c r="I79" s="24">
        <f t="shared" si="29"/>
        <v>1669.706332</v>
      </c>
      <c r="J79" s="24">
        <f t="shared" si="29"/>
        <v>1580.9160410664113</v>
      </c>
    </row>
    <row r="80" spans="1:36">
      <c r="D80" s="24" t="s">
        <v>44</v>
      </c>
      <c r="E80" s="24">
        <f t="shared" ref="E80:J80" si="30">E47*1000</f>
        <v>50.596671000000001</v>
      </c>
      <c r="F80" s="24">
        <f t="shared" si="30"/>
        <v>62.444806999999997</v>
      </c>
      <c r="G80" s="24">
        <f t="shared" si="30"/>
        <v>75.967064000000008</v>
      </c>
      <c r="H80" s="24">
        <f t="shared" si="30"/>
        <v>72.161104000000009</v>
      </c>
      <c r="I80" s="24">
        <f t="shared" si="30"/>
        <v>67.136623</v>
      </c>
      <c r="J80" s="24">
        <f t="shared" si="30"/>
        <v>61.713905573394051</v>
      </c>
    </row>
    <row r="81" spans="3:36">
      <c r="D81" s="24" t="s">
        <v>45</v>
      </c>
      <c r="E81" s="24">
        <f>'[2]RVO Forecast'!K$10/1000000</f>
        <v>2430</v>
      </c>
      <c r="F81" s="24">
        <f>'[2]RVO Forecast'!L$10/1000000</f>
        <v>2430</v>
      </c>
      <c r="G81" s="24">
        <f>'[2]RVO Forecast'!M$10/1000000</f>
        <v>2760</v>
      </c>
      <c r="H81" s="24">
        <f>'[2]RVO Forecast'!N$10/1000000</f>
        <v>2820</v>
      </c>
      <c r="I81" s="24">
        <f>'[2]RVO Forecast'!O$10/1000000</f>
        <v>3040</v>
      </c>
      <c r="J81" s="24">
        <f>'[2]RVO Forecast'!P$10/1000000</f>
        <v>3500</v>
      </c>
    </row>
    <row r="84" spans="3:36">
      <c r="C84" s="26"/>
      <c r="D84" s="26"/>
      <c r="E84" s="26"/>
      <c r="F84" s="26"/>
      <c r="G84" s="127">
        <v>2022</v>
      </c>
      <c r="H84" s="127">
        <v>2023</v>
      </c>
      <c r="I84" s="127">
        <v>2024</v>
      </c>
      <c r="J84" s="127">
        <v>2025</v>
      </c>
      <c r="K84" s="127">
        <v>2026</v>
      </c>
      <c r="L84" s="127">
        <v>2027</v>
      </c>
      <c r="M84" s="127">
        <v>2028</v>
      </c>
      <c r="N84" s="127">
        <v>2029</v>
      </c>
      <c r="O84" s="127">
        <v>2030</v>
      </c>
      <c r="P84" s="127">
        <v>2031</v>
      </c>
      <c r="Q84" s="127">
        <v>2032</v>
      </c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</row>
    <row r="85" spans="3:36">
      <c r="C85" s="124"/>
      <c r="D85" s="124"/>
      <c r="E85" s="124"/>
      <c r="F85" s="124"/>
      <c r="G85" s="124" t="s">
        <v>46</v>
      </c>
      <c r="H85" s="124"/>
      <c r="I85" s="124"/>
      <c r="J85" s="124"/>
      <c r="K85" s="124"/>
      <c r="L85" s="124"/>
      <c r="M85" s="124"/>
      <c r="N85" s="124"/>
    </row>
    <row r="86" spans="3:36">
      <c r="F86" s="115" t="s">
        <v>47</v>
      </c>
      <c r="G86" s="128">
        <v>3.726509076250351</v>
      </c>
      <c r="H86" s="128">
        <v>3.7239174527378349</v>
      </c>
      <c r="I86" s="128">
        <v>3.6230769194220027</v>
      </c>
      <c r="J86" s="128">
        <v>3.7341027805849611</v>
      </c>
      <c r="K86" s="128">
        <v>3.866282962749485</v>
      </c>
      <c r="L86" s="128">
        <v>4.2611096898587588</v>
      </c>
      <c r="M86" s="128">
        <v>4.3919955140097047</v>
      </c>
      <c r="N86" s="128">
        <v>4.7727926711509365</v>
      </c>
      <c r="O86" s="128">
        <v>4.8997606573588808</v>
      </c>
      <c r="P86" s="128">
        <v>5.2800970823431284</v>
      </c>
      <c r="Q86" s="128">
        <v>5.4100699199748137</v>
      </c>
    </row>
    <row r="87" spans="3:36">
      <c r="C87" s="124"/>
      <c r="D87" s="124"/>
      <c r="E87" s="124"/>
      <c r="F87" s="115" t="s">
        <v>28</v>
      </c>
      <c r="G87" s="67">
        <v>1.6769290843126581</v>
      </c>
      <c r="H87" s="67">
        <v>1.3033711084582422</v>
      </c>
      <c r="I87" s="67">
        <v>0.72461538388440061</v>
      </c>
      <c r="J87" s="67">
        <v>0.56011541708774415</v>
      </c>
      <c r="K87" s="67">
        <v>0.48328537034368563</v>
      </c>
      <c r="L87" s="67">
        <v>0.42611096898587592</v>
      </c>
      <c r="M87" s="67">
        <v>0.4391995514009705</v>
      </c>
      <c r="N87" s="67">
        <v>0.47727926711509366</v>
      </c>
      <c r="O87" s="67">
        <v>0.48997606573588809</v>
      </c>
      <c r="P87" s="67">
        <v>0.52800970823431281</v>
      </c>
      <c r="Q87" s="67">
        <v>0.54100699199748137</v>
      </c>
    </row>
    <row r="88" spans="3:36">
      <c r="F88" s="119" t="s">
        <v>34</v>
      </c>
      <c r="G88" s="67">
        <v>1.9750498104126861</v>
      </c>
      <c r="H88" s="67">
        <v>2.346067995224836</v>
      </c>
      <c r="I88" s="67">
        <v>2.8259999971491623</v>
      </c>
      <c r="J88" s="67">
        <v>3.0993053078855177</v>
      </c>
      <c r="K88" s="67">
        <v>3.3056719331508098</v>
      </c>
      <c r="L88" s="67">
        <v>3.7497765270757077</v>
      </c>
      <c r="M88" s="67">
        <v>3.86495605232854</v>
      </c>
      <c r="N88" s="67">
        <v>4.2000575506128239</v>
      </c>
      <c r="O88" s="67">
        <v>4.3117893784758152</v>
      </c>
      <c r="P88" s="67">
        <v>4.6464854324619527</v>
      </c>
      <c r="Q88" s="67">
        <v>4.760861529577836</v>
      </c>
    </row>
    <row r="89" spans="3:36">
      <c r="F89" s="119" t="s">
        <v>35</v>
      </c>
      <c r="G89" s="67">
        <v>7.4530181525006886E-2</v>
      </c>
      <c r="H89" s="67">
        <v>7.4478349054756768E-2</v>
      </c>
      <c r="I89" s="67">
        <v>7.2461538388439911E-2</v>
      </c>
      <c r="J89" s="67">
        <v>7.4682055611699397E-2</v>
      </c>
      <c r="K89" s="67">
        <v>7.732565925498977E-2</v>
      </c>
      <c r="L89" s="67">
        <v>8.5222193797175133E-2</v>
      </c>
      <c r="M89" s="67">
        <v>8.7839910280194056E-2</v>
      </c>
      <c r="N89" s="67">
        <v>9.5455853423018683E-2</v>
      </c>
      <c r="O89" s="67">
        <v>9.7995213147177573E-2</v>
      </c>
      <c r="P89" s="67">
        <v>0.10560194164686251</v>
      </c>
      <c r="Q89" s="67">
        <v>0.10820139839949622</v>
      </c>
    </row>
    <row r="90" spans="3:36">
      <c r="F90" s="115" t="s">
        <v>32</v>
      </c>
      <c r="G90" s="67">
        <v>1.3000000000000001E-2</v>
      </c>
      <c r="H90" s="67">
        <v>2.5000000000000001E-2</v>
      </c>
      <c r="I90" s="67">
        <v>7.4999999999999997E-2</v>
      </c>
      <c r="J90" s="67">
        <v>0.1</v>
      </c>
      <c r="K90" s="67">
        <v>0.25</v>
      </c>
      <c r="L90" s="67">
        <v>0.5</v>
      </c>
      <c r="M90" s="67">
        <v>0.75</v>
      </c>
      <c r="N90" s="67">
        <v>1</v>
      </c>
      <c r="O90" s="67">
        <v>1.5</v>
      </c>
      <c r="P90" s="67">
        <v>2</v>
      </c>
      <c r="Q90" s="24">
        <v>2.5</v>
      </c>
    </row>
    <row r="91" spans="3:36">
      <c r="F91" s="119" t="s">
        <v>48</v>
      </c>
      <c r="G91" s="26">
        <v>3.8449462299686994</v>
      </c>
      <c r="H91" s="26">
        <v>3.9778172708126927</v>
      </c>
      <c r="I91" s="26">
        <v>4.1954473360642783</v>
      </c>
      <c r="J91" s="26">
        <v>4.5151029893714139</v>
      </c>
      <c r="K91" s="26">
        <v>4.8479041922716997</v>
      </c>
      <c r="L91" s="26">
        <v>5.1641070959569459</v>
      </c>
      <c r="M91" s="26">
        <v>5.493474643043923</v>
      </c>
      <c r="N91" s="26">
        <v>5.8196506733529665</v>
      </c>
      <c r="O91" s="26">
        <v>6.1325923920678509</v>
      </c>
      <c r="P91" s="26">
        <v>6.4338707664657502</v>
      </c>
      <c r="Q91" s="26">
        <v>6.7563543312010736</v>
      </c>
    </row>
    <row r="92" spans="3:36">
      <c r="G92" s="127">
        <v>2022</v>
      </c>
      <c r="H92" s="127">
        <v>2023</v>
      </c>
      <c r="I92" s="127">
        <v>2024</v>
      </c>
      <c r="J92" s="127">
        <v>2025</v>
      </c>
      <c r="K92" s="127">
        <v>2026</v>
      </c>
      <c r="L92" s="127">
        <v>2027</v>
      </c>
      <c r="M92" s="127">
        <v>2028</v>
      </c>
      <c r="N92" s="127">
        <v>2029</v>
      </c>
      <c r="O92" s="127">
        <v>2030</v>
      </c>
      <c r="P92" s="127">
        <v>2031</v>
      </c>
      <c r="Q92" s="127">
        <v>2032</v>
      </c>
    </row>
    <row r="93" spans="3:36">
      <c r="G93" s="24" t="s">
        <v>49</v>
      </c>
    </row>
    <row r="94" spans="3:36">
      <c r="F94" s="115" t="s">
        <v>47</v>
      </c>
      <c r="G94" s="128">
        <v>3.726509076250351</v>
      </c>
      <c r="H94" s="128">
        <v>3.9739174527378367</v>
      </c>
      <c r="I94" s="128">
        <v>3.8730769194220045</v>
      </c>
      <c r="J94" s="128">
        <v>3.9841027805849629</v>
      </c>
      <c r="K94" s="128">
        <v>4.1162829627494828</v>
      </c>
      <c r="L94" s="128">
        <v>4.2611096898587588</v>
      </c>
      <c r="M94" s="128">
        <v>4.3919955140097082</v>
      </c>
      <c r="N94" s="128">
        <v>4.5227926711509401</v>
      </c>
      <c r="O94" s="128">
        <v>4.6497606573588826</v>
      </c>
      <c r="P94" s="128">
        <v>4.7800970823431301</v>
      </c>
      <c r="Q94" s="128">
        <v>4.9100699199748155</v>
      </c>
    </row>
    <row r="95" spans="3:36">
      <c r="F95" s="115" t="s">
        <v>28</v>
      </c>
      <c r="G95" s="67">
        <v>1.6769290843126581</v>
      </c>
      <c r="H95" s="67">
        <v>1.3908711084582428</v>
      </c>
      <c r="I95" s="67">
        <v>0.77461538388440099</v>
      </c>
      <c r="J95" s="67">
        <v>0.59761541708774446</v>
      </c>
      <c r="K95" s="67">
        <v>0.51453537034368535</v>
      </c>
      <c r="L95" s="67">
        <v>0.42611096898587592</v>
      </c>
      <c r="M95" s="67">
        <v>0.43919955140097083</v>
      </c>
      <c r="N95" s="67">
        <v>0.45227926711509403</v>
      </c>
      <c r="O95" s="67">
        <v>0.46497606573588829</v>
      </c>
      <c r="P95" s="67">
        <v>0.47800970823431305</v>
      </c>
      <c r="Q95" s="67">
        <v>0.49100699199748155</v>
      </c>
    </row>
    <row r="96" spans="3:36">
      <c r="F96" s="119" t="s">
        <v>34</v>
      </c>
      <c r="G96" s="67">
        <v>1.9750498104126861</v>
      </c>
      <c r="H96" s="67">
        <v>2.5035679952248371</v>
      </c>
      <c r="I96" s="67">
        <v>3.0209999971491635</v>
      </c>
      <c r="J96" s="67">
        <v>3.3068053078855191</v>
      </c>
      <c r="K96" s="67">
        <v>3.5194219331508076</v>
      </c>
      <c r="L96" s="67">
        <v>3.7497765270757077</v>
      </c>
      <c r="M96" s="67">
        <v>3.8649560523285431</v>
      </c>
      <c r="N96" s="67">
        <v>3.9800575506128273</v>
      </c>
      <c r="O96" s="67">
        <v>4.0917893784758164</v>
      </c>
      <c r="P96" s="67">
        <v>4.2064854324619549</v>
      </c>
      <c r="Q96" s="67">
        <v>4.3208615295778374</v>
      </c>
    </row>
    <row r="97" spans="6:17">
      <c r="F97" s="119" t="s">
        <v>35</v>
      </c>
      <c r="G97" s="67">
        <v>7.4530181525006886E-2</v>
      </c>
      <c r="H97" s="67">
        <v>7.94783490547568E-2</v>
      </c>
      <c r="I97" s="67">
        <v>7.7461538388439943E-2</v>
      </c>
      <c r="J97" s="67">
        <v>7.9682055611699443E-2</v>
      </c>
      <c r="K97" s="67">
        <v>8.2325659254989733E-2</v>
      </c>
      <c r="L97" s="67">
        <v>8.5222193797175133E-2</v>
      </c>
      <c r="M97" s="67">
        <v>8.7839910280194125E-2</v>
      </c>
      <c r="N97" s="67">
        <v>9.0455853423018762E-2</v>
      </c>
      <c r="O97" s="67">
        <v>9.2995213147177611E-2</v>
      </c>
      <c r="P97" s="67">
        <v>9.5601941646862559E-2</v>
      </c>
      <c r="Q97" s="67">
        <v>9.8201398399496265E-2</v>
      </c>
    </row>
    <row r="98" spans="6:17">
      <c r="F98" s="115" t="s">
        <v>32</v>
      </c>
      <c r="G98" s="67">
        <v>1.3000000000000001E-2</v>
      </c>
      <c r="H98" s="67">
        <v>2.5000000000000001E-2</v>
      </c>
      <c r="I98" s="67">
        <v>7.4999999999999997E-2</v>
      </c>
      <c r="J98" s="67">
        <v>0.1</v>
      </c>
      <c r="K98" s="67">
        <v>0.25</v>
      </c>
      <c r="L98" s="67">
        <v>0.5</v>
      </c>
      <c r="M98" s="67">
        <v>0.75</v>
      </c>
      <c r="N98" s="67">
        <v>1</v>
      </c>
      <c r="O98" s="67">
        <v>1.5</v>
      </c>
      <c r="P98" s="67">
        <v>2</v>
      </c>
      <c r="Q98" s="24">
        <v>2.5</v>
      </c>
    </row>
    <row r="99" spans="6:17">
      <c r="F99" s="119" t="s">
        <v>48</v>
      </c>
      <c r="G99" s="26">
        <v>3.8449462299686994</v>
      </c>
      <c r="H99" s="26">
        <v>4.1786944637951491</v>
      </c>
      <c r="I99" s="26">
        <v>4.4454473360642792</v>
      </c>
      <c r="J99" s="26">
        <v>4.7770834294692133</v>
      </c>
      <c r="K99" s="26">
        <v>5.1128341130517123</v>
      </c>
      <c r="L99" s="26">
        <v>5.4438762332594974</v>
      </c>
      <c r="M99" s="26">
        <v>5.7881283489977511</v>
      </c>
      <c r="N99" s="26">
        <v>6.1291889479580686</v>
      </c>
      <c r="O99" s="26">
        <v>6.4570152353242305</v>
      </c>
      <c r="P99" s="26">
        <v>6.7731781783734046</v>
      </c>
      <c r="Q99" s="26">
        <v>7.0956617431087272</v>
      </c>
    </row>
    <row r="100" spans="6:17">
      <c r="G100" s="127">
        <v>2022</v>
      </c>
      <c r="H100" s="127">
        <v>2023</v>
      </c>
      <c r="I100" s="127">
        <v>2024</v>
      </c>
      <c r="J100" s="127">
        <v>2025</v>
      </c>
      <c r="K100" s="127">
        <v>2026</v>
      </c>
      <c r="L100" s="127">
        <v>2027</v>
      </c>
      <c r="M100" s="127">
        <v>2028</v>
      </c>
      <c r="N100" s="127">
        <v>2029</v>
      </c>
      <c r="O100" s="127">
        <v>2030</v>
      </c>
      <c r="P100" s="127">
        <v>2031</v>
      </c>
      <c r="Q100" s="127">
        <v>2032</v>
      </c>
    </row>
    <row r="101" spans="6:17">
      <c r="G101" s="24" t="s">
        <v>50</v>
      </c>
    </row>
    <row r="102" spans="6:17">
      <c r="F102" s="115" t="s">
        <v>47</v>
      </c>
      <c r="G102" s="26">
        <f>G86-G94</f>
        <v>0</v>
      </c>
      <c r="H102" s="26">
        <f t="shared" ref="H102:Q102" si="31">H86-H94</f>
        <v>-0.25000000000000178</v>
      </c>
      <c r="I102" s="26">
        <f t="shared" si="31"/>
        <v>-0.25000000000000178</v>
      </c>
      <c r="J102" s="26">
        <f t="shared" si="31"/>
        <v>-0.25000000000000178</v>
      </c>
      <c r="K102" s="26">
        <f t="shared" si="31"/>
        <v>-0.24999999999999778</v>
      </c>
      <c r="L102" s="26">
        <f t="shared" si="31"/>
        <v>0</v>
      </c>
      <c r="M102" s="26">
        <f t="shared" si="31"/>
        <v>0</v>
      </c>
      <c r="N102" s="26">
        <f t="shared" si="31"/>
        <v>0.24999999999999645</v>
      </c>
      <c r="O102" s="26">
        <f t="shared" si="31"/>
        <v>0.24999999999999822</v>
      </c>
      <c r="P102" s="26">
        <f t="shared" si="31"/>
        <v>0.49999999999999822</v>
      </c>
      <c r="Q102" s="26">
        <f t="shared" si="31"/>
        <v>0.49999999999999822</v>
      </c>
    </row>
    <row r="103" spans="6:17">
      <c r="F103" s="115" t="s">
        <v>28</v>
      </c>
      <c r="G103" s="26">
        <f t="shared" ref="G103:Q107" si="32">G87-G95</f>
        <v>0</v>
      </c>
      <c r="H103" s="26">
        <f t="shared" si="32"/>
        <v>-8.7500000000000577E-2</v>
      </c>
      <c r="I103" s="26">
        <f t="shared" si="32"/>
        <v>-5.0000000000000377E-2</v>
      </c>
      <c r="J103" s="26">
        <f t="shared" si="32"/>
        <v>-3.7500000000000311E-2</v>
      </c>
      <c r="K103" s="26">
        <f t="shared" si="32"/>
        <v>-3.1249999999999722E-2</v>
      </c>
      <c r="L103" s="26">
        <f t="shared" si="32"/>
        <v>0</v>
      </c>
      <c r="M103" s="26">
        <f t="shared" si="32"/>
        <v>0</v>
      </c>
      <c r="N103" s="26">
        <f t="shared" si="32"/>
        <v>2.4999999999999634E-2</v>
      </c>
      <c r="O103" s="26">
        <f t="shared" si="32"/>
        <v>2.49999999999998E-2</v>
      </c>
      <c r="P103" s="26">
        <f t="shared" si="32"/>
        <v>4.9999999999999767E-2</v>
      </c>
      <c r="Q103" s="26">
        <f t="shared" si="32"/>
        <v>4.9999999999999822E-2</v>
      </c>
    </row>
    <row r="104" spans="6:17">
      <c r="F104" s="119" t="s">
        <v>34</v>
      </c>
      <c r="G104" s="26">
        <f t="shared" si="32"/>
        <v>0</v>
      </c>
      <c r="H104" s="26">
        <f t="shared" si="32"/>
        <v>-0.15750000000000108</v>
      </c>
      <c r="I104" s="26">
        <f t="shared" si="32"/>
        <v>-0.19500000000000117</v>
      </c>
      <c r="J104" s="26">
        <f t="shared" si="32"/>
        <v>-0.20750000000000135</v>
      </c>
      <c r="K104" s="26">
        <f t="shared" si="32"/>
        <v>-0.21374999999999789</v>
      </c>
      <c r="L104" s="26">
        <f t="shared" si="32"/>
        <v>0</v>
      </c>
      <c r="M104" s="26">
        <f t="shared" si="32"/>
        <v>0</v>
      </c>
      <c r="N104" s="26">
        <f t="shared" si="32"/>
        <v>0.21999999999999664</v>
      </c>
      <c r="O104" s="26">
        <f t="shared" si="32"/>
        <v>0.21999999999999886</v>
      </c>
      <c r="P104" s="26">
        <f t="shared" si="32"/>
        <v>0.43999999999999773</v>
      </c>
      <c r="Q104" s="26">
        <f t="shared" si="32"/>
        <v>0.43999999999999861</v>
      </c>
    </row>
    <row r="105" spans="6:17">
      <c r="F105" s="119" t="s">
        <v>35</v>
      </c>
      <c r="G105" s="26">
        <f t="shared" si="32"/>
        <v>0</v>
      </c>
      <c r="H105" s="26">
        <f t="shared" si="32"/>
        <v>-5.0000000000000322E-3</v>
      </c>
      <c r="I105" s="26">
        <f t="shared" si="32"/>
        <v>-5.0000000000000322E-3</v>
      </c>
      <c r="J105" s="26">
        <f t="shared" si="32"/>
        <v>-5.0000000000000461E-3</v>
      </c>
      <c r="K105" s="26">
        <f t="shared" si="32"/>
        <v>-4.9999999999999628E-3</v>
      </c>
      <c r="L105" s="26">
        <f t="shared" si="32"/>
        <v>0</v>
      </c>
      <c r="M105" s="26">
        <f t="shared" si="32"/>
        <v>0</v>
      </c>
      <c r="N105" s="26">
        <f t="shared" si="32"/>
        <v>4.9999999999999212E-3</v>
      </c>
      <c r="O105" s="26">
        <f t="shared" si="32"/>
        <v>4.9999999999999628E-3</v>
      </c>
      <c r="P105" s="26">
        <f t="shared" si="32"/>
        <v>9.9999999999999534E-3</v>
      </c>
      <c r="Q105" s="26">
        <f t="shared" si="32"/>
        <v>9.9999999999999534E-3</v>
      </c>
    </row>
    <row r="106" spans="6:17">
      <c r="F106" s="115" t="s">
        <v>32</v>
      </c>
      <c r="G106" s="26">
        <f t="shared" si="32"/>
        <v>0</v>
      </c>
      <c r="H106" s="26">
        <f t="shared" si="32"/>
        <v>0</v>
      </c>
      <c r="I106" s="26">
        <f t="shared" si="32"/>
        <v>0</v>
      </c>
      <c r="J106" s="26">
        <f t="shared" si="32"/>
        <v>0</v>
      </c>
      <c r="K106" s="26">
        <f t="shared" si="32"/>
        <v>0</v>
      </c>
      <c r="L106" s="26">
        <f t="shared" si="32"/>
        <v>0</v>
      </c>
      <c r="M106" s="26">
        <f t="shared" si="32"/>
        <v>0</v>
      </c>
      <c r="N106" s="26">
        <f t="shared" si="32"/>
        <v>0</v>
      </c>
      <c r="O106" s="26">
        <f t="shared" si="32"/>
        <v>0</v>
      </c>
      <c r="P106" s="26">
        <f t="shared" si="32"/>
        <v>0</v>
      </c>
      <c r="Q106" s="26">
        <f t="shared" si="32"/>
        <v>0</v>
      </c>
    </row>
    <row r="107" spans="6:17">
      <c r="F107" s="119" t="s">
        <v>48</v>
      </c>
      <c r="G107" s="26">
        <f t="shared" si="32"/>
        <v>0</v>
      </c>
      <c r="H107" s="26">
        <f t="shared" si="32"/>
        <v>-0.20087719298245643</v>
      </c>
      <c r="I107" s="26">
        <f t="shared" si="32"/>
        <v>-0.25000000000000089</v>
      </c>
      <c r="J107" s="26">
        <f t="shared" si="32"/>
        <v>-0.26198044009779942</v>
      </c>
      <c r="K107" s="26">
        <f t="shared" si="32"/>
        <v>-0.26492992078001265</v>
      </c>
      <c r="L107" s="26">
        <f t="shared" si="32"/>
        <v>-0.27976913730255148</v>
      </c>
      <c r="M107" s="26">
        <f t="shared" si="32"/>
        <v>-0.29465370595382812</v>
      </c>
      <c r="N107" s="26">
        <f t="shared" si="32"/>
        <v>-0.30953827460510208</v>
      </c>
      <c r="O107" s="26">
        <f t="shared" si="32"/>
        <v>-0.3244228432563796</v>
      </c>
      <c r="P107" s="26">
        <f t="shared" si="32"/>
        <v>-0.33930741190765445</v>
      </c>
      <c r="Q107" s="26">
        <f t="shared" si="32"/>
        <v>-0.33930741190765357</v>
      </c>
    </row>
    <row r="114" spans="7:11">
      <c r="G114" s="115" t="s">
        <v>51</v>
      </c>
      <c r="H114" s="129">
        <f>H18</f>
        <v>20.94</v>
      </c>
      <c r="J114" s="24" t="s">
        <v>52</v>
      </c>
      <c r="K114" s="129">
        <f>H114</f>
        <v>20.94</v>
      </c>
    </row>
    <row r="115" spans="7:11" ht="12" thickBot="1">
      <c r="G115" s="115" t="s">
        <v>53</v>
      </c>
      <c r="H115" s="130">
        <f>'[1]D6 Gallon Forecast'!$O$7/1000000000</f>
        <v>14.666291777</v>
      </c>
      <c r="J115" s="24" t="s">
        <v>54</v>
      </c>
      <c r="K115" s="129">
        <f>-H115</f>
        <v>-14.666291777</v>
      </c>
    </row>
    <row r="116" spans="7:11" ht="12" thickTop="1">
      <c r="G116" s="115" t="s">
        <v>55</v>
      </c>
      <c r="H116" s="129">
        <f>H114-H115</f>
        <v>6.2737082230000016</v>
      </c>
      <c r="J116" s="24" t="s">
        <v>56</v>
      </c>
      <c r="K116" s="129">
        <f>-H117</f>
        <v>-5.0856003230000004</v>
      </c>
    </row>
    <row r="117" spans="7:11">
      <c r="G117" s="115" t="s">
        <v>56</v>
      </c>
      <c r="H117" s="129">
        <f>[3]Biodiesel!$O$187/1000000000</f>
        <v>5.0856003230000004</v>
      </c>
      <c r="J117" s="24" t="s">
        <v>57</v>
      </c>
      <c r="K117" s="129">
        <f>-H118</f>
        <v>-0.98568825199999999</v>
      </c>
    </row>
    <row r="118" spans="7:11" ht="12" thickBot="1">
      <c r="G118" s="115" t="s">
        <v>57</v>
      </c>
      <c r="H118" s="130">
        <f>[3]Biodiesel!$O$165/1000000000</f>
        <v>0.98568825199999999</v>
      </c>
      <c r="J118" s="24" t="s">
        <v>58</v>
      </c>
      <c r="K118" s="129">
        <f>-SUM(H122,H120)</f>
        <v>-0.50597857659492507</v>
      </c>
    </row>
    <row r="119" spans="7:11" ht="12" thickTop="1">
      <c r="H119" s="129">
        <f>H116-H117-H118</f>
        <v>0.20241964800000123</v>
      </c>
    </row>
    <row r="120" spans="7:11" ht="12" thickBot="1">
      <c r="G120" s="115" t="s">
        <v>59</v>
      </c>
      <c r="H120" s="130">
        <f>'[1]D6 Gallon Forecast'!$O$141/1000000000</f>
        <v>1.2449754E-2</v>
      </c>
      <c r="J120" s="24">
        <v>20.184186895405077</v>
      </c>
    </row>
    <row r="121" spans="7:11" ht="12" thickTop="1">
      <c r="H121" s="129">
        <f>H119-H120</f>
        <v>0.18996989400000122</v>
      </c>
      <c r="J121" s="27">
        <f>H114-J120</f>
        <v>0.75581310459492457</v>
      </c>
    </row>
    <row r="122" spans="7:11" ht="12" thickBot="1">
      <c r="G122" s="115" t="s">
        <v>60</v>
      </c>
      <c r="H122" s="130">
        <f>('[1]Production Summary'!$O$74/1000000000)-J120</f>
        <v>0.49352882259492503</v>
      </c>
    </row>
    <row r="123" spans="7:11" ht="12" thickTop="1">
      <c r="H123" s="129">
        <f>H121-H122</f>
        <v>-0.30355892859492384</v>
      </c>
      <c r="I123" s="24" t="s">
        <v>61</v>
      </c>
    </row>
    <row r="128" spans="7:11">
      <c r="H128" s="24">
        <v>2023</v>
      </c>
      <c r="I128" s="24">
        <v>2024</v>
      </c>
      <c r="J128" s="24">
        <v>2025</v>
      </c>
    </row>
    <row r="129" spans="2:12">
      <c r="G129" s="115" t="s">
        <v>62</v>
      </c>
      <c r="H129" s="26">
        <f>H17-H130</f>
        <v>0.84</v>
      </c>
      <c r="I129" s="26">
        <f>I17-I130</f>
        <v>0.4900000000000001</v>
      </c>
      <c r="J129" s="26">
        <f>J17-J130</f>
        <v>0.17999999999999994</v>
      </c>
    </row>
    <row r="130" spans="2:12">
      <c r="G130" s="115" t="s">
        <v>63</v>
      </c>
      <c r="H130" s="24">
        <v>0</v>
      </c>
      <c r="I130" s="24">
        <v>0.6</v>
      </c>
      <c r="J130" s="24">
        <v>1.2</v>
      </c>
    </row>
    <row r="131" spans="2:12">
      <c r="G131" s="115" t="s">
        <v>64</v>
      </c>
      <c r="H131" s="26">
        <f>H20-H130-H129-H15-H13</f>
        <v>0</v>
      </c>
      <c r="I131" s="26">
        <f>I20-I130-I129-I15-I13</f>
        <v>0</v>
      </c>
      <c r="J131" s="26">
        <f>J20-J130-J129-J15-J13</f>
        <v>0</v>
      </c>
    </row>
    <row r="137" spans="2:12">
      <c r="G137" s="24">
        <f>'[4]LCFS Table'!$AR$246/'[4]LCFS Table'!$AR$224-1</f>
        <v>-8.7504036164029686E-2</v>
      </c>
    </row>
    <row r="141" spans="2:12">
      <c r="B141" s="24" t="s">
        <v>65</v>
      </c>
    </row>
    <row r="142" spans="2:12">
      <c r="B142" s="24" t="s">
        <v>66</v>
      </c>
      <c r="C142" s="24">
        <f t="shared" ref="C142:H142" si="33">C3</f>
        <v>2018</v>
      </c>
      <c r="D142" s="24">
        <f t="shared" si="33"/>
        <v>2019</v>
      </c>
      <c r="E142" s="24">
        <f t="shared" si="33"/>
        <v>2020</v>
      </c>
      <c r="F142" s="24">
        <f t="shared" si="33"/>
        <v>2021</v>
      </c>
      <c r="G142" s="24">
        <f t="shared" si="33"/>
        <v>2022</v>
      </c>
      <c r="H142" s="24">
        <f t="shared" si="33"/>
        <v>2023</v>
      </c>
      <c r="I142" s="24">
        <f>I3</f>
        <v>2024</v>
      </c>
      <c r="J142" s="24">
        <f>J3</f>
        <v>2025</v>
      </c>
      <c r="K142" s="24">
        <f>K3</f>
        <v>2026</v>
      </c>
      <c r="L142" s="24">
        <f>L3</f>
        <v>2027</v>
      </c>
    </row>
    <row r="143" spans="2:12">
      <c r="B143" s="24" t="s">
        <v>67</v>
      </c>
      <c r="C143" s="126">
        <f t="shared" ref="C143:H143" si="34">C31*1000</f>
        <v>309.84663699999999</v>
      </c>
      <c r="D143" s="126">
        <f t="shared" si="34"/>
        <v>420.37309699999997</v>
      </c>
      <c r="E143" s="126">
        <f t="shared" si="34"/>
        <v>435.47989200000001</v>
      </c>
      <c r="F143" s="126">
        <f t="shared" si="34"/>
        <v>471.00703300000004</v>
      </c>
      <c r="G143" s="126">
        <f t="shared" si="34"/>
        <v>446.42244800000003</v>
      </c>
      <c r="H143" s="126">
        <f t="shared" si="34"/>
        <v>480.75192599999997</v>
      </c>
      <c r="I143" s="126">
        <f>I31*1000</f>
        <v>426.45882699999999</v>
      </c>
      <c r="J143" s="126">
        <f>J31*1000</f>
        <v>250</v>
      </c>
      <c r="K143" s="126">
        <f>K31*1000</f>
        <v>325</v>
      </c>
      <c r="L143" s="126">
        <f>L31*1000</f>
        <v>300</v>
      </c>
    </row>
    <row r="144" spans="2:12">
      <c r="B144" s="24" t="s">
        <v>68</v>
      </c>
      <c r="C144" s="126">
        <f t="shared" ref="C144:H144" si="35">SUM(C145:C149)</f>
        <v>309.84663699999999</v>
      </c>
      <c r="D144" s="126">
        <f t="shared" si="35"/>
        <v>420.37309700000003</v>
      </c>
      <c r="E144" s="126">
        <f t="shared" si="35"/>
        <v>435.47989199999995</v>
      </c>
      <c r="F144" s="126">
        <f t="shared" si="35"/>
        <v>471.00703300000004</v>
      </c>
      <c r="G144" s="126">
        <f t="shared" si="35"/>
        <v>446.42244800000003</v>
      </c>
      <c r="H144" s="126">
        <f t="shared" si="35"/>
        <v>480.75192599999997</v>
      </c>
      <c r="I144" s="126">
        <f>SUM(I145:I149)</f>
        <v>426.45882699999999</v>
      </c>
      <c r="J144" s="126">
        <f>SUM(J145:J149)</f>
        <v>223.25610825000001</v>
      </c>
      <c r="K144" s="126">
        <f>SUM(K145:K149)</f>
        <v>273.75231812499999</v>
      </c>
      <c r="L144" s="126">
        <f>SUM(L145:L149)</f>
        <v>252.69444749999997</v>
      </c>
    </row>
    <row r="145" spans="2:12">
      <c r="B145" s="24" t="s">
        <v>69</v>
      </c>
      <c r="C145" s="126">
        <f>'[1]D4 Gallon Forecast'!J$12/1000000</f>
        <v>203.337808</v>
      </c>
      <c r="D145" s="126">
        <f>'[1]D4 Gallon Forecast'!K$12/1000000</f>
        <v>304.01964600000002</v>
      </c>
      <c r="E145" s="126">
        <f>'[1]D4 Gallon Forecast'!L$12/1000000</f>
        <v>359.21096699999998</v>
      </c>
      <c r="F145" s="126">
        <f>'[1]D4 Gallon Forecast'!M$12/1000000</f>
        <v>388.92914100000002</v>
      </c>
      <c r="G145" s="126">
        <f>'[1]D4 Gallon Forecast'!N$12/1000000</f>
        <v>371.460083</v>
      </c>
      <c r="H145" s="126">
        <f>'[1]D4 Gallon Forecast'!O$12/1000000</f>
        <v>421.26192099999997</v>
      </c>
      <c r="I145" s="126">
        <f>'[1]D4 Gallon Forecast'!P$12/1000000</f>
        <v>313.98210499999999</v>
      </c>
      <c r="J145" s="126">
        <f>'[1]D4 Gallon Forecast'!Q$12/1000000</f>
        <v>210.57870625000001</v>
      </c>
      <c r="K145" s="126">
        <f>'[1]D4 Gallon Forecast'!R$12/1000000</f>
        <v>273.75231812499999</v>
      </c>
      <c r="L145" s="126">
        <f>'[1]D4 Gallon Forecast'!S$12/1000000</f>
        <v>252.69444749999997</v>
      </c>
    </row>
    <row r="146" spans="2:12">
      <c r="B146" s="24" t="s">
        <v>70</v>
      </c>
      <c r="C146" s="126">
        <f>'[1]D4 Gallon Forecast'!J$16/1000000</f>
        <v>0</v>
      </c>
      <c r="D146" s="126">
        <f>'[1]D4 Gallon Forecast'!K$16/1000000</f>
        <v>0</v>
      </c>
      <c r="E146" s="126">
        <f>'[1]D4 Gallon Forecast'!L$16/1000000</f>
        <v>0</v>
      </c>
      <c r="F146" s="126">
        <f>'[1]D4 Gallon Forecast'!M$16/1000000</f>
        <v>2.8599060000000001</v>
      </c>
      <c r="G146" s="126">
        <f>'[1]D4 Gallon Forecast'!N$16/1000000</f>
        <v>0</v>
      </c>
      <c r="H146" s="126">
        <f>'[1]D4 Gallon Forecast'!O$16/1000000</f>
        <v>0</v>
      </c>
      <c r="I146" s="126">
        <f>'[1]D4 Gallon Forecast'!P$16/1000000</f>
        <v>112.476722</v>
      </c>
      <c r="J146" s="126">
        <f>'[1]D4 Gallon Forecast'!Q$16/1000000</f>
        <v>12.677402000000001</v>
      </c>
      <c r="K146" s="126">
        <f>'[1]D4 Gallon Forecast'!R$16/1000000</f>
        <v>0</v>
      </c>
      <c r="L146" s="126">
        <f>'[1]D4 Gallon Forecast'!S$16/1000000</f>
        <v>0</v>
      </c>
    </row>
    <row r="147" spans="2:12">
      <c r="B147" s="24" t="s">
        <v>71</v>
      </c>
      <c r="C147" s="126">
        <f>'[1]D5 Gallon Forecast'!J$10/1000000</f>
        <v>0</v>
      </c>
      <c r="D147" s="126">
        <f>'[1]D5 Gallon Forecast'!K$10/1000000</f>
        <v>0</v>
      </c>
      <c r="E147" s="126">
        <f>'[1]D5 Gallon Forecast'!L$10/1000000</f>
        <v>0</v>
      </c>
      <c r="F147" s="126">
        <f>'[1]D5 Gallon Forecast'!M$10/1000000</f>
        <v>0</v>
      </c>
      <c r="G147" s="126">
        <f>'[1]D5 Gallon Forecast'!N$10/1000000</f>
        <v>0</v>
      </c>
      <c r="H147" s="126">
        <f>'[1]D5 Gallon Forecast'!O$10/1000000</f>
        <v>0</v>
      </c>
      <c r="I147" s="126">
        <f>'[1]D5 Gallon Forecast'!P$10/1000000</f>
        <v>0</v>
      </c>
      <c r="J147" s="126">
        <f>'[1]D5 Gallon Forecast'!Q$10/1000000</f>
        <v>0</v>
      </c>
      <c r="K147" s="126">
        <f>'[1]D5 Gallon Forecast'!R$10/1000000</f>
        <v>0</v>
      </c>
      <c r="L147" s="126">
        <f>'[1]D5 Gallon Forecast'!S$10/1000000</f>
        <v>0</v>
      </c>
    </row>
    <row r="148" spans="2:12">
      <c r="B148" s="24" t="s">
        <v>72</v>
      </c>
      <c r="C148" s="126">
        <f>'[1]D6 Gallon Forecast'!J$14/1000000</f>
        <v>106.50882900000001</v>
      </c>
      <c r="D148" s="126">
        <f>'[1]D6 Gallon Forecast'!K$14/1000000</f>
        <v>116.35345100000001</v>
      </c>
      <c r="E148" s="126">
        <f>'[1]D6 Gallon Forecast'!L$14/1000000</f>
        <v>76.268924999999996</v>
      </c>
      <c r="F148" s="126">
        <f>'[1]D6 Gallon Forecast'!M$14/1000000</f>
        <v>79.217985999999996</v>
      </c>
      <c r="G148" s="126">
        <f>'[1]D6 Gallon Forecast'!N$14/1000000</f>
        <v>74.962365000000005</v>
      </c>
      <c r="H148" s="126">
        <f>'[1]D6 Gallon Forecast'!O$14/1000000</f>
        <v>59.490004999999996</v>
      </c>
      <c r="I148" s="126">
        <f>'[1]D6 Gallon Forecast'!P$14/1000000</f>
        <v>0</v>
      </c>
      <c r="J148" s="126">
        <f>'[1]D6 Gallon Forecast'!Q$14/1000000</f>
        <v>0</v>
      </c>
      <c r="K148" s="126">
        <f>'[1]D6 Gallon Forecast'!R$14/1000000</f>
        <v>0</v>
      </c>
      <c r="L148" s="126">
        <f>'[1]D6 Gallon Forecast'!S$14/1000000</f>
        <v>0</v>
      </c>
    </row>
    <row r="149" spans="2:12">
      <c r="B149" s="24" t="s">
        <v>73</v>
      </c>
      <c r="C149" s="126">
        <f>'[1]D6 Gallon Forecast'!J$15/1000000</f>
        <v>0</v>
      </c>
      <c r="D149" s="126">
        <f>'[1]D6 Gallon Forecast'!K$15/1000000</f>
        <v>0</v>
      </c>
      <c r="E149" s="126">
        <f>'[1]D6 Gallon Forecast'!L$15/1000000</f>
        <v>0</v>
      </c>
      <c r="F149" s="126">
        <f>'[1]D6 Gallon Forecast'!M$15/1000000</f>
        <v>0</v>
      </c>
      <c r="G149" s="126">
        <f>'[1]D6 Gallon Forecast'!N$15/1000000</f>
        <v>0</v>
      </c>
      <c r="H149" s="126">
        <f>'[1]D6 Gallon Forecast'!O$15/1000000</f>
        <v>0</v>
      </c>
      <c r="I149" s="126">
        <f>'[1]D6 Gallon Forecast'!P$15/1000000</f>
        <v>0</v>
      </c>
      <c r="J149" s="126">
        <f>'[1]D6 Gallon Forecast'!Q$15/1000000</f>
        <v>0</v>
      </c>
      <c r="K149" s="126">
        <f>'[1]D6 Gallon Forecast'!R$15/1000000</f>
        <v>0</v>
      </c>
      <c r="L149" s="126">
        <f>'[1]D6 Gallon Forecast'!S$15/1000000</f>
        <v>0</v>
      </c>
    </row>
    <row r="150" spans="2:12">
      <c r="B150" s="24" t="s">
        <v>74</v>
      </c>
      <c r="C150" s="126">
        <f>(C143-C144)*1000000</f>
        <v>0</v>
      </c>
      <c r="D150" s="126">
        <f>(D143-D144)*1000000</f>
        <v>-5.6843418860808015E-8</v>
      </c>
      <c r="E150" s="126">
        <f>(E143-E144)*1000000</f>
        <v>5.6843418860808015E-8</v>
      </c>
      <c r="F150" s="126">
        <f>(F143-F144)*1000000</f>
        <v>0</v>
      </c>
      <c r="G150" s="126">
        <f>(G143-G144)*1000000</f>
        <v>0</v>
      </c>
      <c r="H150" s="126">
        <f>(H143-H144)</f>
        <v>0</v>
      </c>
      <c r="I150" s="126">
        <f>(I143-I144)</f>
        <v>0</v>
      </c>
      <c r="J150" s="126">
        <f>(J143-J144)</f>
        <v>26.743891749999989</v>
      </c>
      <c r="K150" s="126">
        <f>(K143-K144)</f>
        <v>51.247681875000012</v>
      </c>
      <c r="L150" s="126">
        <f>(L143-L144)</f>
        <v>47.305552500000033</v>
      </c>
    </row>
    <row r="152" spans="2:12">
      <c r="B152" s="24" t="s">
        <v>68</v>
      </c>
    </row>
    <row r="153" spans="2:12">
      <c r="B153" s="24" t="s">
        <v>69</v>
      </c>
      <c r="C153" s="131">
        <f t="shared" ref="C153:I157" si="36">C145/C$144</f>
        <v>0.65625307400060628</v>
      </c>
      <c r="D153" s="131">
        <f t="shared" si="36"/>
        <v>0.72321385019555617</v>
      </c>
      <c r="E153" s="131">
        <f t="shared" si="36"/>
        <v>0.82486234978674977</v>
      </c>
      <c r="F153" s="131">
        <f t="shared" si="36"/>
        <v>0.82573956172752094</v>
      </c>
      <c r="G153" s="131">
        <f t="shared" si="36"/>
        <v>0.83208199915609971</v>
      </c>
      <c r="H153" s="131">
        <f t="shared" si="36"/>
        <v>0.87625633558044236</v>
      </c>
      <c r="I153" s="131">
        <f t="shared" si="36"/>
        <v>0.73625420584857537</v>
      </c>
    </row>
    <row r="154" spans="2:12">
      <c r="B154" s="24" t="s">
        <v>70</v>
      </c>
      <c r="C154" s="131">
        <f t="shared" si="36"/>
        <v>0</v>
      </c>
      <c r="D154" s="131">
        <f t="shared" si="36"/>
        <v>0</v>
      </c>
      <c r="E154" s="131">
        <f t="shared" si="36"/>
        <v>0</v>
      </c>
      <c r="F154" s="131">
        <f t="shared" si="36"/>
        <v>6.0718965952255748E-3</v>
      </c>
      <c r="G154" s="131">
        <f t="shared" si="36"/>
        <v>0</v>
      </c>
      <c r="H154" s="131">
        <f t="shared" si="36"/>
        <v>0</v>
      </c>
      <c r="I154" s="131">
        <f t="shared" si="36"/>
        <v>0.26374579415142463</v>
      </c>
    </row>
    <row r="155" spans="2:12">
      <c r="B155" s="24" t="s">
        <v>71</v>
      </c>
      <c r="C155" s="131">
        <f t="shared" si="36"/>
        <v>0</v>
      </c>
      <c r="D155" s="131">
        <f t="shared" si="36"/>
        <v>0</v>
      </c>
      <c r="E155" s="131">
        <f t="shared" si="36"/>
        <v>0</v>
      </c>
      <c r="F155" s="131">
        <f t="shared" si="36"/>
        <v>0</v>
      </c>
      <c r="G155" s="131">
        <f t="shared" si="36"/>
        <v>0</v>
      </c>
      <c r="H155" s="131">
        <f t="shared" si="36"/>
        <v>0</v>
      </c>
      <c r="I155" s="131">
        <f t="shared" si="36"/>
        <v>0</v>
      </c>
    </row>
    <row r="156" spans="2:12">
      <c r="B156" s="24" t="s">
        <v>72</v>
      </c>
      <c r="C156" s="131">
        <f t="shared" si="36"/>
        <v>0.34374692599939372</v>
      </c>
      <c r="D156" s="131">
        <f t="shared" si="36"/>
        <v>0.27678614980444383</v>
      </c>
      <c r="E156" s="131">
        <f t="shared" si="36"/>
        <v>0.17513765021325026</v>
      </c>
      <c r="F156" s="131">
        <f t="shared" si="36"/>
        <v>0.16818854167725344</v>
      </c>
      <c r="G156" s="131">
        <f t="shared" si="36"/>
        <v>0.16791800084390021</v>
      </c>
      <c r="H156" s="131">
        <f t="shared" si="36"/>
        <v>0.12374366441955763</v>
      </c>
      <c r="I156" s="131">
        <f t="shared" si="36"/>
        <v>0</v>
      </c>
    </row>
    <row r="157" spans="2:12">
      <c r="B157" s="24" t="s">
        <v>73</v>
      </c>
      <c r="C157" s="131">
        <f t="shared" si="36"/>
        <v>0</v>
      </c>
      <c r="D157" s="131">
        <f t="shared" si="36"/>
        <v>0</v>
      </c>
      <c r="E157" s="131">
        <f t="shared" si="36"/>
        <v>0</v>
      </c>
      <c r="F157" s="131">
        <f t="shared" si="36"/>
        <v>0</v>
      </c>
      <c r="G157" s="131">
        <f t="shared" si="36"/>
        <v>0</v>
      </c>
      <c r="H157" s="131">
        <f t="shared" si="36"/>
        <v>0</v>
      </c>
      <c r="I157" s="131">
        <f t="shared" si="36"/>
        <v>0</v>
      </c>
    </row>
    <row r="160" spans="2:12">
      <c r="B160" s="115" t="s">
        <v>75</v>
      </c>
      <c r="C160" s="132">
        <f>('[1]D3 Gallon Forecast'!J$3+'[1]D3 Gallon Forecast'!J$6+'[1]D3 Gallon Forecast'!J$9+'[1]D3 Gallon Forecast'!J$12+'[1]D4 Gallon Forecast'!J$6+'[1]D4 Gallon Forecast'!J$12+'[1]D4 Gallon Forecast'!J$16+'[1]D4 Gallon Forecast'!J$25+'[1]D4 Gallon Forecast'!J$24+'[1]D5 Gallon Forecast'!J$3+'[1]D5 Gallon Forecast'!J$10+'[1]D5 Gallon Forecast'!J$11+'[1]D5 Gallon Forecast'!J$14+'[1]D5 Gallon Forecast'!J$17+'[1]D5 Gallon Forecast'!J$22+'[1]D5 Gallon Forecast'!J$25)/1000000000</f>
        <v>0.81819555399999999</v>
      </c>
      <c r="D160" s="132">
        <f>('[1]D3 Gallon Forecast'!K$3+'[1]D3 Gallon Forecast'!K$6+'[1]D3 Gallon Forecast'!K$9+'[1]D3 Gallon Forecast'!K$12+'[1]D4 Gallon Forecast'!K$6+'[1]D4 Gallon Forecast'!K$12+'[1]D4 Gallon Forecast'!K$16+'[1]D4 Gallon Forecast'!K$25+'[1]D4 Gallon Forecast'!K$24+'[1]D5 Gallon Forecast'!K$3+'[1]D5 Gallon Forecast'!K$10+'[1]D5 Gallon Forecast'!K$11+'[1]D5 Gallon Forecast'!K$14+'[1]D5 Gallon Forecast'!K$17+'[1]D5 Gallon Forecast'!K$22+'[1]D5 Gallon Forecast'!K$25)/1000000000</f>
        <v>1.153262045</v>
      </c>
      <c r="E160" s="132">
        <f>('[1]D3 Gallon Forecast'!L$3+'[1]D3 Gallon Forecast'!L$6+'[1]D3 Gallon Forecast'!L$9+'[1]D3 Gallon Forecast'!L$12+'[1]D4 Gallon Forecast'!L$6+'[1]D4 Gallon Forecast'!L$12+'[1]D4 Gallon Forecast'!L$16+'[1]D4 Gallon Forecast'!L$25+'[1]D4 Gallon Forecast'!L$24+'[1]D5 Gallon Forecast'!L$3+'[1]D5 Gallon Forecast'!L$10+'[1]D5 Gallon Forecast'!L$11+'[1]D5 Gallon Forecast'!L$14+'[1]D5 Gallon Forecast'!L$17+'[1]D5 Gallon Forecast'!L$22+'[1]D5 Gallon Forecast'!L$25)/1000000000</f>
        <v>1.3115605370000001</v>
      </c>
      <c r="F160" s="132">
        <f>('[1]D3 Gallon Forecast'!M$3+'[1]D3 Gallon Forecast'!M$6+'[1]D3 Gallon Forecast'!M$9+'[1]D3 Gallon Forecast'!M$12+'[1]D4 Gallon Forecast'!M$6+'[1]D4 Gallon Forecast'!M$12+'[1]D4 Gallon Forecast'!M$16+'[1]D4 Gallon Forecast'!M$25+'[1]D4 Gallon Forecast'!M$24+'[1]D5 Gallon Forecast'!M$3+'[1]D5 Gallon Forecast'!M$10+'[1]D5 Gallon Forecast'!M$11+'[1]D5 Gallon Forecast'!M$14+'[1]D5 Gallon Forecast'!M$17+'[1]D5 Gallon Forecast'!M$22+'[1]D5 Gallon Forecast'!M$25)/1000000000</f>
        <v>1.2846431410000001</v>
      </c>
      <c r="G160" s="132">
        <f>('[1]D3 Gallon Forecast'!N$3+'[1]D3 Gallon Forecast'!N$6+'[1]D3 Gallon Forecast'!N$9+'[1]D3 Gallon Forecast'!N$12+'[1]D4 Gallon Forecast'!N$6+'[1]D4 Gallon Forecast'!N$12+'[1]D4 Gallon Forecast'!N$16+'[1]D4 Gallon Forecast'!N$25+'[1]D4 Gallon Forecast'!N$24+'[1]D5 Gallon Forecast'!N$3+'[1]D5 Gallon Forecast'!N$10+'[1]D5 Gallon Forecast'!N$11+'[1]D5 Gallon Forecast'!N$14+'[1]D5 Gallon Forecast'!N$17+'[1]D5 Gallon Forecast'!N$22+'[1]D5 Gallon Forecast'!N$25)/1000000000</f>
        <v>1.4691051639999999</v>
      </c>
      <c r="H160" s="132">
        <f>('[1]D3 Gallon Forecast'!O$3+'[1]D3 Gallon Forecast'!O$6+'[1]D3 Gallon Forecast'!O$9+'[1]D3 Gallon Forecast'!O$12+'[1]D4 Gallon Forecast'!O$6+'[1]D4 Gallon Forecast'!O$12+'[1]D4 Gallon Forecast'!O$16+'[1]D4 Gallon Forecast'!O$25+'[1]D4 Gallon Forecast'!O$24+'[1]D5 Gallon Forecast'!O$3+'[1]D5 Gallon Forecast'!O$10+'[1]D5 Gallon Forecast'!O$11+'[1]D5 Gallon Forecast'!O$14+'[1]D5 Gallon Forecast'!O$17+'[1]D5 Gallon Forecast'!O$22+'[1]D5 Gallon Forecast'!O$25)/1000000000</f>
        <v>1.8262040150000001</v>
      </c>
      <c r="I160" s="132">
        <f>('[1]D3 Gallon Forecast'!P$3+'[1]D3 Gallon Forecast'!P$6+'[1]D3 Gallon Forecast'!P$9+'[1]D3 Gallon Forecast'!P$12+'[1]D4 Gallon Forecast'!P$6+'[1]D4 Gallon Forecast'!P$12+'[1]D4 Gallon Forecast'!P$16+'[1]D4 Gallon Forecast'!P$25+'[1]D4 Gallon Forecast'!P$24+'[1]D5 Gallon Forecast'!P$3+'[1]D5 Gallon Forecast'!P$10+'[1]D5 Gallon Forecast'!P$11+'[1]D5 Gallon Forecast'!P$14+'[1]D5 Gallon Forecast'!P$17+'[1]D5 Gallon Forecast'!P$22+'[1]D5 Gallon Forecast'!P$25)/1000000000</f>
        <v>1.9164570299999999</v>
      </c>
      <c r="J160" s="132">
        <f>('[1]D3 Gallon Forecast'!Q$3+'[1]D3 Gallon Forecast'!Q$6+'[1]D3 Gallon Forecast'!Q$9+'[1]D3 Gallon Forecast'!Q$12+'[1]D4 Gallon Forecast'!Q$6+'[1]D4 Gallon Forecast'!Q$12+'[1]D4 Gallon Forecast'!Q$16+'[1]D4 Gallon Forecast'!Q$25+'[1]D4 Gallon Forecast'!Q$24+'[1]D5 Gallon Forecast'!Q$3+'[1]D5 Gallon Forecast'!Q$10+'[1]D5 Gallon Forecast'!Q$11+'[1]D5 Gallon Forecast'!Q$14+'[1]D5 Gallon Forecast'!Q$17+'[1]D5 Gallon Forecast'!Q$22+'[1]D5 Gallon Forecast'!Q$25)/1000000000</f>
        <v>1.3923012334934852</v>
      </c>
    </row>
    <row r="161" spans="2:10">
      <c r="B161" s="115" t="s">
        <v>76</v>
      </c>
      <c r="C161" s="132">
        <f>('[1]D4 Gallon Forecast'!J$4+'[1]D4 Gallon Forecast'!J$8+'[1]D4 Gallon Forecast'!J$21+'[1]D5 Gallon Forecast'!J$7)/1000000000</f>
        <v>2.1624334479999998</v>
      </c>
      <c r="D161" s="132">
        <f>('[1]D4 Gallon Forecast'!K$4+'[1]D4 Gallon Forecast'!K$8+'[1]D4 Gallon Forecast'!K$21+'[1]D5 Gallon Forecast'!K$7)/1000000000</f>
        <v>2.2083282899999999</v>
      </c>
      <c r="E161" s="132">
        <f>('[1]D4 Gallon Forecast'!L$4+'[1]D4 Gallon Forecast'!L$8+'[1]D4 Gallon Forecast'!L$21+'[1]D5 Gallon Forecast'!L$7)/1000000000</f>
        <v>2.3629903840000002</v>
      </c>
      <c r="F161" s="132">
        <f>('[1]D4 Gallon Forecast'!M$4+'[1]D4 Gallon Forecast'!M$8+'[1]D4 Gallon Forecast'!M$21+'[1]D5 Gallon Forecast'!M$7)/1000000000</f>
        <v>2.5551388639999999</v>
      </c>
      <c r="G161" s="132">
        <f>('[1]D4 Gallon Forecast'!N$4+'[1]D4 Gallon Forecast'!N$8+'[1]D4 Gallon Forecast'!N$21+'[1]D5 Gallon Forecast'!N$7)/1000000000</f>
        <v>3.083438906</v>
      </c>
      <c r="H161" s="132">
        <f>('[1]D4 Gallon Forecast'!O$4+'[1]D4 Gallon Forecast'!O$8+'[1]D4 Gallon Forecast'!O$21+'[1]D5 Gallon Forecast'!O$7)/1000000000</f>
        <v>4.1086820550000001</v>
      </c>
      <c r="I161" s="132">
        <f>('[1]D4 Gallon Forecast'!P$4+'[1]D4 Gallon Forecast'!P$8+'[1]D4 Gallon Forecast'!P$21+'[1]D5 Gallon Forecast'!P$7)/1000000000</f>
        <v>4.8367557550000004</v>
      </c>
      <c r="J161" s="132">
        <f>('[1]D4 Gallon Forecast'!Q$4+'[1]D4 Gallon Forecast'!Q$8+'[1]D4 Gallon Forecast'!Q$21+'[1]D5 Gallon Forecast'!Q$7)/1000000000</f>
        <v>4.2715996820132016</v>
      </c>
    </row>
    <row r="162" spans="2:10">
      <c r="C162" s="133">
        <f>C160/C163</f>
        <v>0.27450432558060439</v>
      </c>
      <c r="D162" s="133">
        <f>D160/D163</f>
        <v>0.34307037148237163</v>
      </c>
      <c r="E162" s="133">
        <f>E160/E163</f>
        <v>0.33394395147596551</v>
      </c>
      <c r="F162" s="132">
        <f>F161+F160</f>
        <v>3.839782005</v>
      </c>
      <c r="G162" s="132">
        <f>G161+G160</f>
        <v>4.5525440699999997</v>
      </c>
      <c r="H162" s="132">
        <f>H161+H160</f>
        <v>5.9348860700000001</v>
      </c>
      <c r="I162" s="132">
        <f>I161+I160</f>
        <v>6.7532127850000006</v>
      </c>
      <c r="J162" s="132">
        <f>J161+J160</f>
        <v>5.6639009155066873</v>
      </c>
    </row>
    <row r="163" spans="2:10">
      <c r="B163" s="115" t="s">
        <v>77</v>
      </c>
      <c r="C163" s="134">
        <f>('[1]D4 Gallon Forecast'!J$27+'[1]D3 Gallon Forecast'!J$15+'[1]D5 Gallon Forecast'!J$28)/1000000000</f>
        <v>2.9806290020000001</v>
      </c>
      <c r="D163" s="134">
        <f>('[1]D4 Gallon Forecast'!K$27+'[1]D3 Gallon Forecast'!K$15+'[1]D5 Gallon Forecast'!K$28)/1000000000</f>
        <v>3.3615903349999998</v>
      </c>
      <c r="E163" s="134">
        <f>('[1]D4 Gallon Forecast'!L$27+('[1]D3 Gallon Forecast'!L$15*1.5)+'[1]D5 Gallon Forecast'!L$28)/1000000000</f>
        <v>3.9274870265000001</v>
      </c>
      <c r="F163" s="134">
        <f>('[1]D4 Gallon Forecast'!M$27+('[1]D3 Gallon Forecast'!M$15*1.5)+'[1]D5 Gallon Forecast'!M$28)/1000000000</f>
        <v>4.1239890819999996</v>
      </c>
      <c r="G163" s="134">
        <f>('[1]D4 Gallon Forecast'!N$27+'[1]D3 Gallon Forecast'!N$15+'[1]D5 Gallon Forecast'!N$28)/1000000000</f>
        <v>4.5525440699999997</v>
      </c>
      <c r="H163" s="134">
        <f>('[1]D4 Gallon Forecast'!O$27+'[1]D3 Gallon Forecast'!O$15+'[1]D5 Gallon Forecast'!O$28)/1000000000</f>
        <v>5.9348860700000001</v>
      </c>
      <c r="I163" s="134">
        <f>('[1]D4 Gallon Forecast'!P$27+'[1]D3 Gallon Forecast'!P$15+'[1]D5 Gallon Forecast'!P$28)/1000000000</f>
        <v>6.7532127849999997</v>
      </c>
      <c r="J163" s="134">
        <f>('[1]D4 Gallon Forecast'!Q$27+'[1]D3 Gallon Forecast'!Q$15+'[1]D5 Gallon Forecast'!Q$28)/1000000000</f>
        <v>5.6639009155066873</v>
      </c>
    </row>
    <row r="164" spans="2:10">
      <c r="B164" s="115" t="s">
        <v>78</v>
      </c>
      <c r="C164" s="135">
        <f t="shared" ref="C164:J164" si="37">C20</f>
        <v>4.29</v>
      </c>
      <c r="D164" s="135">
        <f t="shared" si="37"/>
        <v>4.92</v>
      </c>
      <c r="E164" s="135">
        <f t="shared" si="37"/>
        <v>4.63</v>
      </c>
      <c r="F164" s="135">
        <f t="shared" si="37"/>
        <v>5.05</v>
      </c>
      <c r="G164" s="135">
        <f t="shared" si="37"/>
        <v>5.63</v>
      </c>
      <c r="H164" s="135">
        <f t="shared" si="37"/>
        <v>5.94</v>
      </c>
      <c r="I164" s="135">
        <f t="shared" si="37"/>
        <v>6.54</v>
      </c>
      <c r="J164" s="135">
        <f t="shared" si="37"/>
        <v>7.33</v>
      </c>
    </row>
    <row r="165" spans="2:10">
      <c r="C165" s="124"/>
      <c r="D165" s="124"/>
      <c r="E165" s="124"/>
      <c r="F165" s="124"/>
      <c r="G165" s="124"/>
      <c r="H165" s="124"/>
      <c r="I165" s="124"/>
      <c r="J165" s="124"/>
    </row>
    <row r="166" spans="2:10">
      <c r="B166" s="24" t="s">
        <v>79</v>
      </c>
      <c r="C166" s="136">
        <v>2018</v>
      </c>
      <c r="D166" s="136">
        <v>2019</v>
      </c>
      <c r="E166" s="136">
        <v>2020</v>
      </c>
      <c r="F166" s="136">
        <v>2021</v>
      </c>
      <c r="G166" s="136">
        <v>2022</v>
      </c>
      <c r="H166" s="136">
        <v>2023</v>
      </c>
      <c r="I166" s="136">
        <v>2024</v>
      </c>
      <c r="J166" s="136">
        <v>2025</v>
      </c>
    </row>
    <row r="167" spans="2:10">
      <c r="B167" s="24" t="s">
        <v>28</v>
      </c>
      <c r="C167" s="137">
        <f>('[1]D4 Gallon Forecast'!J$4+'[1]D6 Gallon Forecast'!J$4)/1000000000</f>
        <v>1.85545275</v>
      </c>
      <c r="D167" s="137">
        <f>('[1]D4 Gallon Forecast'!K$4+'[1]D6 Gallon Forecast'!K$4)/1000000000</f>
        <v>1.713773577</v>
      </c>
      <c r="E167" s="137">
        <f>('[1]D4 Gallon Forecast'!L$4+'[1]D6 Gallon Forecast'!L$4)/1000000000</f>
        <v>1.8248736379999999</v>
      </c>
      <c r="F167" s="137">
        <f>('[1]D4 Gallon Forecast'!M$4+'[1]D6 Gallon Forecast'!M$4)/1000000000</f>
        <v>1.704627334</v>
      </c>
      <c r="G167" s="137">
        <f>('[1]D4 Gallon Forecast'!N$4+'[1]D6 Gallon Forecast'!N$4)/1000000000</f>
        <v>1.6202090629999999</v>
      </c>
      <c r="H167" s="137">
        <f>('[1]D4 Gallon Forecast'!O$4+'[1]D6 Gallon Forecast'!O$4)/1000000000</f>
        <v>1.6721473330000001</v>
      </c>
      <c r="I167" s="137">
        <f>('[1]D4 Gallon Forecast'!P$4+'[1]D6 Gallon Forecast'!P$4)/1000000000</f>
        <v>1.6697063320000001</v>
      </c>
      <c r="J167" s="137">
        <f>('[1]D4 Gallon Forecast'!Q$4+'[1]D6 Gallon Forecast'!Q$4)/1000000000</f>
        <v>1.5859544368642269</v>
      </c>
    </row>
    <row r="168" spans="2:10">
      <c r="B168" s="24" t="s">
        <v>30</v>
      </c>
      <c r="C168" s="138">
        <f>('[1]D4 Gallon Forecast'!J$8+'[1]D5 Gallon Forecast'!J$7+'[1]D6 Gallon Forecast'!J$13)/1000000000</f>
        <v>0.30548444699999999</v>
      </c>
      <c r="D168" s="138">
        <f>('[1]D4 Gallon Forecast'!K$8+'[1]D5 Gallon Forecast'!K$7+'[1]D6 Gallon Forecast'!K$13)/1000000000</f>
        <v>0.49213718899999997</v>
      </c>
      <c r="E168" s="138">
        <f>('[1]D4 Gallon Forecast'!L$8+'[1]D5 Gallon Forecast'!L$7+'[1]D6 Gallon Forecast'!L$13)/1000000000</f>
        <v>0.53350834700000005</v>
      </c>
      <c r="F168" s="138">
        <f>('[1]D4 Gallon Forecast'!M$8+'[1]D5 Gallon Forecast'!M$7+'[1]D6 Gallon Forecast'!M$13)/1000000000</f>
        <v>0.84543490700000001</v>
      </c>
      <c r="G168" s="138">
        <f>('[1]D4 Gallon Forecast'!N$8+'[1]D5 Gallon Forecast'!N$7+'[1]D6 Gallon Forecast'!N$13)/1000000000</f>
        <v>1.455336706</v>
      </c>
      <c r="H168" s="138">
        <f>('[1]D4 Gallon Forecast'!O$8+'[1]D5 Gallon Forecast'!O$7+'[1]D6 Gallon Forecast'!O$13)/1000000000</f>
        <v>2.4277964089999999</v>
      </c>
      <c r="I168" s="138">
        <f>('[1]D4 Gallon Forecast'!P$8+'[1]D5 Gallon Forecast'!P$7+'[1]D6 Gallon Forecast'!P$13)/1000000000</f>
        <v>3.137465664</v>
      </c>
      <c r="J168" s="138">
        <f>('[1]D4 Gallon Forecast'!Q$8+'[1]D5 Gallon Forecast'!Q$7+'[1]D6 Gallon Forecast'!Q$13)/1000000000</f>
        <v>2.5512217351327928</v>
      </c>
    </row>
    <row r="169" spans="2:10">
      <c r="B169" s="24" t="s">
        <v>80</v>
      </c>
      <c r="C169" s="139">
        <f>C168+C167</f>
        <v>2.160937197</v>
      </c>
      <c r="D169" s="139">
        <f t="shared" ref="D169:J169" si="38">D168+D167</f>
        <v>2.2059107660000001</v>
      </c>
      <c r="E169" s="139">
        <f t="shared" si="38"/>
        <v>2.3583819849999998</v>
      </c>
      <c r="F169" s="139">
        <f t="shared" si="38"/>
        <v>2.550062241</v>
      </c>
      <c r="G169" s="139">
        <f t="shared" si="38"/>
        <v>3.0755457689999997</v>
      </c>
      <c r="H169" s="139">
        <f t="shared" si="38"/>
        <v>4.0999437419999998</v>
      </c>
      <c r="I169" s="139">
        <f t="shared" si="38"/>
        <v>4.8071719960000001</v>
      </c>
      <c r="J169" s="139">
        <f t="shared" si="38"/>
        <v>4.1371761719970195</v>
      </c>
    </row>
    <row r="170" spans="2:10">
      <c r="F170" s="139"/>
      <c r="G170" s="139"/>
      <c r="H170" s="139"/>
    </row>
    <row r="171" spans="2:10">
      <c r="B171" s="24" t="s">
        <v>81</v>
      </c>
    </row>
    <row r="172" spans="2:10">
      <c r="B172" s="24" t="s">
        <v>28</v>
      </c>
      <c r="C172" s="139">
        <f>('[1]D4 Gallon Forecast'!J$5+'[1]D4 Gallon Forecast'!J$6+'[1]D6 Gallon Forecast'!J$5)/1000000000</f>
        <v>0.17514132099999999</v>
      </c>
      <c r="D172" s="139">
        <f>('[1]D4 Gallon Forecast'!K$5+'[1]D4 Gallon Forecast'!K$6+'[1]D6 Gallon Forecast'!K$5)/1000000000</f>
        <v>0.184741553</v>
      </c>
      <c r="E172" s="139">
        <f>('[1]D4 Gallon Forecast'!L$5+'[1]D4 Gallon Forecast'!L$6+'[1]D6 Gallon Forecast'!L$5)/1000000000</f>
        <v>0.20949367399999999</v>
      </c>
      <c r="F172" s="139">
        <f>('[1]D4 Gallon Forecast'!M$5+'[1]D4 Gallon Forecast'!M$6+'[1]D6 Gallon Forecast'!M$5)/1000000000</f>
        <v>0.208450727</v>
      </c>
      <c r="G172" s="139">
        <f>('[1]D4 Gallon Forecast'!N$5+'[1]D4 Gallon Forecast'!N$6+'[1]D6 Gallon Forecast'!N$5)/1000000000</f>
        <v>0.240324591</v>
      </c>
      <c r="H172" s="139">
        <f>('[1]D4 Gallon Forecast'!O$5+'[1]D4 Gallon Forecast'!O$6+'[1]D6 Gallon Forecast'!O$5)/1000000000</f>
        <v>0.51134665099999999</v>
      </c>
      <c r="I172" s="139">
        <f>('[1]D4 Gallon Forecast'!P$5+'[1]D4 Gallon Forecast'!P$6+'[1]D6 Gallon Forecast'!P$5)/1000000000</f>
        <v>0.40428373200000001</v>
      </c>
      <c r="J172" s="139">
        <f>('[1]D4 Gallon Forecast'!Q$5+'[1]D4 Gallon Forecast'!Q$6+'[1]D6 Gallon Forecast'!Q$5)/1000000000</f>
        <v>0.34</v>
      </c>
    </row>
    <row r="173" spans="2:10">
      <c r="B173" s="24" t="s">
        <v>30</v>
      </c>
      <c r="C173" s="139">
        <f>('[1]D4 Gallon Forecast'!J$12+'[1]D4 Gallon Forecast'!J$16+'[1]D5 Gallon Forecast'!J$10+'[1]D6 Gallon Forecast'!J$14+'[1]D6 Gallon Forecast'!J$15)/1000000000</f>
        <v>0.30984663699999998</v>
      </c>
      <c r="D173" s="139">
        <f>('[1]D4 Gallon Forecast'!K$12+'[1]D4 Gallon Forecast'!K$16+'[1]D5 Gallon Forecast'!K$10+'[1]D6 Gallon Forecast'!K$14+'[1]D6 Gallon Forecast'!K$15)/1000000000</f>
        <v>0.42037309699999997</v>
      </c>
      <c r="E173" s="139">
        <f>('[1]D4 Gallon Forecast'!L$12+'[1]D4 Gallon Forecast'!L$16+'[1]D5 Gallon Forecast'!L$10+'[1]D6 Gallon Forecast'!L$14+'[1]D6 Gallon Forecast'!L$15)/1000000000</f>
        <v>0.43547989199999998</v>
      </c>
      <c r="F173" s="139">
        <f>('[1]D4 Gallon Forecast'!M$12+'[1]D4 Gallon Forecast'!M$16+'[1]D5 Gallon Forecast'!M$10+'[1]D6 Gallon Forecast'!M$14+'[1]D6 Gallon Forecast'!M$15)/1000000000</f>
        <v>0.47100703300000002</v>
      </c>
      <c r="G173" s="139">
        <f>('[1]D4 Gallon Forecast'!N$12+'[1]D4 Gallon Forecast'!N$16+'[1]D5 Gallon Forecast'!N$10+'[1]D6 Gallon Forecast'!N$14+'[1]D6 Gallon Forecast'!N$15)/1000000000</f>
        <v>0.44642244800000003</v>
      </c>
      <c r="H173" s="139">
        <f>('[1]D4 Gallon Forecast'!O$12+'[1]D4 Gallon Forecast'!O$16+'[1]D5 Gallon Forecast'!O$10+'[1]D6 Gallon Forecast'!O$14+'[1]D6 Gallon Forecast'!O$15)/1000000000</f>
        <v>0.480751926</v>
      </c>
      <c r="I173" s="139">
        <f>('[1]D4 Gallon Forecast'!P$12+'[1]D4 Gallon Forecast'!P$16+'[1]D5 Gallon Forecast'!P$10+'[1]D6 Gallon Forecast'!P$14+'[1]D6 Gallon Forecast'!P$15)/1000000000</f>
        <v>0.42645882699999998</v>
      </c>
      <c r="J173" s="139">
        <f>('[1]D4 Gallon Forecast'!Q$12+'[1]D4 Gallon Forecast'!Q$16+'[1]D5 Gallon Forecast'!Q$10+'[1]D6 Gallon Forecast'!Q$14+'[1]D6 Gallon Forecast'!Q$15)/1000000000</f>
        <v>0.22325610825</v>
      </c>
    </row>
    <row r="174" spans="2:10">
      <c r="B174" s="24" t="s">
        <v>82</v>
      </c>
      <c r="C174" s="139">
        <f>C173+C172</f>
        <v>0.48498795799999994</v>
      </c>
      <c r="D174" s="139">
        <f t="shared" ref="D174:J174" si="39">D173+D172</f>
        <v>0.60511464999999998</v>
      </c>
      <c r="E174" s="139">
        <f t="shared" si="39"/>
        <v>0.644973566</v>
      </c>
      <c r="F174" s="139">
        <f t="shared" si="39"/>
        <v>0.67945776000000002</v>
      </c>
      <c r="G174" s="139">
        <f t="shared" si="39"/>
        <v>0.686747039</v>
      </c>
      <c r="H174" s="139">
        <f t="shared" si="39"/>
        <v>0.99209857699999993</v>
      </c>
      <c r="I174" s="139">
        <f t="shared" si="39"/>
        <v>0.83074255899999994</v>
      </c>
      <c r="J174" s="139">
        <f t="shared" si="39"/>
        <v>0.56325610825000005</v>
      </c>
    </row>
    <row r="176" spans="2:10">
      <c r="B176" s="24" t="s">
        <v>83</v>
      </c>
      <c r="C176" s="139">
        <f>C174+C169</f>
        <v>2.645925155</v>
      </c>
      <c r="D176" s="139">
        <f t="shared" ref="D176:J176" si="40">D174+D169</f>
        <v>2.8110254160000001</v>
      </c>
      <c r="E176" s="139">
        <f t="shared" si="40"/>
        <v>3.0033555509999998</v>
      </c>
      <c r="F176" s="139">
        <f t="shared" si="40"/>
        <v>3.229520001</v>
      </c>
      <c r="G176" s="139">
        <f t="shared" si="40"/>
        <v>3.7622928079999998</v>
      </c>
      <c r="H176" s="139">
        <f t="shared" si="40"/>
        <v>5.0920423189999999</v>
      </c>
      <c r="I176" s="139">
        <f t="shared" si="40"/>
        <v>5.637914555</v>
      </c>
      <c r="J176" s="139">
        <f t="shared" si="40"/>
        <v>4.7004322802470195</v>
      </c>
    </row>
    <row r="178" spans="2:10">
      <c r="B178" s="24" t="s">
        <v>84</v>
      </c>
      <c r="C178" s="26">
        <f t="shared" ref="C178:J178" si="41">C13</f>
        <v>2.1</v>
      </c>
      <c r="D178" s="26">
        <f t="shared" si="41"/>
        <v>2.1</v>
      </c>
      <c r="E178" s="26">
        <f t="shared" si="41"/>
        <v>2.4300000000000002</v>
      </c>
      <c r="F178" s="26">
        <f t="shared" si="41"/>
        <v>2.4300000000000002</v>
      </c>
      <c r="G178" s="26">
        <f t="shared" si="41"/>
        <v>2.76</v>
      </c>
      <c r="H178" s="26">
        <f t="shared" si="41"/>
        <v>2.82</v>
      </c>
      <c r="I178" s="26">
        <f t="shared" si="41"/>
        <v>3.04</v>
      </c>
      <c r="J178" s="26">
        <f t="shared" si="41"/>
        <v>3.5</v>
      </c>
    </row>
    <row r="179" spans="2:10">
      <c r="B179" s="24" t="s">
        <v>85</v>
      </c>
      <c r="C179" s="26">
        <f>C176-C178</f>
        <v>0.54592515499999994</v>
      </c>
      <c r="D179" s="26">
        <f t="shared" ref="D179:J179" si="42">D176-D178</f>
        <v>0.71102541600000002</v>
      </c>
      <c r="E179" s="26">
        <f t="shared" si="42"/>
        <v>0.57335555099999969</v>
      </c>
      <c r="F179" s="26">
        <f t="shared" si="42"/>
        <v>0.79952000099999987</v>
      </c>
      <c r="G179" s="26">
        <f t="shared" si="42"/>
        <v>1.002292808</v>
      </c>
      <c r="H179" s="26">
        <f t="shared" si="42"/>
        <v>2.2720423190000001</v>
      </c>
      <c r="I179" s="26">
        <f t="shared" si="42"/>
        <v>2.597914555</v>
      </c>
      <c r="J179" s="26">
        <f t="shared" si="42"/>
        <v>1.2004322802470195</v>
      </c>
    </row>
  </sheetData>
  <mergeCells count="1">
    <mergeCell ref="B49:B5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86DF-3FCF-43F1-B22E-535210F280C4}">
  <dimension ref="A2:G16"/>
  <sheetViews>
    <sheetView workbookViewId="0">
      <selection activeCell="D78" sqref="D78"/>
    </sheetView>
  </sheetViews>
  <sheetFormatPr defaultRowHeight="15"/>
  <cols>
    <col min="2" max="3" width="13.5703125" bestFit="1" customWidth="1"/>
    <col min="4" max="4" width="11.85546875" bestFit="1" customWidth="1"/>
    <col min="5" max="5" width="14.5703125" bestFit="1" customWidth="1"/>
    <col min="6" max="6" width="9.85546875" bestFit="1" customWidth="1"/>
    <col min="7" max="7" width="14.5703125" bestFit="1" customWidth="1"/>
  </cols>
  <sheetData>
    <row r="2" spans="1:7">
      <c r="B2" t="s">
        <v>86</v>
      </c>
      <c r="C2" t="s">
        <v>45</v>
      </c>
      <c r="D2" t="s">
        <v>87</v>
      </c>
      <c r="E2" t="s">
        <v>88</v>
      </c>
      <c r="F2" t="s">
        <v>89</v>
      </c>
      <c r="G2" t="s">
        <v>90</v>
      </c>
    </row>
    <row r="3" spans="1:7">
      <c r="A3">
        <v>2012</v>
      </c>
      <c r="B3" s="140">
        <f>'[1]D3 Gallon Forecast'!$D$15</f>
        <v>20069</v>
      </c>
      <c r="C3" s="140">
        <f>'[1]D4 Gallon Forecast'!$D$27</f>
        <v>1146899177</v>
      </c>
      <c r="D3" s="140">
        <f>'[1]D5 Gallon Forecast'!$D$28</f>
        <v>618671889</v>
      </c>
      <c r="E3" s="140">
        <f>'[1]D6 Gallon Forecast'!$D$23</f>
        <v>12987468760</v>
      </c>
      <c r="F3" s="140">
        <f>'[1]D7 Gallon Forecast'!$D$13</f>
        <v>1024</v>
      </c>
      <c r="G3" s="140">
        <f>SUM(B3:F3)</f>
        <v>14753060919</v>
      </c>
    </row>
    <row r="4" spans="1:7">
      <c r="A4">
        <v>2013</v>
      </c>
      <c r="B4" s="140">
        <f>'[1]D3 Gallon Forecast'!$E$15</f>
        <v>281819</v>
      </c>
      <c r="C4" s="140">
        <f>'[1]D4 Gallon Forecast'!$E$27</f>
        <v>1794304869</v>
      </c>
      <c r="D4" s="140">
        <f>'[1]D5 Gallon Forecast'!$E$28</f>
        <v>527775069</v>
      </c>
      <c r="E4" s="140">
        <f>'[1]D6 Gallon Forecast'!$E$23</f>
        <v>13251265535</v>
      </c>
      <c r="F4" s="140">
        <f>'[1]D7 Gallon Forecast'!$E$13</f>
        <v>232808</v>
      </c>
      <c r="G4" s="140">
        <f t="shared" ref="G4:G16" si="0">SUM(B4:F4)</f>
        <v>15573860100</v>
      </c>
    </row>
    <row r="5" spans="1:7">
      <c r="A5">
        <v>2014</v>
      </c>
      <c r="B5" s="140">
        <f>'[1]D3 Gallon Forecast'!$F$15</f>
        <v>33345837</v>
      </c>
      <c r="C5" s="140">
        <f>'[1]D4 Gallon Forecast'!$F$27</f>
        <v>1763434468</v>
      </c>
      <c r="D5" s="140">
        <f>'[1]D5 Gallon Forecast'!$F$28</f>
        <v>131427352</v>
      </c>
      <c r="E5" s="140">
        <f>'[1]D6 Gallon Forecast'!$F$23</f>
        <v>14226497803</v>
      </c>
      <c r="F5" s="140">
        <f>'[1]D7 Gallon Forecast'!$F$13</f>
        <v>55657</v>
      </c>
      <c r="G5" s="140">
        <f t="shared" si="0"/>
        <v>16154761117</v>
      </c>
    </row>
    <row r="6" spans="1:7">
      <c r="A6">
        <v>2015</v>
      </c>
      <c r="B6" s="140">
        <f>'[1]D3 Gallon Forecast'!$G$15</f>
        <v>142040241</v>
      </c>
      <c r="C6" s="140">
        <f>'[1]D4 Gallon Forecast'!$G$27</f>
        <v>1823117873</v>
      </c>
      <c r="D6" s="140">
        <f>'[1]D5 Gallon Forecast'!$G$28</f>
        <v>135291787</v>
      </c>
      <c r="E6" s="140">
        <f>'[1]D6 Gallon Forecast'!$G$23</f>
        <v>14668303446</v>
      </c>
      <c r="F6" s="140">
        <f>'[1]D7 Gallon Forecast'!$G$13</f>
        <v>275315</v>
      </c>
      <c r="G6" s="140">
        <f t="shared" si="0"/>
        <v>16769028662</v>
      </c>
    </row>
    <row r="7" spans="1:7">
      <c r="A7">
        <v>2016</v>
      </c>
      <c r="B7" s="140">
        <f>'[1]D3 Gallon Forecast'!$H$15</f>
        <v>192361795</v>
      </c>
      <c r="C7" s="140">
        <f>'[1]D4 Gallon Forecast'!$H$27</f>
        <v>2616026976</v>
      </c>
      <c r="D7" s="140">
        <f>'[1]D5 Gallon Forecast'!$H$28</f>
        <v>85201935</v>
      </c>
      <c r="E7" s="140">
        <f>'[1]D6 Gallon Forecast'!$H$23</f>
        <v>15003278197</v>
      </c>
      <c r="F7" s="140">
        <f>'[1]D7 Gallon Forecast'!$H$13</f>
        <v>534429</v>
      </c>
      <c r="G7" s="140">
        <f t="shared" si="0"/>
        <v>17897403332</v>
      </c>
    </row>
    <row r="8" spans="1:7">
      <c r="A8">
        <v>2017</v>
      </c>
      <c r="B8" s="140">
        <f>'[1]D3 Gallon Forecast'!$I$15</f>
        <v>250624473</v>
      </c>
      <c r="C8" s="140">
        <f>'[1]D4 Gallon Forecast'!$I$27</f>
        <v>2505344787</v>
      </c>
      <c r="D8" s="140">
        <f>'[1]D5 Gallon Forecast'!$I$28</f>
        <v>128800020</v>
      </c>
      <c r="E8" s="140">
        <f>'[1]D6 Gallon Forecast'!$I$23</f>
        <v>15008327443</v>
      </c>
      <c r="F8" s="140">
        <f>'[1]D7 Gallon Forecast'!$I$13</f>
        <v>1743705</v>
      </c>
      <c r="G8" s="140">
        <f t="shared" si="0"/>
        <v>17894840428</v>
      </c>
    </row>
    <row r="9" spans="1:7">
      <c r="A9">
        <v>2018</v>
      </c>
      <c r="B9" s="140">
        <f>'[1]D3 Gallon Forecast'!$J$15</f>
        <v>312348198</v>
      </c>
      <c r="C9" s="140">
        <f>'[1]D4 Gallon Forecast'!$J$27</f>
        <v>2517304692</v>
      </c>
      <c r="D9" s="140">
        <f>'[1]D5 Gallon Forecast'!$J$28</f>
        <v>150976112</v>
      </c>
      <c r="E9" s="140">
        <f>'[1]D6 Gallon Forecast'!$J$23</f>
        <v>15074084106</v>
      </c>
      <c r="F9" s="140">
        <f>'[1]D7 Gallon Forecast'!$J$13</f>
        <v>2446620</v>
      </c>
      <c r="G9" s="140">
        <f t="shared" si="0"/>
        <v>18057159728</v>
      </c>
    </row>
    <row r="10" spans="1:7">
      <c r="A10">
        <v>2019</v>
      </c>
      <c r="B10" s="140">
        <f>'[1]D3 Gallon Forecast'!$K$15</f>
        <v>414122810</v>
      </c>
      <c r="C10" s="140">
        <f>'[1]D4 Gallon Forecast'!$K$27</f>
        <v>2662800495</v>
      </c>
      <c r="D10" s="140">
        <f>'[1]D5 Gallon Forecast'!$K$28</f>
        <v>284667030</v>
      </c>
      <c r="E10" s="140">
        <f>'[1]D6 Gallon Forecast'!$K$23</f>
        <v>14846758241</v>
      </c>
      <c r="F10" s="140">
        <f>'[1]D7 Gallon Forecast'!$K$13</f>
        <v>1315943</v>
      </c>
      <c r="G10" s="140">
        <f t="shared" si="0"/>
        <v>18209664519</v>
      </c>
    </row>
    <row r="11" spans="1:7">
      <c r="A11">
        <v>2020</v>
      </c>
      <c r="B11" s="140">
        <f>'[1]D3 Gallon Forecast'!$L$15</f>
        <v>505872211</v>
      </c>
      <c r="C11" s="140">
        <f>'[1]D4 Gallon Forecast'!$L$27</f>
        <v>2881104219</v>
      </c>
      <c r="D11" s="140">
        <f>'[1]D5 Gallon Forecast'!$L$28</f>
        <v>287574491</v>
      </c>
      <c r="E11" s="140">
        <f>'[1]D6 Gallon Forecast'!$L$23</f>
        <v>12933461982</v>
      </c>
      <c r="F11" s="140">
        <f>'[1]D7 Gallon Forecast'!$L$13</f>
        <v>55892</v>
      </c>
      <c r="G11" s="140">
        <f t="shared" si="0"/>
        <v>16608068795</v>
      </c>
    </row>
    <row r="12" spans="1:7">
      <c r="A12">
        <v>2021</v>
      </c>
      <c r="B12" s="140">
        <f>'[1]D3 Gallon Forecast'!$M$15</f>
        <v>568414154</v>
      </c>
      <c r="C12" s="140">
        <f>'[1]D4 Gallon Forecast'!$M$27</f>
        <v>3093329263</v>
      </c>
      <c r="D12" s="140">
        <f>'[1]D5 Gallon Forecast'!$M$28</f>
        <v>178038588</v>
      </c>
      <c r="E12" s="140">
        <f>'[1]D6 Gallon Forecast'!$M$23</f>
        <v>14202821885</v>
      </c>
      <c r="F12" s="140">
        <f>'[1]D7 Gallon Forecast'!$M$13</f>
        <v>247518</v>
      </c>
      <c r="G12" s="140">
        <f t="shared" si="0"/>
        <v>18042851408</v>
      </c>
    </row>
    <row r="13" spans="1:7">
      <c r="A13">
        <v>2022</v>
      </c>
      <c r="B13" s="140">
        <f>'[1]D3 Gallon Forecast'!$N$15</f>
        <v>668618747</v>
      </c>
      <c r="C13" s="140">
        <f>'[1]D4 Gallon Forecast'!$N$27</f>
        <v>3627527131</v>
      </c>
      <c r="D13" s="140">
        <f>'[1]D5 Gallon Forecast'!$N$28</f>
        <v>256398192</v>
      </c>
      <c r="E13" s="140">
        <f>'[1]D6 Gallon Forecast'!$N$23</f>
        <v>14498466195</v>
      </c>
      <c r="F13" s="140">
        <f>'[1]D7 Gallon Forecast'!$N$13</f>
        <v>236352</v>
      </c>
      <c r="G13" s="140">
        <f t="shared" si="0"/>
        <v>19051246617</v>
      </c>
    </row>
    <row r="14" spans="1:7">
      <c r="A14">
        <v>2023</v>
      </c>
      <c r="B14" s="140">
        <f>'[1]D3 Gallon Forecast'!$O$15</f>
        <v>774731508</v>
      </c>
      <c r="C14" s="140">
        <f>'[1]D4 Gallon Forecast'!$O$27</f>
        <v>4975757093</v>
      </c>
      <c r="D14" s="140">
        <f>'[1]D5 Gallon Forecast'!$O$28</f>
        <v>184397469</v>
      </c>
      <c r="E14" s="140">
        <f>'[1]D6 Gallon Forecast'!$O$23</f>
        <v>14773865497</v>
      </c>
      <c r="F14" s="140">
        <f>'[1]D7 Gallon Forecast'!$O$13</f>
        <v>208643</v>
      </c>
      <c r="G14" s="140">
        <f t="shared" si="0"/>
        <v>20708960210</v>
      </c>
    </row>
    <row r="15" spans="1:7">
      <c r="A15">
        <v>2024</v>
      </c>
      <c r="B15" s="140">
        <f>'[1]D3 Gallon Forecast'!$P$15</f>
        <v>921163090</v>
      </c>
      <c r="C15" s="140">
        <f>'[1]D4 Gallon Forecast'!$P$27</f>
        <v>5667378440</v>
      </c>
      <c r="D15" s="140">
        <f>'[1]D5 Gallon Forecast'!$P$28</f>
        <v>164671255</v>
      </c>
      <c r="E15" s="140">
        <f>'[1]D6 Gallon Forecast'!$P$23</f>
        <v>14885505634</v>
      </c>
      <c r="F15" s="140">
        <f>'[1]D7 Gallon Forecast'!$P$13</f>
        <v>227964</v>
      </c>
      <c r="G15" s="140">
        <f t="shared" si="0"/>
        <v>21638946383</v>
      </c>
    </row>
    <row r="16" spans="1:7">
      <c r="A16">
        <v>2025</v>
      </c>
      <c r="B16" s="140">
        <f>'[1]D3 Gallon Forecast'!$Q$15</f>
        <v>642893076.81687927</v>
      </c>
      <c r="C16" s="140">
        <f>'[1]D4 Gallon Forecast'!$Q$27</f>
        <v>4833141884.6898079</v>
      </c>
      <c r="D16" s="140">
        <f>'[1]D5 Gallon Forecast'!$Q$28</f>
        <v>187865954</v>
      </c>
      <c r="E16" s="140">
        <f>'[1]D6 Gallon Forecast'!$Q$23</f>
        <v>14602831599.552595</v>
      </c>
      <c r="F16" s="140">
        <f>'[1]D7 Gallon Forecast'!$Q$13</f>
        <v>217771.19999998808</v>
      </c>
      <c r="G16" s="140">
        <f t="shared" si="0"/>
        <v>20266950286.259281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927F-78F3-45BE-822D-2FDF6B7F75C8}">
  <dimension ref="A1:AB100"/>
  <sheetViews>
    <sheetView topLeftCell="A33" zoomScale="115" zoomScaleNormal="115" workbookViewId="0">
      <selection activeCell="D78" sqref="D78"/>
    </sheetView>
  </sheetViews>
  <sheetFormatPr defaultColWidth="9.140625" defaultRowHeight="18"/>
  <cols>
    <col min="1" max="1" width="20.5703125" style="142" bestFit="1" customWidth="1"/>
    <col min="2" max="13" width="14.28515625" style="142" customWidth="1"/>
    <col min="14" max="14" width="10" style="142" bestFit="1" customWidth="1"/>
    <col min="15" max="15" width="12.140625" style="142" bestFit="1" customWidth="1"/>
    <col min="16" max="21" width="9.140625" style="142"/>
    <col min="22" max="27" width="10.7109375" style="142" bestFit="1" customWidth="1"/>
    <col min="28" max="28" width="10" style="142" bestFit="1" customWidth="1"/>
    <col min="29" max="16384" width="9.140625" style="142"/>
  </cols>
  <sheetData>
    <row r="1" spans="1:16" ht="26.25">
      <c r="A1" s="141"/>
      <c r="B1" s="611">
        <v>2023</v>
      </c>
      <c r="C1" s="612"/>
      <c r="D1" s="612"/>
      <c r="E1" s="613"/>
      <c r="F1" s="611">
        <v>2024</v>
      </c>
      <c r="G1" s="612"/>
      <c r="H1" s="612"/>
      <c r="I1" s="613"/>
      <c r="J1" s="611">
        <v>2025</v>
      </c>
      <c r="K1" s="612"/>
      <c r="L1" s="612"/>
      <c r="M1" s="613"/>
      <c r="N1" s="141"/>
      <c r="O1" s="141"/>
      <c r="P1" s="141"/>
    </row>
    <row r="2" spans="1:16" ht="36">
      <c r="A2" s="141"/>
      <c r="B2" s="143" t="s">
        <v>91</v>
      </c>
      <c r="C2" s="144" t="s">
        <v>92</v>
      </c>
      <c r="D2" s="144" t="s">
        <v>93</v>
      </c>
      <c r="E2" s="145" t="s">
        <v>94</v>
      </c>
      <c r="F2" s="143" t="s">
        <v>91</v>
      </c>
      <c r="G2" s="144" t="s">
        <v>92</v>
      </c>
      <c r="H2" s="144" t="s">
        <v>93</v>
      </c>
      <c r="I2" s="145" t="s">
        <v>94</v>
      </c>
      <c r="J2" s="143" t="s">
        <v>91</v>
      </c>
      <c r="K2" s="144" t="s">
        <v>92</v>
      </c>
      <c r="L2" s="144" t="s">
        <v>93</v>
      </c>
      <c r="M2" s="145" t="s">
        <v>94</v>
      </c>
      <c r="N2" s="141"/>
      <c r="O2" s="141"/>
      <c r="P2" s="141"/>
    </row>
    <row r="3" spans="1:16">
      <c r="A3" s="146" t="s">
        <v>86</v>
      </c>
      <c r="B3" s="147">
        <f>B13</f>
        <v>0.84</v>
      </c>
      <c r="C3" s="148">
        <f>B31</f>
        <v>0.72</v>
      </c>
      <c r="D3" s="148">
        <f>B3-C3</f>
        <v>0.12</v>
      </c>
      <c r="E3" s="149">
        <f>'[1]D3 Gallon Forecast'!O$15/1000000000</f>
        <v>0.77473150800000001</v>
      </c>
      <c r="F3" s="147">
        <f>C13</f>
        <v>1.0900000000000001</v>
      </c>
      <c r="G3" s="148">
        <f>C31</f>
        <v>1.42</v>
      </c>
      <c r="H3" s="148">
        <f>F3-G3</f>
        <v>-0.32999999999999985</v>
      </c>
      <c r="I3" s="149">
        <f>'[1]D3 Gallon Forecast'!P$15/1000000000</f>
        <v>0.92116308999999996</v>
      </c>
      <c r="J3" s="147">
        <f>D13</f>
        <v>1.38</v>
      </c>
      <c r="K3" s="148">
        <f>D31</f>
        <v>2.13</v>
      </c>
      <c r="L3" s="148">
        <f>J3-K3</f>
        <v>-0.75</v>
      </c>
      <c r="M3" s="149">
        <f>'[1]D3 Gallon Forecast'!Q$15/1000000000</f>
        <v>0.64289307681687924</v>
      </c>
      <c r="N3" s="141"/>
      <c r="O3" s="141"/>
      <c r="P3" s="141"/>
    </row>
    <row r="4" spans="1:16">
      <c r="A4" s="141" t="s">
        <v>45</v>
      </c>
      <c r="B4" s="150">
        <f>B17-B6-B5-B3</f>
        <v>4.6656025310000011</v>
      </c>
      <c r="C4" s="151">
        <f>B35-C6-C5-C3</f>
        <v>4.6656025310000002</v>
      </c>
      <c r="D4" s="151">
        <f>B4-C4</f>
        <v>0</v>
      </c>
      <c r="E4" s="152">
        <f>'[1]D4 Gallon Forecast'!O$27/1000000000</f>
        <v>4.9757570930000004</v>
      </c>
      <c r="F4" s="150">
        <f>C17-F6-F5-F3</f>
        <v>5.2853287449999993</v>
      </c>
      <c r="G4" s="151">
        <f>C35-G6-G5-G3</f>
        <v>5.035328745000001</v>
      </c>
      <c r="H4" s="151">
        <f>F4-G4</f>
        <v>0.24999999999999822</v>
      </c>
      <c r="I4" s="152">
        <f>'[1]D4 Gallon Forecast'!P$27/1000000000</f>
        <v>5.6673784400000002</v>
      </c>
      <c r="J4" s="150">
        <f>D17-J6-J5-J3</f>
        <v>5.7621340459999999</v>
      </c>
      <c r="K4" s="151">
        <f>D35-K6-K5-K3</f>
        <v>5.1121340459999995</v>
      </c>
      <c r="L4" s="151">
        <f>J4-K4</f>
        <v>0.65000000000000036</v>
      </c>
      <c r="M4" s="152">
        <f>'[1]D4 Gallon Forecast'!Q$27/1000000000</f>
        <v>4.833141884689808</v>
      </c>
      <c r="N4" s="141"/>
      <c r="O4" s="141"/>
      <c r="P4" s="141"/>
    </row>
    <row r="5" spans="1:16">
      <c r="A5" s="153" t="s">
        <v>87</v>
      </c>
      <c r="B5" s="154">
        <f>E5</f>
        <v>0.18439746900000001</v>
      </c>
      <c r="C5" s="155">
        <f>E5</f>
        <v>0.18439746900000001</v>
      </c>
      <c r="D5" s="155">
        <f>B5-C5</f>
        <v>0</v>
      </c>
      <c r="E5" s="156">
        <f>'[1]D5 Gallon Forecast'!O$28/1000000000</f>
        <v>0.18439746900000001</v>
      </c>
      <c r="F5" s="154">
        <f>I5</f>
        <v>0.16467125499999999</v>
      </c>
      <c r="G5" s="155">
        <f>I5</f>
        <v>0.16467125499999999</v>
      </c>
      <c r="H5" s="155">
        <f>F5-G5</f>
        <v>0</v>
      </c>
      <c r="I5" s="156">
        <f>'[1]D5 Gallon Forecast'!P$28/1000000000</f>
        <v>0.16467125499999999</v>
      </c>
      <c r="J5" s="154">
        <f>M5</f>
        <v>0.187865954</v>
      </c>
      <c r="K5" s="155">
        <f>M5</f>
        <v>0.187865954</v>
      </c>
      <c r="L5" s="155">
        <f>J5-K5</f>
        <v>0</v>
      </c>
      <c r="M5" s="156">
        <f>'[1]D5 Gallon Forecast'!Q$28/1000000000</f>
        <v>0.187865954</v>
      </c>
      <c r="N5" s="141"/>
      <c r="O5" s="141"/>
      <c r="P5" s="141"/>
    </row>
    <row r="6" spans="1:16">
      <c r="A6" s="141" t="s">
        <v>88</v>
      </c>
      <c r="B6" s="150">
        <f>B16</f>
        <v>15.25</v>
      </c>
      <c r="C6" s="151">
        <f>B34</f>
        <v>15.25</v>
      </c>
      <c r="D6" s="151">
        <f>B6-C6</f>
        <v>0</v>
      </c>
      <c r="E6" s="152">
        <f>'[1]D6 Gallon Forecast'!O$23/1000000000</f>
        <v>14.773865496999999</v>
      </c>
      <c r="F6" s="150">
        <f>C16</f>
        <v>15</v>
      </c>
      <c r="G6" s="151">
        <f>C34</f>
        <v>15.25</v>
      </c>
      <c r="H6" s="151">
        <f>F6-G6</f>
        <v>-0.25</v>
      </c>
      <c r="I6" s="152">
        <f>'[1]D6 Gallon Forecast'!P$23/1000000000</f>
        <v>14.885505633999999</v>
      </c>
      <c r="J6" s="150">
        <f>D16</f>
        <v>14.999999999999998</v>
      </c>
      <c r="K6" s="151">
        <f>D34</f>
        <v>15.25</v>
      </c>
      <c r="L6" s="151">
        <f>J6-K6</f>
        <v>-0.25000000000000178</v>
      </c>
      <c r="M6" s="152">
        <f>'[1]D6 Gallon Forecast'!Q$23/1000000000</f>
        <v>14.602831599552594</v>
      </c>
      <c r="N6" s="141"/>
      <c r="O6" s="141"/>
      <c r="P6" s="141"/>
    </row>
    <row r="7" spans="1:16">
      <c r="A7" s="157" t="s">
        <v>51</v>
      </c>
      <c r="B7" s="158">
        <f>B17</f>
        <v>20.94</v>
      </c>
      <c r="C7" s="159">
        <f>B35</f>
        <v>20.82</v>
      </c>
      <c r="D7" s="159">
        <f>B7-C7</f>
        <v>0.12000000000000099</v>
      </c>
      <c r="E7" s="160">
        <f>SUM(E3:E6)</f>
        <v>20.708751567</v>
      </c>
      <c r="F7" s="158">
        <f>C17</f>
        <v>21.54</v>
      </c>
      <c r="G7" s="159">
        <f>C35</f>
        <v>21.87</v>
      </c>
      <c r="H7" s="159">
        <f>F7-G7</f>
        <v>-0.33000000000000185</v>
      </c>
      <c r="I7" s="160">
        <f>SUM(I3:I6)</f>
        <v>21.638718419</v>
      </c>
      <c r="J7" s="158">
        <f>D17</f>
        <v>22.33</v>
      </c>
      <c r="K7" s="159">
        <f>D35</f>
        <v>22.68</v>
      </c>
      <c r="L7" s="159">
        <f>J7-K7</f>
        <v>-0.35000000000000142</v>
      </c>
      <c r="M7" s="160">
        <f>SUM(M3:M6)</f>
        <v>20.266732515059282</v>
      </c>
      <c r="N7" s="141"/>
      <c r="O7" s="141"/>
      <c r="P7" s="141"/>
    </row>
    <row r="8" spans="1:16" ht="6.75" customHeight="1"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</row>
    <row r="9" spans="1:16">
      <c r="A9" s="141" t="s">
        <v>95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</row>
    <row r="10" spans="1:16">
      <c r="A10" s="141"/>
      <c r="B10" s="141"/>
      <c r="C10" s="141"/>
      <c r="D10" s="141"/>
      <c r="E10" s="141"/>
      <c r="F10" s="141"/>
      <c r="G10" s="141"/>
      <c r="H10" s="141"/>
      <c r="I10" s="141"/>
      <c r="J10" s="161"/>
      <c r="K10" s="161"/>
      <c r="L10" s="161">
        <f>L7/1.5</f>
        <v>-0.23333333333333428</v>
      </c>
      <c r="M10" s="161"/>
      <c r="N10" s="141"/>
      <c r="O10" s="141"/>
      <c r="P10" s="141"/>
    </row>
    <row r="11" spans="1:16" ht="26.25">
      <c r="A11" s="600" t="s">
        <v>96</v>
      </c>
      <c r="B11" s="600"/>
      <c r="C11" s="600"/>
      <c r="D11" s="600"/>
      <c r="E11" s="600" t="s">
        <v>97</v>
      </c>
      <c r="F11" s="600"/>
      <c r="G11" s="600"/>
      <c r="H11" s="600"/>
      <c r="I11" s="141"/>
      <c r="J11" s="161"/>
      <c r="K11" s="161"/>
      <c r="L11" s="161">
        <f>L10+L4</f>
        <v>0.41666666666666607</v>
      </c>
      <c r="M11" s="161">
        <f>L11*8</f>
        <v>3.3333333333333286</v>
      </c>
      <c r="N11" s="141"/>
      <c r="O11" s="141"/>
      <c r="P11" s="141"/>
    </row>
    <row r="12" spans="1:16">
      <c r="A12" s="162"/>
      <c r="B12" s="141">
        <f>B1</f>
        <v>2023</v>
      </c>
      <c r="C12" s="141">
        <f>F1</f>
        <v>2024</v>
      </c>
      <c r="D12" s="141">
        <f>J1</f>
        <v>2025</v>
      </c>
      <c r="E12" s="163"/>
      <c r="F12" s="141">
        <f>B12</f>
        <v>2023</v>
      </c>
      <c r="G12" s="141">
        <f>C12</f>
        <v>2024</v>
      </c>
      <c r="H12" s="141">
        <f>D12</f>
        <v>2025</v>
      </c>
      <c r="I12" s="141"/>
      <c r="J12" s="141"/>
      <c r="K12" s="141"/>
      <c r="L12" s="141"/>
      <c r="M12" s="141"/>
      <c r="N12" s="141"/>
      <c r="O12" s="141"/>
      <c r="P12" s="141"/>
    </row>
    <row r="13" spans="1:16">
      <c r="A13" s="164" t="s">
        <v>98</v>
      </c>
      <c r="B13" s="165">
        <v>0.84</v>
      </c>
      <c r="C13" s="165">
        <v>1.0900000000000001</v>
      </c>
      <c r="D13" s="165">
        <v>1.38</v>
      </c>
      <c r="E13" s="164" t="str">
        <f>A13</f>
        <v>Cellulosic</v>
      </c>
      <c r="F13" s="165">
        <f t="shared" ref="F13:H17" si="0">B13-B31</f>
        <v>0.12</v>
      </c>
      <c r="G13" s="165">
        <f t="shared" si="0"/>
        <v>-0.32999999999999985</v>
      </c>
      <c r="H13" s="165">
        <f t="shared" si="0"/>
        <v>-0.75</v>
      </c>
      <c r="I13" s="141"/>
      <c r="J13" s="141"/>
      <c r="K13" s="141"/>
      <c r="L13" s="166" t="s">
        <v>99</v>
      </c>
      <c r="M13" s="166" t="s">
        <v>91</v>
      </c>
      <c r="N13" s="141"/>
      <c r="O13" s="141"/>
      <c r="P13" s="141"/>
    </row>
    <row r="14" spans="1:16">
      <c r="A14" s="167" t="s">
        <v>47</v>
      </c>
      <c r="B14" s="168">
        <v>2.82</v>
      </c>
      <c r="C14" s="168">
        <v>3.04</v>
      </c>
      <c r="D14" s="168">
        <v>3.35</v>
      </c>
      <c r="E14" s="167" t="s">
        <v>41</v>
      </c>
      <c r="F14" s="168">
        <f t="shared" si="0"/>
        <v>0</v>
      </c>
      <c r="G14" s="168">
        <f t="shared" si="0"/>
        <v>0.14999999999999991</v>
      </c>
      <c r="H14" s="168">
        <f t="shared" si="0"/>
        <v>0.39999999999999991</v>
      </c>
      <c r="I14" s="141"/>
      <c r="J14" s="141"/>
      <c r="K14" s="169" t="s">
        <v>100</v>
      </c>
      <c r="L14" s="170">
        <f>C32</f>
        <v>2.89</v>
      </c>
      <c r="M14" s="170">
        <f>C14</f>
        <v>3.04</v>
      </c>
      <c r="N14" s="170">
        <f>M14-L14</f>
        <v>0.14999999999999991</v>
      </c>
      <c r="O14" s="141"/>
      <c r="P14" s="141"/>
    </row>
    <row r="15" spans="1:16">
      <c r="A15" s="171" t="s">
        <v>101</v>
      </c>
      <c r="B15" s="172">
        <v>5.94</v>
      </c>
      <c r="C15" s="172">
        <v>6.54</v>
      </c>
      <c r="D15" s="172">
        <v>7.33</v>
      </c>
      <c r="E15" s="171" t="str">
        <f>A15</f>
        <v>Advanced Biofuel</v>
      </c>
      <c r="F15" s="172">
        <f t="shared" si="0"/>
        <v>0.12000000000000011</v>
      </c>
      <c r="G15" s="172">
        <f t="shared" si="0"/>
        <v>-8.0000000000000071E-2</v>
      </c>
      <c r="H15" s="172">
        <f t="shared" si="0"/>
        <v>-9.9999999999999645E-2</v>
      </c>
      <c r="I15" s="141"/>
      <c r="J15" s="141"/>
      <c r="K15" s="169" t="s">
        <v>102</v>
      </c>
      <c r="L15" s="170">
        <f>C33-C32-C31-0.275+((C34-I6)/1.5)</f>
        <v>2.2779962440000006</v>
      </c>
      <c r="M15" s="170">
        <f>C15-C14-C13-0.275+((C16-I6)/1.5)</f>
        <v>2.2113295773333341</v>
      </c>
      <c r="N15" s="170">
        <f>M15-L15</f>
        <v>-6.666666666666643E-2</v>
      </c>
      <c r="O15" s="141"/>
      <c r="P15" s="141"/>
    </row>
    <row r="16" spans="1:16">
      <c r="A16" s="167" t="s">
        <v>103</v>
      </c>
      <c r="B16" s="168">
        <f>B17-B15+0.25</f>
        <v>15.25</v>
      </c>
      <c r="C16" s="168">
        <f>C17-C15</f>
        <v>15</v>
      </c>
      <c r="D16" s="168">
        <f>D17-D15</f>
        <v>14.999999999999998</v>
      </c>
      <c r="E16" s="167" t="str">
        <f>A16</f>
        <v>Implied Ethanol*</v>
      </c>
      <c r="F16" s="168">
        <f t="shared" si="0"/>
        <v>0</v>
      </c>
      <c r="G16" s="168">
        <f t="shared" si="0"/>
        <v>-0.25</v>
      </c>
      <c r="H16" s="168">
        <f t="shared" si="0"/>
        <v>-0.25000000000000178</v>
      </c>
      <c r="I16" s="141"/>
      <c r="J16" s="141"/>
      <c r="K16" s="169" t="s">
        <v>104</v>
      </c>
      <c r="L16" s="173">
        <f>L14+L15</f>
        <v>5.1679962440000011</v>
      </c>
      <c r="M16" s="173">
        <f>M14+M15</f>
        <v>5.2513295773333342</v>
      </c>
      <c r="O16" s="141"/>
      <c r="P16" s="141"/>
    </row>
    <row r="17" spans="1:16">
      <c r="A17" s="171" t="s">
        <v>105</v>
      </c>
      <c r="B17" s="172">
        <v>20.94</v>
      </c>
      <c r="C17" s="172">
        <v>21.54</v>
      </c>
      <c r="D17" s="172">
        <v>22.33</v>
      </c>
      <c r="E17" s="171" t="str">
        <f>A17</f>
        <v>Total Blending</v>
      </c>
      <c r="F17" s="172">
        <f t="shared" si="0"/>
        <v>0.12000000000000099</v>
      </c>
      <c r="G17" s="172">
        <f t="shared" si="0"/>
        <v>-0.33000000000000185</v>
      </c>
      <c r="H17" s="172">
        <f t="shared" si="0"/>
        <v>-0.35000000000000142</v>
      </c>
      <c r="I17" s="141"/>
      <c r="J17" s="141"/>
      <c r="K17" s="169" t="s">
        <v>5</v>
      </c>
      <c r="L17" s="170">
        <f>C33</f>
        <v>6.62</v>
      </c>
      <c r="M17" s="170">
        <f>C15</f>
        <v>6.54</v>
      </c>
      <c r="N17" s="170">
        <f>M17-L17</f>
        <v>-8.0000000000000071E-2</v>
      </c>
      <c r="O17" s="141"/>
      <c r="P17" s="141"/>
    </row>
    <row r="18" spans="1:16">
      <c r="A18" s="174" t="s">
        <v>61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69" t="s">
        <v>106</v>
      </c>
      <c r="L18" s="151">
        <f>G3</f>
        <v>1.42</v>
      </c>
      <c r="M18" s="151">
        <f>F3</f>
        <v>1.0900000000000001</v>
      </c>
      <c r="N18" s="175">
        <f>+M18-L18</f>
        <v>-0.32999999999999985</v>
      </c>
      <c r="O18" s="175">
        <f>N18-N17</f>
        <v>-0.24999999999999978</v>
      </c>
      <c r="P18" s="141"/>
    </row>
    <row r="19" spans="1:16">
      <c r="A19" s="176" t="s">
        <v>107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69"/>
      <c r="L19" s="151"/>
      <c r="M19" s="151"/>
      <c r="N19" s="175"/>
      <c r="O19" s="175"/>
      <c r="P19" s="141"/>
    </row>
    <row r="20" spans="1:16">
      <c r="A20" s="176"/>
      <c r="B20" s="141"/>
      <c r="C20" s="141"/>
      <c r="D20" s="141"/>
      <c r="E20" s="141"/>
      <c r="F20" s="141"/>
      <c r="G20" s="141"/>
      <c r="H20" s="141"/>
      <c r="I20" s="141"/>
      <c r="J20" s="141"/>
      <c r="K20" s="169"/>
      <c r="L20" s="151"/>
      <c r="M20" s="151"/>
      <c r="N20" s="175"/>
      <c r="O20" s="175"/>
      <c r="P20" s="141"/>
    </row>
    <row r="21" spans="1:16" ht="26.25">
      <c r="A21" s="600" t="s">
        <v>108</v>
      </c>
      <c r="B21" s="600"/>
      <c r="C21" s="600"/>
      <c r="D21" s="600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</row>
    <row r="22" spans="1:16">
      <c r="A22" s="163" t="s">
        <v>61</v>
      </c>
      <c r="B22" s="141">
        <f>B12</f>
        <v>2023</v>
      </c>
      <c r="C22" s="141">
        <f>C12</f>
        <v>2024</v>
      </c>
      <c r="D22" s="141">
        <f>D12</f>
        <v>2025</v>
      </c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</row>
    <row r="23" spans="1:16">
      <c r="A23" s="164" t="s">
        <v>98</v>
      </c>
      <c r="B23" s="177">
        <v>0.72</v>
      </c>
      <c r="C23" s="165"/>
      <c r="D23" s="165"/>
      <c r="E23" s="141"/>
      <c r="F23" s="141"/>
      <c r="G23" s="141"/>
      <c r="H23" s="178" t="s">
        <v>109</v>
      </c>
      <c r="I23" s="178" t="s">
        <v>94</v>
      </c>
      <c r="J23" s="141"/>
      <c r="K23" s="169" t="s">
        <v>110</v>
      </c>
      <c r="L23" s="170">
        <f>C34</f>
        <v>15.25</v>
      </c>
      <c r="M23" s="170">
        <f>C16</f>
        <v>15</v>
      </c>
      <c r="N23" s="170">
        <f>M23-L23</f>
        <v>-0.25</v>
      </c>
      <c r="O23" s="141"/>
      <c r="P23" s="141"/>
    </row>
    <row r="24" spans="1:16">
      <c r="A24" s="167" t="s">
        <v>47</v>
      </c>
      <c r="B24" s="179">
        <v>3.02</v>
      </c>
      <c r="C24" s="168"/>
      <c r="D24" s="168"/>
      <c r="E24" s="141"/>
      <c r="F24" s="141"/>
      <c r="G24" s="180" t="s">
        <v>45</v>
      </c>
      <c r="H24" s="161" t="e">
        <f>H4*D55</f>
        <v>#REF!</v>
      </c>
      <c r="I24" s="161" t="e">
        <f>(F4-I4)*D55</f>
        <v>#REF!</v>
      </c>
      <c r="J24" s="141"/>
      <c r="K24" s="169" t="s">
        <v>51</v>
      </c>
      <c r="L24" s="170">
        <f>C35</f>
        <v>21.87</v>
      </c>
      <c r="M24" s="170">
        <f>C17</f>
        <v>21.54</v>
      </c>
      <c r="N24" s="170">
        <f>M24-L24</f>
        <v>-0.33000000000000185</v>
      </c>
      <c r="O24" s="141"/>
      <c r="P24" s="141"/>
    </row>
    <row r="25" spans="1:16">
      <c r="A25" s="171" t="s">
        <v>101</v>
      </c>
      <c r="B25" s="181">
        <v>6.29</v>
      </c>
      <c r="C25" s="172"/>
      <c r="D25" s="172"/>
      <c r="E25" s="141"/>
      <c r="F25" s="141"/>
      <c r="G25" s="180" t="s">
        <v>88</v>
      </c>
      <c r="H25" s="161" t="e">
        <f>(H6/1.5)*D55</f>
        <v>#REF!</v>
      </c>
      <c r="I25" s="161">
        <v>-1.3370845350848746</v>
      </c>
      <c r="J25" s="141"/>
      <c r="K25" s="141"/>
      <c r="L25" s="141"/>
      <c r="M25" s="141"/>
      <c r="N25" s="141"/>
      <c r="O25" s="141"/>
      <c r="P25" s="141"/>
    </row>
    <row r="26" spans="1:16">
      <c r="A26" s="167" t="s">
        <v>103</v>
      </c>
      <c r="B26" s="179">
        <f>B27-B25+0.25</f>
        <v>15.5</v>
      </c>
      <c r="C26" s="168"/>
      <c r="D26" s="168"/>
      <c r="E26" s="141"/>
      <c r="F26" s="141"/>
      <c r="G26" s="180" t="s">
        <v>111</v>
      </c>
      <c r="H26" s="161" t="e">
        <f>H24+H25</f>
        <v>#REF!</v>
      </c>
      <c r="I26" s="161" t="e">
        <f>I24+I25</f>
        <v>#REF!</v>
      </c>
      <c r="J26" s="141"/>
      <c r="K26" s="141">
        <v>2024</v>
      </c>
      <c r="L26" s="141"/>
      <c r="M26" s="141"/>
      <c r="N26" s="141"/>
      <c r="O26" s="141"/>
      <c r="P26" s="141"/>
    </row>
    <row r="27" spans="1:16">
      <c r="A27" s="171" t="s">
        <v>105</v>
      </c>
      <c r="B27" s="181">
        <v>21.54</v>
      </c>
      <c r="C27" s="172"/>
      <c r="D27" s="172"/>
      <c r="E27" s="141"/>
      <c r="F27" s="141"/>
      <c r="G27" s="141"/>
      <c r="H27" s="141"/>
      <c r="I27" s="141"/>
      <c r="J27" s="141"/>
      <c r="K27" s="141"/>
      <c r="L27" s="166" t="s">
        <v>91</v>
      </c>
      <c r="M27" s="166" t="s">
        <v>112</v>
      </c>
      <c r="N27" s="141"/>
      <c r="O27" s="141"/>
      <c r="P27" s="141"/>
    </row>
    <row r="28" spans="1:16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69" t="s">
        <v>86</v>
      </c>
      <c r="L28" s="166">
        <f>C13</f>
        <v>1.0900000000000001</v>
      </c>
      <c r="M28" s="166">
        <f>C31</f>
        <v>1.42</v>
      </c>
      <c r="N28" s="166">
        <f>L28-M28</f>
        <v>-0.32999999999999985</v>
      </c>
      <c r="O28" s="141" t="s">
        <v>113</v>
      </c>
      <c r="P28" s="141"/>
    </row>
    <row r="29" spans="1:16" ht="26.25">
      <c r="A29" s="600" t="s">
        <v>114</v>
      </c>
      <c r="B29" s="600"/>
      <c r="C29" s="600"/>
      <c r="D29" s="600"/>
      <c r="E29" s="141"/>
      <c r="F29" s="141"/>
      <c r="G29" s="141"/>
      <c r="H29" s="141"/>
      <c r="I29" s="141"/>
      <c r="J29" s="141"/>
      <c r="K29" s="169" t="s">
        <v>45</v>
      </c>
      <c r="L29" s="166">
        <f>C14</f>
        <v>3.04</v>
      </c>
      <c r="M29" s="166">
        <f>C32</f>
        <v>2.89</v>
      </c>
      <c r="N29" s="166">
        <f>L29-M29</f>
        <v>0.14999999999999991</v>
      </c>
      <c r="O29" s="141"/>
      <c r="P29" s="141"/>
    </row>
    <row r="30" spans="1:16">
      <c r="A30" s="163" t="s">
        <v>61</v>
      </c>
      <c r="B30" s="141">
        <f>B1</f>
        <v>2023</v>
      </c>
      <c r="C30" s="141">
        <f>F1</f>
        <v>2024</v>
      </c>
      <c r="D30" s="141">
        <f>J1</f>
        <v>2025</v>
      </c>
      <c r="E30" s="141"/>
      <c r="F30" s="141"/>
      <c r="G30" s="141"/>
      <c r="H30" s="141"/>
      <c r="I30" s="141"/>
      <c r="J30" s="141"/>
      <c r="K30" s="169" t="s">
        <v>115</v>
      </c>
      <c r="L30" s="166">
        <f>SUM(L28:L29)</f>
        <v>4.13</v>
      </c>
      <c r="M30" s="166">
        <f>SUM(M28:M29)</f>
        <v>4.3100000000000005</v>
      </c>
      <c r="N30" s="166">
        <f>L30-M30</f>
        <v>-0.1800000000000006</v>
      </c>
      <c r="O30" s="141" t="s">
        <v>116</v>
      </c>
      <c r="P30" s="141"/>
    </row>
    <row r="31" spans="1:16">
      <c r="A31" s="164" t="s">
        <v>98</v>
      </c>
      <c r="B31" s="165">
        <v>0.72</v>
      </c>
      <c r="C31" s="165">
        <v>1.42</v>
      </c>
      <c r="D31" s="165">
        <v>2.13</v>
      </c>
      <c r="E31" s="141"/>
      <c r="F31" s="141"/>
      <c r="G31" s="141"/>
      <c r="H31" s="141"/>
      <c r="I31" s="141"/>
      <c r="J31" s="141"/>
      <c r="K31" s="169" t="s">
        <v>117</v>
      </c>
      <c r="L31" s="166">
        <f>C15</f>
        <v>6.54</v>
      </c>
      <c r="M31" s="166">
        <f>C33</f>
        <v>6.62</v>
      </c>
      <c r="N31" s="166">
        <f>L31-M31</f>
        <v>-8.0000000000000071E-2</v>
      </c>
      <c r="O31" s="141">
        <f>N31-N28</f>
        <v>0.24999999999999978</v>
      </c>
      <c r="P31" s="141"/>
    </row>
    <row r="32" spans="1:16">
      <c r="A32" s="167" t="s">
        <v>47</v>
      </c>
      <c r="B32" s="168">
        <f>'10 Year RFS Curves (2020)'!H13</f>
        <v>2.82</v>
      </c>
      <c r="C32" s="168">
        <v>2.89</v>
      </c>
      <c r="D32" s="168">
        <v>2.95</v>
      </c>
      <c r="E32" s="141"/>
      <c r="F32" s="141"/>
      <c r="G32" s="141"/>
      <c r="H32" s="141"/>
      <c r="I32" s="141"/>
      <c r="J32" s="141"/>
      <c r="K32" s="169" t="s">
        <v>118</v>
      </c>
      <c r="L32" s="166">
        <f>L31-L30</f>
        <v>2.41</v>
      </c>
      <c r="M32" s="166">
        <f>M31-M30</f>
        <v>2.3099999999999996</v>
      </c>
      <c r="N32" s="166">
        <f>L32-M32</f>
        <v>0.10000000000000053</v>
      </c>
      <c r="O32" s="141"/>
      <c r="P32" s="141"/>
    </row>
    <row r="33" spans="1:16">
      <c r="A33" s="171" t="s">
        <v>101</v>
      </c>
      <c r="B33" s="172">
        <v>5.82</v>
      </c>
      <c r="C33" s="172">
        <v>6.62</v>
      </c>
      <c r="D33" s="172">
        <v>7.43</v>
      </c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</row>
    <row r="34" spans="1:16">
      <c r="A34" s="167" t="s">
        <v>103</v>
      </c>
      <c r="B34" s="141">
        <f>B35-B33+0.25</f>
        <v>15.25</v>
      </c>
      <c r="C34" s="141">
        <f>C35-C33</f>
        <v>15.25</v>
      </c>
      <c r="D34" s="141">
        <f>D35-D33</f>
        <v>15.25</v>
      </c>
      <c r="E34" s="141"/>
      <c r="F34" s="141"/>
      <c r="G34" s="141"/>
      <c r="H34" s="141"/>
      <c r="I34" s="141"/>
      <c r="J34" s="141"/>
      <c r="K34" s="141">
        <v>2025</v>
      </c>
      <c r="L34" s="141"/>
      <c r="M34" s="141"/>
      <c r="N34" s="141"/>
      <c r="O34" s="141"/>
      <c r="P34" s="141"/>
    </row>
    <row r="35" spans="1:16">
      <c r="A35" s="171" t="s">
        <v>105</v>
      </c>
      <c r="B35" s="172">
        <v>20.82</v>
      </c>
      <c r="C35" s="172">
        <v>21.87</v>
      </c>
      <c r="D35" s="172">
        <v>22.68</v>
      </c>
      <c r="E35" s="141"/>
      <c r="F35" s="141"/>
      <c r="G35" s="141"/>
      <c r="H35" s="141"/>
      <c r="I35" s="141"/>
      <c r="J35" s="141"/>
      <c r="K35" s="169" t="s">
        <v>86</v>
      </c>
      <c r="L35" s="141">
        <f>D13</f>
        <v>1.38</v>
      </c>
      <c r="M35" s="141">
        <f>D31</f>
        <v>2.13</v>
      </c>
      <c r="N35" s="166">
        <f>L35-M35</f>
        <v>-0.75</v>
      </c>
      <c r="O35" s="141"/>
      <c r="P35" s="141"/>
    </row>
    <row r="36" spans="1:16">
      <c r="A36" s="176" t="s">
        <v>107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69" t="s">
        <v>45</v>
      </c>
      <c r="L36" s="141">
        <f>D14</f>
        <v>3.35</v>
      </c>
      <c r="M36" s="141">
        <f>D32</f>
        <v>2.95</v>
      </c>
      <c r="N36" s="166">
        <f>L36-M36</f>
        <v>0.39999999999999991</v>
      </c>
      <c r="O36" s="141"/>
      <c r="P36" s="141"/>
    </row>
    <row r="37" spans="1:16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69" t="s">
        <v>115</v>
      </c>
      <c r="L37" s="141">
        <f>L36+L35</f>
        <v>4.7300000000000004</v>
      </c>
      <c r="M37" s="141">
        <f>M36+M35</f>
        <v>5.08</v>
      </c>
      <c r="N37" s="166">
        <f>L37-M37</f>
        <v>-0.34999999999999964</v>
      </c>
      <c r="O37" s="141"/>
      <c r="P37" s="141"/>
    </row>
    <row r="38" spans="1:16" ht="26.25">
      <c r="A38" s="601" t="s">
        <v>119</v>
      </c>
      <c r="B38" s="601"/>
      <c r="C38" s="601"/>
      <c r="D38" s="601"/>
      <c r="E38" s="601"/>
      <c r="F38" s="601"/>
      <c r="G38" s="601"/>
      <c r="H38" s="601"/>
      <c r="I38" s="141"/>
      <c r="J38" s="141"/>
      <c r="K38" s="169" t="s">
        <v>117</v>
      </c>
      <c r="L38" s="141">
        <f>D15</f>
        <v>7.33</v>
      </c>
      <c r="M38" s="141">
        <f>D33</f>
        <v>7.43</v>
      </c>
      <c r="N38" s="166">
        <f>L38-M38</f>
        <v>-9.9999999999999645E-2</v>
      </c>
      <c r="O38" s="141"/>
      <c r="P38" s="141"/>
    </row>
    <row r="39" spans="1:16">
      <c r="A39" s="141"/>
      <c r="B39" s="141"/>
      <c r="C39" s="602" t="s">
        <v>120</v>
      </c>
      <c r="D39" s="603"/>
      <c r="E39" s="604"/>
      <c r="F39" s="603" t="s">
        <v>121</v>
      </c>
      <c r="G39" s="603"/>
      <c r="H39" s="603"/>
      <c r="I39" s="141"/>
      <c r="J39" s="141"/>
      <c r="K39" s="169" t="s">
        <v>118</v>
      </c>
      <c r="L39" s="141">
        <f>L38-L37</f>
        <v>2.5999999999999996</v>
      </c>
      <c r="M39" s="141">
        <f>M38-M37</f>
        <v>2.3499999999999996</v>
      </c>
      <c r="N39" s="166">
        <f>L39-M39</f>
        <v>0.25</v>
      </c>
      <c r="O39" s="141"/>
      <c r="P39" s="141"/>
    </row>
    <row r="40" spans="1:16">
      <c r="A40" s="182" t="s">
        <v>122</v>
      </c>
      <c r="B40" s="183"/>
      <c r="C40" s="184">
        <f>B12</f>
        <v>2023</v>
      </c>
      <c r="D40" s="185">
        <f>C12</f>
        <v>2024</v>
      </c>
      <c r="E40" s="186">
        <f>D12</f>
        <v>2025</v>
      </c>
      <c r="F40" s="185">
        <f>C40</f>
        <v>2023</v>
      </c>
      <c r="G40" s="185">
        <f>D40</f>
        <v>2024</v>
      </c>
      <c r="H40" s="185">
        <f>E40</f>
        <v>2025</v>
      </c>
      <c r="I40" s="141"/>
      <c r="J40" s="141"/>
      <c r="K40" s="141"/>
      <c r="L40" s="141"/>
      <c r="M40" s="141"/>
      <c r="N40" s="141"/>
      <c r="O40" s="141"/>
      <c r="P40" s="141"/>
    </row>
    <row r="41" spans="1:16" ht="23.25">
      <c r="A41" s="187" t="s">
        <v>123</v>
      </c>
      <c r="B41" s="187"/>
      <c r="C41" s="188" t="e">
        <f>D4*C55</f>
        <v>#REF!</v>
      </c>
      <c r="D41" s="189" t="e">
        <f>H4*D55</f>
        <v>#REF!</v>
      </c>
      <c r="E41" s="190" t="e">
        <f>L4*E55</f>
        <v>#REF!</v>
      </c>
      <c r="F41" s="189" t="e">
        <f>(B3-E3)*C55</f>
        <v>#REF!</v>
      </c>
      <c r="G41" s="189">
        <f>(((F3-G3)+(F4-G4)+(C15-C33))+((F7-G7)/1.5))</f>
        <v>-0.38000000000000289</v>
      </c>
      <c r="H41" s="189" t="e">
        <f>(((J6-M6)/1.5)+(J4-M4))*E55</f>
        <v>#REF!</v>
      </c>
      <c r="I41" s="141"/>
      <c r="J41" s="141"/>
    </row>
    <row r="42" spans="1:16">
      <c r="A42" s="141" t="s">
        <v>124</v>
      </c>
      <c r="B42" s="141"/>
      <c r="C42" s="150" t="e">
        <f>C41*AVERAGE(#REF!)</f>
        <v>#REF!</v>
      </c>
      <c r="D42" s="151" t="e">
        <f>D41*AVERAGE(#REF!)</f>
        <v>#REF!</v>
      </c>
      <c r="E42" s="152" t="e">
        <f>E41*AVERAGE(#REF!)</f>
        <v>#REF!</v>
      </c>
      <c r="F42" s="151" t="e">
        <f>F41*AVERAGE(#REF!)</f>
        <v>#REF!</v>
      </c>
      <c r="G42" s="151" t="e">
        <f>G41*AVERAGE(#REF!)</f>
        <v>#REF!</v>
      </c>
      <c r="H42" s="151" t="e">
        <f>H41*AVERAGE(#REF!)</f>
        <v>#REF!</v>
      </c>
      <c r="I42" s="141"/>
      <c r="J42" s="141"/>
    </row>
    <row r="43" spans="1:16">
      <c r="A43" s="153" t="s">
        <v>125</v>
      </c>
      <c r="B43" s="153"/>
      <c r="C43" s="154" t="e">
        <f>C41*AVERAGE(#REF!)</f>
        <v>#REF!</v>
      </c>
      <c r="D43" s="155" t="e">
        <f>D41*AVERAGE(#REF!)</f>
        <v>#REF!</v>
      </c>
      <c r="E43" s="156" t="e">
        <f>E41*AVERAGE(#REF!)</f>
        <v>#REF!</v>
      </c>
      <c r="F43" s="155" t="e">
        <f>F41*AVERAGE(#REF!)</f>
        <v>#REF!</v>
      </c>
      <c r="G43" s="155" t="e">
        <f>G41*AVERAGE(#REF!)</f>
        <v>#REF!</v>
      </c>
      <c r="H43" s="155" t="e">
        <f>H41*AVERAGE(#REF!)</f>
        <v>#REF!</v>
      </c>
      <c r="I43" s="141"/>
      <c r="J43" s="141"/>
    </row>
    <row r="44" spans="1:16" ht="20.25" customHeight="1">
      <c r="A44" s="605" t="s">
        <v>126</v>
      </c>
      <c r="B44" s="605"/>
      <c r="C44" s="606" t="e">
        <f t="shared" ref="C44:H44" si="1">C43+C42</f>
        <v>#REF!</v>
      </c>
      <c r="D44" s="597" t="e">
        <f t="shared" si="1"/>
        <v>#REF!</v>
      </c>
      <c r="E44" s="607" t="e">
        <f t="shared" si="1"/>
        <v>#REF!</v>
      </c>
      <c r="F44" s="597" t="e">
        <f t="shared" si="1"/>
        <v>#REF!</v>
      </c>
      <c r="G44" s="597" t="e">
        <f t="shared" si="1"/>
        <v>#REF!</v>
      </c>
      <c r="H44" s="597" t="e">
        <f t="shared" si="1"/>
        <v>#REF!</v>
      </c>
      <c r="I44" s="141"/>
      <c r="J44" s="141"/>
    </row>
    <row r="45" spans="1:16" ht="4.5" customHeight="1">
      <c r="A45" s="605"/>
      <c r="B45" s="605"/>
      <c r="C45" s="606"/>
      <c r="D45" s="597"/>
      <c r="E45" s="607"/>
      <c r="F45" s="597"/>
      <c r="G45" s="597"/>
      <c r="H45" s="597"/>
      <c r="I45" s="141"/>
      <c r="J45" s="141"/>
    </row>
    <row r="46" spans="1:16">
      <c r="A46" s="153" t="s">
        <v>127</v>
      </c>
      <c r="B46" s="153"/>
      <c r="C46" s="154" t="e">
        <f>C41*AVERAGE(#REF!)</f>
        <v>#REF!</v>
      </c>
      <c r="D46" s="155" t="e">
        <f>D41*AVERAGE(#REF!)</f>
        <v>#REF!</v>
      </c>
      <c r="E46" s="156" t="e">
        <f>E41*AVERAGE(#REF!)</f>
        <v>#REF!</v>
      </c>
      <c r="F46" s="155" t="e">
        <f>F41*AVERAGE(#REF!)</f>
        <v>#REF!</v>
      </c>
      <c r="G46" s="155" t="e">
        <f>G41*AVERAGE(#REF!)</f>
        <v>#REF!</v>
      </c>
      <c r="H46" s="155" t="e">
        <f>H41*AVERAGE(#REF!)</f>
        <v>#REF!</v>
      </c>
      <c r="I46" s="141"/>
      <c r="J46" s="141"/>
    </row>
    <row r="47" spans="1:16">
      <c r="A47" s="141" t="s">
        <v>128</v>
      </c>
      <c r="B47" s="141"/>
      <c r="C47" s="150" t="e">
        <f>C41*AVERAGE(#REF!)</f>
        <v>#REF!</v>
      </c>
      <c r="D47" s="151" t="e">
        <f>D41*AVERAGE(#REF!)</f>
        <v>#REF!</v>
      </c>
      <c r="E47" s="152" t="e">
        <f>E41*AVERAGE(#REF!)</f>
        <v>#REF!</v>
      </c>
      <c r="F47" s="151" t="e">
        <f>F41*AVERAGE(#REF!)</f>
        <v>#REF!</v>
      </c>
      <c r="G47" s="151" t="e">
        <f>G41*AVERAGE(#REF!)</f>
        <v>#REF!</v>
      </c>
      <c r="H47" s="151" t="e">
        <f>H41*AVERAGE(#REF!)</f>
        <v>#REF!</v>
      </c>
      <c r="I47" s="141"/>
      <c r="J47" s="141"/>
    </row>
    <row r="48" spans="1:16">
      <c r="A48" s="153" t="s">
        <v>129</v>
      </c>
      <c r="B48" s="153"/>
      <c r="C48" s="154" t="e">
        <f>C41*AVERAGE(#REF!)</f>
        <v>#REF!</v>
      </c>
      <c r="D48" s="155" t="e">
        <f>D41*AVERAGE(#REF!)</f>
        <v>#REF!</v>
      </c>
      <c r="E48" s="156" t="e">
        <f>E41*AVERAGE(#REF!)</f>
        <v>#REF!</v>
      </c>
      <c r="F48" s="155" t="e">
        <f>F41*AVERAGE(#REF!)</f>
        <v>#REF!</v>
      </c>
      <c r="G48" s="155" t="e">
        <f>G41*AVERAGE(#REF!)</f>
        <v>#REF!</v>
      </c>
      <c r="H48" s="155" t="e">
        <f>H41*AVERAGE(#REF!)</f>
        <v>#REF!</v>
      </c>
      <c r="I48" s="141"/>
      <c r="J48" s="141"/>
    </row>
    <row r="49" spans="1:25">
      <c r="A49" s="141" t="s">
        <v>130</v>
      </c>
      <c r="B49" s="141"/>
      <c r="C49" s="150" t="e">
        <f>C41*AVERAGE(#REF!)</f>
        <v>#REF!</v>
      </c>
      <c r="D49" s="151" t="e">
        <f>D41*AVERAGE(#REF!)</f>
        <v>#REF!</v>
      </c>
      <c r="E49" s="152" t="e">
        <f>E41*AVERAGE(#REF!)</f>
        <v>#REF!</v>
      </c>
      <c r="F49" s="151" t="e">
        <f>F41*AVERAGE(#REF!)</f>
        <v>#REF!</v>
      </c>
      <c r="G49" s="151" t="e">
        <f>G41*AVERAGE(#REF!)</f>
        <v>#REF!</v>
      </c>
      <c r="H49" s="151" t="e">
        <f>H41*AVERAGE(#REF!)</f>
        <v>#REF!</v>
      </c>
      <c r="I49" s="141"/>
      <c r="J49" s="141"/>
    </row>
    <row r="50" spans="1:25">
      <c r="A50" s="153" t="s">
        <v>131</v>
      </c>
      <c r="B50" s="153"/>
      <c r="C50" s="154" t="e">
        <f>C41*AVERAGE(#REF!)</f>
        <v>#REF!</v>
      </c>
      <c r="D50" s="155" t="e">
        <f>D41*AVERAGE(#REF!)</f>
        <v>#REF!</v>
      </c>
      <c r="E50" s="156" t="e">
        <f>E41*AVERAGE(#REF!)</f>
        <v>#REF!</v>
      </c>
      <c r="F50" s="155" t="e">
        <f>F41*AVERAGE(#REF!)</f>
        <v>#REF!</v>
      </c>
      <c r="G50" s="155" t="e">
        <f>G41*AVERAGE(#REF!)</f>
        <v>#REF!</v>
      </c>
      <c r="H50" s="155" t="e">
        <f>H41*AVERAGE(#REF!)</f>
        <v>#REF!</v>
      </c>
      <c r="I50" s="141"/>
      <c r="J50" s="141"/>
    </row>
    <row r="51" spans="1:25">
      <c r="A51" s="141" t="s">
        <v>132</v>
      </c>
      <c r="B51" s="141"/>
      <c r="C51" s="150" t="e">
        <f>C41*AVERAGE(#REF!)</f>
        <v>#REF!</v>
      </c>
      <c r="D51" s="151" t="e">
        <f>D41*AVERAGE(#REF!)</f>
        <v>#REF!</v>
      </c>
      <c r="E51" s="152" t="e">
        <f>E41*AVERAGE(#REF!)</f>
        <v>#REF!</v>
      </c>
      <c r="F51" s="151" t="e">
        <f>F41*AVERAGE(#REF!)</f>
        <v>#REF!</v>
      </c>
      <c r="G51" s="151" t="e">
        <f>G41*AVERAGE(#REF!)</f>
        <v>#REF!</v>
      </c>
      <c r="H51" s="151" t="e">
        <f>H41*AVERAGE(#REF!)</f>
        <v>#REF!</v>
      </c>
      <c r="I51" s="141"/>
      <c r="J51" s="141"/>
    </row>
    <row r="52" spans="1:25">
      <c r="A52" s="608" t="s">
        <v>133</v>
      </c>
      <c r="B52" s="608"/>
      <c r="C52" s="609" t="e">
        <f t="shared" ref="C52:H52" si="2">SUM(C46:C51)</f>
        <v>#REF!</v>
      </c>
      <c r="D52" s="598" t="e">
        <f t="shared" si="2"/>
        <v>#REF!</v>
      </c>
      <c r="E52" s="610" t="e">
        <f t="shared" si="2"/>
        <v>#REF!</v>
      </c>
      <c r="F52" s="598" t="e">
        <f t="shared" si="2"/>
        <v>#REF!</v>
      </c>
      <c r="G52" s="598" t="e">
        <f t="shared" si="2"/>
        <v>#REF!</v>
      </c>
      <c r="H52" s="598" t="e">
        <f t="shared" si="2"/>
        <v>#REF!</v>
      </c>
      <c r="I52" s="141"/>
      <c r="J52" s="141"/>
    </row>
    <row r="53" spans="1:25" ht="4.5" customHeight="1">
      <c r="A53" s="608"/>
      <c r="B53" s="608"/>
      <c r="C53" s="609"/>
      <c r="D53" s="598"/>
      <c r="E53" s="610"/>
      <c r="F53" s="598"/>
      <c r="G53" s="598"/>
      <c r="H53" s="598"/>
      <c r="I53" s="141"/>
      <c r="J53" s="141"/>
    </row>
    <row r="54" spans="1:25">
      <c r="A54" s="151"/>
      <c r="B54" s="151"/>
      <c r="C54" s="151" t="e">
        <f>C55*D7</f>
        <v>#REF!</v>
      </c>
      <c r="D54" s="151" t="e">
        <f>H7*D55</f>
        <v>#REF!</v>
      </c>
      <c r="E54" s="151" t="e">
        <f>E55*L7</f>
        <v>#REF!</v>
      </c>
      <c r="F54" s="151"/>
      <c r="G54" s="151"/>
      <c r="H54" s="151"/>
      <c r="I54" s="141"/>
      <c r="J54" s="141"/>
    </row>
    <row r="55" spans="1:25">
      <c r="A55" s="141" t="s">
        <v>134</v>
      </c>
      <c r="B55" s="141"/>
      <c r="C55" s="173" t="e">
        <f>AVERAGE(#REF!)</f>
        <v>#REF!</v>
      </c>
      <c r="D55" s="173" t="e">
        <f>AVERAGE(#REF!)</f>
        <v>#REF!</v>
      </c>
      <c r="E55" s="173" t="e">
        <f>AVERAGE(#REF!)</f>
        <v>#REF!</v>
      </c>
      <c r="F55" s="141"/>
      <c r="G55" s="141"/>
      <c r="H55" s="141"/>
      <c r="I55" s="141"/>
      <c r="J55" s="141"/>
    </row>
    <row r="56" spans="1:25">
      <c r="A56" s="141"/>
      <c r="B56" s="141"/>
      <c r="C56" s="141"/>
      <c r="D56" s="141"/>
      <c r="E56" s="141"/>
      <c r="F56" s="141"/>
      <c r="G56" s="141"/>
      <c r="H56" s="141"/>
      <c r="I56" s="141"/>
      <c r="J56" s="141"/>
    </row>
    <row r="57" spans="1:25">
      <c r="A57" s="142" t="s">
        <v>61</v>
      </c>
      <c r="B57" s="142">
        <f>B12</f>
        <v>2023</v>
      </c>
      <c r="C57" s="142">
        <f>C12</f>
        <v>2024</v>
      </c>
      <c r="D57" s="142">
        <f>D12</f>
        <v>2025</v>
      </c>
      <c r="I57" s="142">
        <f>B57</f>
        <v>2023</v>
      </c>
      <c r="J57" s="142">
        <f>C57</f>
        <v>2024</v>
      </c>
      <c r="K57" s="142">
        <f>D57</f>
        <v>2025</v>
      </c>
    </row>
    <row r="58" spans="1:25">
      <c r="A58" s="142" t="s">
        <v>98</v>
      </c>
      <c r="B58" s="191" t="s">
        <v>135</v>
      </c>
      <c r="C58" s="191" t="s">
        <v>135</v>
      </c>
      <c r="D58" s="191" t="s">
        <v>135</v>
      </c>
      <c r="H58" s="192" t="s">
        <v>136</v>
      </c>
      <c r="I58" s="193">
        <v>3.8002904194964122</v>
      </c>
      <c r="J58" s="193">
        <v>3.7369970516786233</v>
      </c>
      <c r="K58" s="193">
        <v>3.8137653697846452</v>
      </c>
    </row>
    <row r="59" spans="1:25">
      <c r="A59" s="142" t="s">
        <v>47</v>
      </c>
      <c r="B59" s="191" t="s">
        <v>135</v>
      </c>
      <c r="C59" s="191" t="s">
        <v>135</v>
      </c>
      <c r="D59" s="191" t="s">
        <v>135</v>
      </c>
      <c r="H59" s="194" t="s">
        <v>28</v>
      </c>
      <c r="I59" s="195">
        <v>1.5961219761884928</v>
      </c>
      <c r="J59" s="195">
        <v>0.97668744288608333</v>
      </c>
      <c r="K59" s="195">
        <v>0.88164404489791215</v>
      </c>
    </row>
    <row r="60" spans="1:25">
      <c r="A60" s="142" t="s">
        <v>101</v>
      </c>
      <c r="B60" s="191" t="s">
        <v>135</v>
      </c>
      <c r="C60" s="191" t="s">
        <v>135</v>
      </c>
      <c r="D60" s="191" t="s">
        <v>135</v>
      </c>
      <c r="H60" s="196" t="s">
        <v>34</v>
      </c>
      <c r="I60" s="195">
        <v>2.1281626349179912</v>
      </c>
      <c r="J60" s="195">
        <v>3.1777477887589676</v>
      </c>
      <c r="K60" s="195">
        <v>3.7154252569212556</v>
      </c>
    </row>
    <row r="61" spans="1:25">
      <c r="A61" s="142" t="s">
        <v>137</v>
      </c>
      <c r="B61" s="191" t="s">
        <v>135</v>
      </c>
      <c r="C61" s="191" t="s">
        <v>135</v>
      </c>
      <c r="D61" s="191" t="s">
        <v>135</v>
      </c>
      <c r="H61" s="196" t="s">
        <v>35</v>
      </c>
      <c r="I61" s="195">
        <v>7.6005808389928251E-2</v>
      </c>
      <c r="J61" s="195">
        <v>7.4739941033572468E-2</v>
      </c>
      <c r="K61" s="195">
        <v>8.0089072765477554E-2</v>
      </c>
      <c r="V61" s="142" t="s">
        <v>138</v>
      </c>
    </row>
    <row r="62" spans="1:25">
      <c r="A62" s="142" t="s">
        <v>105</v>
      </c>
      <c r="B62" s="191" t="s">
        <v>135</v>
      </c>
      <c r="C62" s="191" t="s">
        <v>135</v>
      </c>
      <c r="D62" s="191" t="s">
        <v>135</v>
      </c>
      <c r="H62" s="194" t="s">
        <v>32</v>
      </c>
      <c r="I62" s="195">
        <v>0.56588374399999997</v>
      </c>
      <c r="J62" s="195">
        <v>0.49132500000000001</v>
      </c>
      <c r="K62" s="195">
        <v>0.51518750000000002</v>
      </c>
      <c r="W62" s="142">
        <v>2023</v>
      </c>
      <c r="X62" s="142">
        <v>2024</v>
      </c>
      <c r="Y62" s="142">
        <v>2025</v>
      </c>
    </row>
    <row r="63" spans="1:25">
      <c r="A63" s="142" t="s">
        <v>61</v>
      </c>
      <c r="H63" s="197" t="s">
        <v>48</v>
      </c>
      <c r="I63" s="198">
        <v>3.9459511962504394</v>
      </c>
      <c r="J63" s="198">
        <v>3.9547399533799092</v>
      </c>
      <c r="K63" s="198">
        <v>4.0132469045796215</v>
      </c>
      <c r="V63" s="142" t="s">
        <v>86</v>
      </c>
      <c r="W63" s="199">
        <v>1</v>
      </c>
      <c r="X63" s="199">
        <v>1</v>
      </c>
      <c r="Y63" s="199">
        <v>1</v>
      </c>
    </row>
    <row r="64" spans="1:25">
      <c r="A64" s="142" t="s">
        <v>98</v>
      </c>
      <c r="B64" s="191" t="s">
        <v>135</v>
      </c>
      <c r="C64" s="191" t="s">
        <v>135</v>
      </c>
      <c r="D64" s="191" t="s">
        <v>135</v>
      </c>
      <c r="V64" s="142" t="s">
        <v>45</v>
      </c>
      <c r="W64" s="199">
        <f>'[1]D4 RIN Forecast'!AW$27</f>
        <v>0</v>
      </c>
      <c r="X64" s="199">
        <f>'[1]D4 RIN Forecast'!AX$27</f>
        <v>0</v>
      </c>
      <c r="Y64" s="199">
        <f>'[1]D4 RIN Forecast'!AY$27</f>
        <v>0</v>
      </c>
    </row>
    <row r="65" spans="1:28">
      <c r="A65" s="142" t="s">
        <v>47</v>
      </c>
      <c r="B65" s="191" t="s">
        <v>135</v>
      </c>
      <c r="C65" s="191" t="s">
        <v>135</v>
      </c>
      <c r="D65" s="191" t="s">
        <v>135</v>
      </c>
      <c r="V65" s="142" t="s">
        <v>87</v>
      </c>
      <c r="W65" s="199">
        <f>'[1]D5 RIN Forecast'!AF$28</f>
        <v>1.4259683792080682</v>
      </c>
      <c r="X65" s="199">
        <f>'[1]D5 RIN Forecast'!AG$28</f>
        <v>1.4766142943405636</v>
      </c>
      <c r="Y65" s="199">
        <f>'[1]D5 RIN Forecast'!AH$28</f>
        <v>1.4576243638244581</v>
      </c>
    </row>
    <row r="66" spans="1:28">
      <c r="A66" s="142" t="s">
        <v>101</v>
      </c>
      <c r="B66" s="191" t="s">
        <v>135</v>
      </c>
      <c r="C66" s="191" t="s">
        <v>135</v>
      </c>
      <c r="D66" s="191" t="s">
        <v>135</v>
      </c>
      <c r="V66" s="142" t="s">
        <v>88</v>
      </c>
      <c r="W66" s="199">
        <f>'[1]D6 RIN Forecast'!AP$23</f>
        <v>1.0030464314918521</v>
      </c>
      <c r="X66" s="199">
        <f>'[1]D6 RIN Forecast'!AQ$23</f>
        <v>1.0014158203893386</v>
      </c>
      <c r="Y66" s="199">
        <f>'[1]D6 RIN Forecast'!AR$23</f>
        <v>1.0003379701115769</v>
      </c>
    </row>
    <row r="67" spans="1:28">
      <c r="A67" s="142" t="s">
        <v>137</v>
      </c>
    </row>
    <row r="68" spans="1:28">
      <c r="A68" s="142" t="s">
        <v>105</v>
      </c>
      <c r="B68" s="191" t="s">
        <v>135</v>
      </c>
      <c r="C68" s="191" t="s">
        <v>135</v>
      </c>
      <c r="D68" s="191" t="s">
        <v>135</v>
      </c>
      <c r="V68" s="599" t="s">
        <v>139</v>
      </c>
      <c r="W68" s="599"/>
      <c r="X68" s="599" t="s">
        <v>140</v>
      </c>
      <c r="Y68" s="599"/>
      <c r="Z68" s="142" t="s">
        <v>141</v>
      </c>
    </row>
    <row r="69" spans="1:28">
      <c r="A69" s="142" t="s">
        <v>142</v>
      </c>
      <c r="I69" s="142" t="s">
        <v>143</v>
      </c>
      <c r="U69" s="192">
        <v>2024</v>
      </c>
      <c r="V69" s="191" t="s">
        <v>91</v>
      </c>
      <c r="W69" s="191" t="s">
        <v>112</v>
      </c>
      <c r="X69" s="191" t="s">
        <v>91</v>
      </c>
      <c r="Y69" s="191" t="s">
        <v>112</v>
      </c>
      <c r="Z69" s="142" t="s">
        <v>144</v>
      </c>
      <c r="AA69" s="142" t="s">
        <v>140</v>
      </c>
      <c r="AB69" s="142" t="s">
        <v>145</v>
      </c>
    </row>
    <row r="70" spans="1:28">
      <c r="A70" s="200">
        <v>2024</v>
      </c>
      <c r="I70" s="200">
        <v>2024</v>
      </c>
      <c r="U70" s="192" t="s">
        <v>86</v>
      </c>
      <c r="V70" s="201">
        <f>K73</f>
        <v>1.0900000000000001</v>
      </c>
      <c r="W70" s="201">
        <f>D73</f>
        <v>1.42</v>
      </c>
      <c r="X70" s="201">
        <f>V70*X63</f>
        <v>1.0900000000000001</v>
      </c>
      <c r="Y70" s="201">
        <f>W70*X63</f>
        <v>1.42</v>
      </c>
      <c r="Z70" s="142">
        <f>'[1]D3 Gallon Forecast'!$P$15/1000000000</f>
        <v>0.92116308999999996</v>
      </c>
      <c r="AA70" s="142">
        <f>Z70*X63</f>
        <v>0.92116308999999996</v>
      </c>
      <c r="AB70" s="202">
        <f>X70-AA70</f>
        <v>0.16883691000000012</v>
      </c>
    </row>
    <row r="71" spans="1:28">
      <c r="C71" s="203" t="s">
        <v>91</v>
      </c>
      <c r="D71" s="203" t="s">
        <v>112</v>
      </c>
      <c r="E71" s="203" t="s">
        <v>93</v>
      </c>
      <c r="K71" s="203" t="s">
        <v>91</v>
      </c>
      <c r="L71" s="203" t="s">
        <v>112</v>
      </c>
      <c r="M71" s="203" t="s">
        <v>93</v>
      </c>
      <c r="U71" s="192" t="s">
        <v>45</v>
      </c>
      <c r="V71" s="201">
        <f>C74</f>
        <v>3.04</v>
      </c>
      <c r="W71" s="201">
        <f>D74</f>
        <v>2.89</v>
      </c>
      <c r="X71" s="201">
        <f>V71*X64</f>
        <v>0</v>
      </c>
      <c r="Y71" s="201">
        <f>W71*X64</f>
        <v>0</v>
      </c>
      <c r="Z71" s="142">
        <f>'[1]D4 Gallon Forecast'!$P$27/1000000000</f>
        <v>5.6673784400000002</v>
      </c>
      <c r="AA71" s="142">
        <f>Z71*X64</f>
        <v>0</v>
      </c>
      <c r="AB71" s="202">
        <f>X71-AA71</f>
        <v>0</v>
      </c>
    </row>
    <row r="72" spans="1:28">
      <c r="B72" s="204" t="s">
        <v>146</v>
      </c>
      <c r="C72" s="205">
        <f>L31</f>
        <v>6.54</v>
      </c>
      <c r="D72" s="205">
        <f>M31</f>
        <v>6.62</v>
      </c>
      <c r="E72" s="205">
        <f t="shared" ref="E72:E77" si="3">C72-D72</f>
        <v>-8.0000000000000071E-2</v>
      </c>
      <c r="J72" s="204" t="s">
        <v>146</v>
      </c>
      <c r="K72" s="205">
        <f>C15</f>
        <v>6.54</v>
      </c>
      <c r="L72" s="205">
        <f>C33</f>
        <v>6.62</v>
      </c>
      <c r="M72" s="205">
        <f t="shared" ref="M72:M77" si="4">K72-L72</f>
        <v>-8.0000000000000071E-2</v>
      </c>
      <c r="U72" s="192" t="s">
        <v>87</v>
      </c>
      <c r="V72" s="201">
        <f>C75</f>
        <v>0.27500000000000002</v>
      </c>
      <c r="W72" s="201">
        <f>D75</f>
        <v>0.27500000000000002</v>
      </c>
      <c r="X72" s="201">
        <f>V72*X65</f>
        <v>0.40606893094365504</v>
      </c>
      <c r="Y72" s="201">
        <f>W72*X65</f>
        <v>0.40606893094365504</v>
      </c>
      <c r="Z72" s="202">
        <f>V72</f>
        <v>0.27500000000000002</v>
      </c>
      <c r="AA72" s="142">
        <f>Z72*X65</f>
        <v>0.40606893094365504</v>
      </c>
      <c r="AB72" s="202">
        <f>X72-AA72</f>
        <v>0</v>
      </c>
    </row>
    <row r="73" spans="1:28">
      <c r="B73" s="204" t="s">
        <v>86</v>
      </c>
      <c r="C73" s="205">
        <f>L28</f>
        <v>1.0900000000000001</v>
      </c>
      <c r="D73" s="205">
        <f>M28</f>
        <v>1.42</v>
      </c>
      <c r="E73" s="205">
        <f t="shared" si="3"/>
        <v>-0.32999999999999985</v>
      </c>
      <c r="J73" s="204" t="s">
        <v>86</v>
      </c>
      <c r="K73" s="205">
        <f>F3</f>
        <v>1.0900000000000001</v>
      </c>
      <c r="L73" s="205">
        <f>'[1]D3 Gallon Forecast'!$P$15/1000000000</f>
        <v>0.92116308999999996</v>
      </c>
      <c r="M73" s="205">
        <f t="shared" si="4"/>
        <v>0.16883691000000012</v>
      </c>
      <c r="U73" s="192" t="s">
        <v>88</v>
      </c>
      <c r="V73" s="201">
        <f>C80</f>
        <v>15</v>
      </c>
      <c r="W73" s="201">
        <f>D80</f>
        <v>15.25</v>
      </c>
      <c r="X73" s="201">
        <f>V73*X66</f>
        <v>15.02123730584008</v>
      </c>
      <c r="Y73" s="201">
        <f>W73*X66</f>
        <v>15.271591260937415</v>
      </c>
      <c r="Z73" s="142">
        <f>'[1]D6 Gallon Forecast'!$P$23/1000000000</f>
        <v>14.885505633999999</v>
      </c>
      <c r="AA73" s="142">
        <f>Z73*X66</f>
        <v>14.906580836382231</v>
      </c>
      <c r="AB73" s="202">
        <f>X73-AA73</f>
        <v>0.11465646945784869</v>
      </c>
    </row>
    <row r="74" spans="1:28">
      <c r="B74" s="204" t="s">
        <v>45</v>
      </c>
      <c r="C74" s="205">
        <f>C14</f>
        <v>3.04</v>
      </c>
      <c r="D74" s="205">
        <f>C32</f>
        <v>2.89</v>
      </c>
      <c r="E74" s="205">
        <f t="shared" si="3"/>
        <v>0.14999999999999991</v>
      </c>
      <c r="J74" s="204" t="s">
        <v>45</v>
      </c>
      <c r="K74" s="205">
        <f>F4</f>
        <v>5.2853287449999993</v>
      </c>
      <c r="L74" s="205">
        <f>I4</f>
        <v>5.6673784400000002</v>
      </c>
      <c r="M74" s="205">
        <f t="shared" si="4"/>
        <v>-0.38204969500000097</v>
      </c>
      <c r="T74" s="202"/>
      <c r="U74" s="192" t="s">
        <v>90</v>
      </c>
      <c r="V74" s="201">
        <f>C79</f>
        <v>21.54</v>
      </c>
      <c r="W74" s="201">
        <f>D79</f>
        <v>21.87</v>
      </c>
      <c r="X74" s="201">
        <f>V74</f>
        <v>21.54</v>
      </c>
      <c r="Y74" s="201">
        <f>W74</f>
        <v>21.87</v>
      </c>
      <c r="Z74" s="202">
        <f>Z73+Z72+Z71+Z70</f>
        <v>21.749047164</v>
      </c>
      <c r="AA74" s="202">
        <f>Z74</f>
        <v>21.749047164</v>
      </c>
      <c r="AB74" s="142">
        <f>X74-AA74</f>
        <v>-0.20904716400000112</v>
      </c>
    </row>
    <row r="75" spans="1:28">
      <c r="B75" s="204" t="s">
        <v>87</v>
      </c>
      <c r="C75" s="205">
        <v>0.27500000000000002</v>
      </c>
      <c r="D75" s="205">
        <v>0.27500000000000002</v>
      </c>
      <c r="E75" s="205">
        <f t="shared" si="3"/>
        <v>0</v>
      </c>
      <c r="J75" s="204" t="s">
        <v>87</v>
      </c>
      <c r="K75" s="205">
        <v>0.27500000000000002</v>
      </c>
      <c r="L75" s="205">
        <f>'[1]D5 Gallon Forecast'!$P$28/1000000000</f>
        <v>0.16467125499999999</v>
      </c>
      <c r="M75" s="205">
        <f t="shared" si="4"/>
        <v>0.11032874500000003</v>
      </c>
      <c r="U75" s="192" t="s">
        <v>147</v>
      </c>
      <c r="V75" s="201" t="e">
        <f>X75/X64</f>
        <v>#DIV/0!</v>
      </c>
      <c r="W75" s="201" t="e">
        <f>Y75/X64</f>
        <v>#DIV/0!</v>
      </c>
      <c r="X75" s="201">
        <f>X74-X73-X72-X71-X70</f>
        <v>5.0226937632162647</v>
      </c>
      <c r="Y75" s="201">
        <f>Y74-Y73-Y72-Y71-Y70</f>
        <v>4.7723398081189314</v>
      </c>
      <c r="Z75" s="201">
        <f>Z74-Z73-Z72-Z71-Z70</f>
        <v>0</v>
      </c>
      <c r="AA75" s="201">
        <f>AA74-AA73-AA72-AA71-AA70</f>
        <v>5.5152343066741141</v>
      </c>
    </row>
    <row r="76" spans="1:28">
      <c r="B76" s="204" t="s">
        <v>148</v>
      </c>
      <c r="C76" s="205">
        <f>C72-(C75+C74+C73)</f>
        <v>2.1349999999999998</v>
      </c>
      <c r="D76" s="205">
        <f>D72-(D75+D74+D73)</f>
        <v>2.0350000000000001</v>
      </c>
      <c r="E76" s="205">
        <f t="shared" si="3"/>
        <v>9.9999999999999645E-2</v>
      </c>
      <c r="F76" s="206" t="s">
        <v>149</v>
      </c>
      <c r="J76" s="204" t="s">
        <v>148</v>
      </c>
      <c r="K76" s="205">
        <f>K72-(K75+K74+K73)</f>
        <v>-0.11032874499999945</v>
      </c>
      <c r="L76" s="205">
        <f>L72-(L75+L74+L73)</f>
        <v>-0.13321278500000044</v>
      </c>
      <c r="M76" s="205">
        <f t="shared" si="4"/>
        <v>2.2884040000000994E-2</v>
      </c>
      <c r="N76" s="206" t="s">
        <v>149</v>
      </c>
      <c r="U76" s="192" t="s">
        <v>150</v>
      </c>
      <c r="V76" s="202" t="e">
        <f>V75+V71</f>
        <v>#DIV/0!</v>
      </c>
      <c r="W76" s="202" t="e">
        <f>W75+W71</f>
        <v>#DIV/0!</v>
      </c>
    </row>
    <row r="77" spans="1:28">
      <c r="A77" s="207"/>
      <c r="B77" s="208" t="s">
        <v>151</v>
      </c>
      <c r="C77" s="209">
        <f>C76+C74</f>
        <v>5.1749999999999998</v>
      </c>
      <c r="D77" s="209">
        <f>D76+D74</f>
        <v>4.9250000000000007</v>
      </c>
      <c r="E77" s="209">
        <f t="shared" si="3"/>
        <v>0.24999999999999911</v>
      </c>
      <c r="F77" s="210" t="s">
        <v>152</v>
      </c>
      <c r="I77" s="207"/>
      <c r="J77" s="208" t="s">
        <v>151</v>
      </c>
      <c r="K77" s="209">
        <f>K76+K74</f>
        <v>5.1749999999999998</v>
      </c>
      <c r="L77" s="209">
        <f>L76+L74</f>
        <v>5.5341656549999998</v>
      </c>
      <c r="M77" s="209">
        <f t="shared" si="4"/>
        <v>-0.35916565499999997</v>
      </c>
      <c r="N77" s="210" t="s">
        <v>152</v>
      </c>
      <c r="U77" s="192" t="s">
        <v>93</v>
      </c>
      <c r="V77" s="202" t="e">
        <f>V76-W76</f>
        <v>#DIV/0!</v>
      </c>
    </row>
    <row r="78" spans="1:28">
      <c r="B78" s="211" t="s">
        <v>153</v>
      </c>
      <c r="C78" s="205"/>
      <c r="D78" s="205"/>
      <c r="E78" s="205"/>
      <c r="J78" s="211" t="s">
        <v>153</v>
      </c>
      <c r="K78" s="205"/>
      <c r="L78" s="205"/>
      <c r="M78" s="205"/>
      <c r="U78" s="192" t="s">
        <v>154</v>
      </c>
      <c r="V78" s="142" t="e">
        <f>V77*D55</f>
        <v>#DIV/0!</v>
      </c>
    </row>
    <row r="79" spans="1:28">
      <c r="B79" s="204" t="s">
        <v>90</v>
      </c>
      <c r="C79" s="205">
        <f>C17</f>
        <v>21.54</v>
      </c>
      <c r="D79" s="205">
        <f>C35</f>
        <v>21.87</v>
      </c>
      <c r="E79" s="205">
        <f>C79-D79</f>
        <v>-0.33000000000000185</v>
      </c>
      <c r="J79" s="204" t="s">
        <v>90</v>
      </c>
      <c r="K79" s="205">
        <f>C17</f>
        <v>21.54</v>
      </c>
      <c r="L79" s="205">
        <f>C35</f>
        <v>21.87</v>
      </c>
      <c r="M79" s="205">
        <f>K79-L79</f>
        <v>-0.33000000000000185</v>
      </c>
    </row>
    <row r="80" spans="1:28">
      <c r="B80" s="204" t="s">
        <v>88</v>
      </c>
      <c r="C80" s="205">
        <f>C16</f>
        <v>15</v>
      </c>
      <c r="D80" s="205">
        <f>C34</f>
        <v>15.25</v>
      </c>
      <c r="E80" s="205">
        <f>C80-D80</f>
        <v>-0.25</v>
      </c>
      <c r="J80" s="204" t="s">
        <v>88</v>
      </c>
      <c r="K80" s="205">
        <f>C16</f>
        <v>15</v>
      </c>
      <c r="L80" s="205">
        <f>C34</f>
        <v>15.25</v>
      </c>
      <c r="M80" s="205">
        <f>K80-L80</f>
        <v>-0.25</v>
      </c>
      <c r="V80" s="599" t="s">
        <v>139</v>
      </c>
      <c r="W80" s="599"/>
      <c r="X80" s="599" t="s">
        <v>140</v>
      </c>
      <c r="Y80" s="599"/>
    </row>
    <row r="81" spans="1:25">
      <c r="B81" s="204" t="s">
        <v>87</v>
      </c>
      <c r="C81" s="205">
        <f>C75</f>
        <v>0.27500000000000002</v>
      </c>
      <c r="D81" s="205">
        <f>D75</f>
        <v>0.27500000000000002</v>
      </c>
      <c r="E81" s="205">
        <f>C81-D81</f>
        <v>0</v>
      </c>
      <c r="J81" s="204" t="s">
        <v>87</v>
      </c>
      <c r="K81" s="205">
        <f>K75</f>
        <v>0.27500000000000002</v>
      </c>
      <c r="L81" s="205">
        <f>L75</f>
        <v>0.16467125499999999</v>
      </c>
      <c r="M81" s="205">
        <f>K81-L81</f>
        <v>0.11032874500000003</v>
      </c>
      <c r="U81" s="192">
        <v>2025</v>
      </c>
      <c r="V81" s="191" t="s">
        <v>91</v>
      </c>
      <c r="W81" s="191" t="s">
        <v>112</v>
      </c>
      <c r="X81" s="191" t="s">
        <v>91</v>
      </c>
      <c r="Y81" s="191" t="s">
        <v>112</v>
      </c>
    </row>
    <row r="82" spans="1:25">
      <c r="B82" s="204" t="s">
        <v>86</v>
      </c>
      <c r="C82" s="205">
        <f>C73</f>
        <v>1.0900000000000001</v>
      </c>
      <c r="D82" s="205">
        <f>D73</f>
        <v>1.42</v>
      </c>
      <c r="E82" s="205">
        <f>C82-D82</f>
        <v>-0.32999999999999985</v>
      </c>
      <c r="J82" s="204" t="s">
        <v>86</v>
      </c>
      <c r="K82" s="205">
        <f>K73</f>
        <v>1.0900000000000001</v>
      </c>
      <c r="L82" s="205">
        <f>L73</f>
        <v>0.92116308999999996</v>
      </c>
      <c r="M82" s="205">
        <f>K82-L82</f>
        <v>0.16883691000000012</v>
      </c>
      <c r="U82" s="192" t="s">
        <v>86</v>
      </c>
      <c r="V82" s="212">
        <f>C89</f>
        <v>1.38</v>
      </c>
      <c r="W82" s="212">
        <f>D89</f>
        <v>2.13</v>
      </c>
      <c r="X82" s="142">
        <f>V82*Y63</f>
        <v>1.38</v>
      </c>
      <c r="Y82" s="142">
        <f>W82*Y63</f>
        <v>2.13</v>
      </c>
    </row>
    <row r="83" spans="1:25">
      <c r="A83" s="207"/>
      <c r="B83" s="208" t="s">
        <v>155</v>
      </c>
      <c r="C83" s="209">
        <f>C79-C80-C75-C73</f>
        <v>5.1749999999999989</v>
      </c>
      <c r="D83" s="209">
        <f>D79-D80-D75-D73</f>
        <v>4.9250000000000007</v>
      </c>
      <c r="E83" s="209">
        <f>C83-D83</f>
        <v>0.24999999999999822</v>
      </c>
      <c r="F83" s="210" t="s">
        <v>156</v>
      </c>
      <c r="I83" s="207"/>
      <c r="J83" s="208" t="s">
        <v>155</v>
      </c>
      <c r="K83" s="209">
        <f>K79-K80-K75-K73</f>
        <v>5.1749999999999989</v>
      </c>
      <c r="L83" s="209">
        <f>L79-L80-L75-L73</f>
        <v>5.5341656550000007</v>
      </c>
      <c r="M83" s="209">
        <f>K83-L83</f>
        <v>-0.35916565500000175</v>
      </c>
      <c r="N83" s="210" t="s">
        <v>156</v>
      </c>
      <c r="U83" s="192" t="s">
        <v>45</v>
      </c>
      <c r="V83" s="142">
        <f>D14</f>
        <v>3.35</v>
      </c>
      <c r="W83" s="142">
        <f>D32</f>
        <v>2.95</v>
      </c>
      <c r="X83" s="142">
        <f>V83*Y64</f>
        <v>0</v>
      </c>
      <c r="Y83" s="142">
        <f>W83*Y64</f>
        <v>0</v>
      </c>
    </row>
    <row r="84" spans="1:25">
      <c r="B84" s="204" t="s">
        <v>157</v>
      </c>
      <c r="C84" s="205"/>
      <c r="D84" s="205"/>
      <c r="E84" s="205" t="e">
        <f>E83*D55</f>
        <v>#REF!</v>
      </c>
      <c r="F84" s="142" t="s">
        <v>158</v>
      </c>
      <c r="J84" s="204" t="s">
        <v>157</v>
      </c>
      <c r="K84" s="205"/>
      <c r="L84" s="205"/>
      <c r="M84" s="205" t="e">
        <f>M83*D55</f>
        <v>#REF!</v>
      </c>
      <c r="N84" s="142" t="s">
        <v>158</v>
      </c>
      <c r="U84" s="192" t="s">
        <v>87</v>
      </c>
      <c r="V84" s="202">
        <f>J5</f>
        <v>0.187865954</v>
      </c>
      <c r="W84" s="202">
        <f>K5</f>
        <v>0.187865954</v>
      </c>
      <c r="X84" s="142">
        <f>V84*Y65</f>
        <v>0.27383799168352491</v>
      </c>
      <c r="Y84" s="142">
        <f>W84*Y65</f>
        <v>0.27383799168352491</v>
      </c>
    </row>
    <row r="85" spans="1:25">
      <c r="U85" s="192" t="s">
        <v>88</v>
      </c>
      <c r="V85" s="142">
        <f>D16</f>
        <v>14.999999999999998</v>
      </c>
      <c r="W85" s="142">
        <f>D34</f>
        <v>15.25</v>
      </c>
      <c r="X85" s="142">
        <f>V85*Y66</f>
        <v>15.005069551673651</v>
      </c>
      <c r="Y85" s="142">
        <f>W85*Y66</f>
        <v>15.255154044201547</v>
      </c>
    </row>
    <row r="86" spans="1:25">
      <c r="A86" s="200">
        <v>2025</v>
      </c>
      <c r="I86" s="200">
        <v>2025</v>
      </c>
      <c r="U86" s="192" t="s">
        <v>90</v>
      </c>
      <c r="V86" s="142">
        <f>D17</f>
        <v>22.33</v>
      </c>
      <c r="W86" s="142">
        <f>D35</f>
        <v>22.68</v>
      </c>
      <c r="X86" s="142">
        <f>V86</f>
        <v>22.33</v>
      </c>
      <c r="Y86" s="142">
        <f>W86</f>
        <v>22.68</v>
      </c>
    </row>
    <row r="87" spans="1:25">
      <c r="C87" s="203" t="s">
        <v>91</v>
      </c>
      <c r="D87" s="203" t="s">
        <v>112</v>
      </c>
      <c r="E87" s="203" t="s">
        <v>93</v>
      </c>
      <c r="K87" s="203" t="s">
        <v>91</v>
      </c>
      <c r="L87" s="203" t="s">
        <v>112</v>
      </c>
      <c r="M87" s="203" t="s">
        <v>93</v>
      </c>
      <c r="U87" s="192" t="s">
        <v>147</v>
      </c>
      <c r="V87" s="201" t="e">
        <f>X87/Y64</f>
        <v>#DIV/0!</v>
      </c>
      <c r="W87" s="201" t="e">
        <f>Y87/Y64</f>
        <v>#DIV/0!</v>
      </c>
      <c r="X87" s="201">
        <f>X86-X85-X84-X83-X82</f>
        <v>5.671092456642822</v>
      </c>
      <c r="Y87" s="201">
        <f>Y86-Y85-Y84-Y83-Y82</f>
        <v>5.0210079641149283</v>
      </c>
    </row>
    <row r="88" spans="1:25">
      <c r="B88" s="204" t="s">
        <v>146</v>
      </c>
      <c r="C88" s="205">
        <f>D15</f>
        <v>7.33</v>
      </c>
      <c r="D88" s="205">
        <f>D33</f>
        <v>7.43</v>
      </c>
      <c r="E88" s="205">
        <f t="shared" ref="E88:E93" si="5">C88-D88</f>
        <v>-9.9999999999999645E-2</v>
      </c>
      <c r="J88" s="204" t="s">
        <v>146</v>
      </c>
      <c r="K88" s="205">
        <f>D15</f>
        <v>7.33</v>
      </c>
      <c r="L88" s="205">
        <f>D33</f>
        <v>7.43</v>
      </c>
      <c r="M88" s="205">
        <f t="shared" ref="M88:M93" si="6">K88-L88</f>
        <v>-9.9999999999999645E-2</v>
      </c>
      <c r="U88" s="192" t="s">
        <v>150</v>
      </c>
      <c r="V88" s="202" t="e">
        <f>V87+V83</f>
        <v>#DIV/0!</v>
      </c>
      <c r="W88" s="202" t="e">
        <f>W87+W83</f>
        <v>#DIV/0!</v>
      </c>
    </row>
    <row r="89" spans="1:25">
      <c r="B89" s="204" t="s">
        <v>86</v>
      </c>
      <c r="C89" s="205">
        <f>D13</f>
        <v>1.38</v>
      </c>
      <c r="D89" s="205">
        <f>D31</f>
        <v>2.13</v>
      </c>
      <c r="E89" s="205">
        <f t="shared" si="5"/>
        <v>-0.75</v>
      </c>
      <c r="J89" s="204" t="s">
        <v>86</v>
      </c>
      <c r="K89" s="205">
        <f>D13</f>
        <v>1.38</v>
      </c>
      <c r="L89" s="205">
        <f>D31</f>
        <v>2.13</v>
      </c>
      <c r="M89" s="205">
        <f t="shared" si="6"/>
        <v>-0.75</v>
      </c>
      <c r="U89" s="192" t="s">
        <v>93</v>
      </c>
      <c r="V89" s="202" t="e">
        <f>V88-W88</f>
        <v>#DIV/0!</v>
      </c>
    </row>
    <row r="90" spans="1:25">
      <c r="B90" s="204" t="s">
        <v>45</v>
      </c>
      <c r="C90" s="205">
        <f>D14</f>
        <v>3.35</v>
      </c>
      <c r="D90" s="205">
        <f>D32</f>
        <v>2.95</v>
      </c>
      <c r="E90" s="205">
        <f t="shared" si="5"/>
        <v>0.39999999999999991</v>
      </c>
      <c r="J90" s="204" t="s">
        <v>45</v>
      </c>
      <c r="K90" s="205">
        <f>J4</f>
        <v>5.7621340459999999</v>
      </c>
      <c r="L90" s="205">
        <f>K4</f>
        <v>5.1121340459999995</v>
      </c>
      <c r="M90" s="205">
        <f t="shared" si="6"/>
        <v>0.65000000000000036</v>
      </c>
      <c r="U90" s="192" t="s">
        <v>154</v>
      </c>
      <c r="V90" s="142" t="e">
        <f>V89*E55</f>
        <v>#DIV/0!</v>
      </c>
    </row>
    <row r="91" spans="1:25">
      <c r="B91" s="204" t="s">
        <v>87</v>
      </c>
      <c r="C91" s="205">
        <v>0.28999999999999998</v>
      </c>
      <c r="D91" s="205">
        <v>0.28999999999999998</v>
      </c>
      <c r="E91" s="205">
        <f t="shared" si="5"/>
        <v>0</v>
      </c>
      <c r="J91" s="204" t="s">
        <v>87</v>
      </c>
      <c r="K91" s="205">
        <v>0.28999999999999998</v>
      </c>
      <c r="L91" s="205">
        <v>0.28999999999999998</v>
      </c>
      <c r="M91" s="205">
        <f t="shared" si="6"/>
        <v>0</v>
      </c>
    </row>
    <row r="92" spans="1:25">
      <c r="B92" s="204" t="s">
        <v>148</v>
      </c>
      <c r="C92" s="205">
        <f>C88-(C91+C90+C89)</f>
        <v>2.3100000000000005</v>
      </c>
      <c r="D92" s="205">
        <f>D88-(D91+D90+D89)</f>
        <v>2.0599999999999996</v>
      </c>
      <c r="E92" s="205">
        <f t="shared" si="5"/>
        <v>0.25000000000000089</v>
      </c>
      <c r="F92" s="206" t="s">
        <v>149</v>
      </c>
      <c r="J92" s="204" t="s">
        <v>148</v>
      </c>
      <c r="K92" s="205">
        <f>K88-(K91+K90+K89)</f>
        <v>-0.10213404599999976</v>
      </c>
      <c r="L92" s="205">
        <f>L88-(L91+L90+L89)</f>
        <v>-0.10213404599999976</v>
      </c>
      <c r="M92" s="205">
        <f t="shared" si="6"/>
        <v>0</v>
      </c>
      <c r="N92" s="206" t="s">
        <v>149</v>
      </c>
    </row>
    <row r="93" spans="1:25">
      <c r="A93" s="207"/>
      <c r="B93" s="208" t="s">
        <v>151</v>
      </c>
      <c r="C93" s="209">
        <f>C92+C90</f>
        <v>5.66</v>
      </c>
      <c r="D93" s="209">
        <f>D92+D90</f>
        <v>5.01</v>
      </c>
      <c r="E93" s="209">
        <f t="shared" si="5"/>
        <v>0.65000000000000036</v>
      </c>
      <c r="F93" s="210" t="s">
        <v>152</v>
      </c>
      <c r="I93" s="207"/>
      <c r="J93" s="208" t="s">
        <v>151</v>
      </c>
      <c r="K93" s="209">
        <f>K92+K90</f>
        <v>5.66</v>
      </c>
      <c r="L93" s="209">
        <f>L92+L90</f>
        <v>5.01</v>
      </c>
      <c r="M93" s="209">
        <f t="shared" si="6"/>
        <v>0.65000000000000036</v>
      </c>
      <c r="N93" s="210" t="s">
        <v>152</v>
      </c>
    </row>
    <row r="94" spans="1:25">
      <c r="B94" s="211" t="s">
        <v>153</v>
      </c>
      <c r="C94" s="205"/>
      <c r="D94" s="205"/>
      <c r="E94" s="205"/>
      <c r="J94" s="211" t="s">
        <v>153</v>
      </c>
      <c r="K94" s="205"/>
      <c r="L94" s="205"/>
      <c r="M94" s="205"/>
    </row>
    <row r="95" spans="1:25">
      <c r="B95" s="204" t="s">
        <v>90</v>
      </c>
      <c r="C95" s="205">
        <f>D17</f>
        <v>22.33</v>
      </c>
      <c r="D95" s="205">
        <f>D35</f>
        <v>22.68</v>
      </c>
      <c r="E95" s="205">
        <f>C95-D95</f>
        <v>-0.35000000000000142</v>
      </c>
      <c r="J95" s="204" t="s">
        <v>90</v>
      </c>
      <c r="K95" s="205">
        <f>D17</f>
        <v>22.33</v>
      </c>
      <c r="L95" s="205">
        <f>D35</f>
        <v>22.68</v>
      </c>
      <c r="M95" s="205">
        <f>K95-L95</f>
        <v>-0.35000000000000142</v>
      </c>
    </row>
    <row r="96" spans="1:25">
      <c r="B96" s="204" t="s">
        <v>88</v>
      </c>
      <c r="C96" s="205">
        <f>D16</f>
        <v>14.999999999999998</v>
      </c>
      <c r="D96" s="205">
        <f>D34</f>
        <v>15.25</v>
      </c>
      <c r="E96" s="205">
        <f>C96-D96</f>
        <v>-0.25000000000000178</v>
      </c>
      <c r="J96" s="204" t="s">
        <v>88</v>
      </c>
      <c r="K96" s="205">
        <f>D16</f>
        <v>14.999999999999998</v>
      </c>
      <c r="L96" s="205">
        <f>D34</f>
        <v>15.25</v>
      </c>
      <c r="M96" s="205">
        <f>K96-L96</f>
        <v>-0.25000000000000178</v>
      </c>
    </row>
    <row r="97" spans="1:14">
      <c r="B97" s="204" t="s">
        <v>87</v>
      </c>
      <c r="C97" s="205">
        <f>C91</f>
        <v>0.28999999999999998</v>
      </c>
      <c r="D97" s="205">
        <f>D91</f>
        <v>0.28999999999999998</v>
      </c>
      <c r="E97" s="205">
        <f>C97-D97</f>
        <v>0</v>
      </c>
      <c r="J97" s="204" t="s">
        <v>87</v>
      </c>
      <c r="K97" s="205">
        <f>K91</f>
        <v>0.28999999999999998</v>
      </c>
      <c r="L97" s="205">
        <f>L91</f>
        <v>0.28999999999999998</v>
      </c>
      <c r="M97" s="205">
        <f>K97-L97</f>
        <v>0</v>
      </c>
    </row>
    <row r="98" spans="1:14">
      <c r="B98" s="204" t="s">
        <v>86</v>
      </c>
      <c r="C98" s="205">
        <f>C89</f>
        <v>1.38</v>
      </c>
      <c r="D98" s="205">
        <f>D89</f>
        <v>2.13</v>
      </c>
      <c r="E98" s="205">
        <f>C98-D98</f>
        <v>-0.75</v>
      </c>
      <c r="J98" s="204" t="s">
        <v>86</v>
      </c>
      <c r="K98" s="205">
        <f>K89</f>
        <v>1.38</v>
      </c>
      <c r="L98" s="205">
        <f>L89</f>
        <v>2.13</v>
      </c>
      <c r="M98" s="205">
        <f>K98-L98</f>
        <v>-0.75</v>
      </c>
    </row>
    <row r="99" spans="1:14">
      <c r="A99" s="207"/>
      <c r="B99" s="208" t="s">
        <v>155</v>
      </c>
      <c r="C99" s="209">
        <f>C95-C96-C91-C89</f>
        <v>5.66</v>
      </c>
      <c r="D99" s="209">
        <f>D95-D96-D91-D89</f>
        <v>5.01</v>
      </c>
      <c r="E99" s="209">
        <f>C99-D99</f>
        <v>0.65000000000000036</v>
      </c>
      <c r="F99" s="210" t="s">
        <v>156</v>
      </c>
      <c r="I99" s="207"/>
      <c r="J99" s="208" t="s">
        <v>155</v>
      </c>
      <c r="K99" s="209">
        <f>K95-K96-K91-K89</f>
        <v>5.66</v>
      </c>
      <c r="L99" s="209">
        <f>L95-L96-L91-L89</f>
        <v>5.01</v>
      </c>
      <c r="M99" s="209">
        <f>K99-L99</f>
        <v>0.65000000000000036</v>
      </c>
      <c r="N99" s="210" t="s">
        <v>156</v>
      </c>
    </row>
    <row r="100" spans="1:14">
      <c r="B100" s="204" t="s">
        <v>157</v>
      </c>
      <c r="C100" s="205"/>
      <c r="D100" s="205"/>
      <c r="E100" s="205" t="e">
        <f>E99*E55</f>
        <v>#REF!</v>
      </c>
      <c r="F100" s="142" t="s">
        <v>158</v>
      </c>
      <c r="J100" s="204" t="s">
        <v>157</v>
      </c>
      <c r="K100" s="205"/>
      <c r="L100" s="205"/>
      <c r="M100" s="205" t="e">
        <f>M99*E55</f>
        <v>#REF!</v>
      </c>
      <c r="N100" s="142" t="s">
        <v>158</v>
      </c>
    </row>
  </sheetData>
  <mergeCells count="28">
    <mergeCell ref="B1:E1"/>
    <mergeCell ref="F1:I1"/>
    <mergeCell ref="J1:M1"/>
    <mergeCell ref="A11:D11"/>
    <mergeCell ref="E11:H11"/>
    <mergeCell ref="A52:B53"/>
    <mergeCell ref="C52:C53"/>
    <mergeCell ref="D52:D53"/>
    <mergeCell ref="E52:E53"/>
    <mergeCell ref="A21:D21"/>
    <mergeCell ref="A29:D29"/>
    <mergeCell ref="A38:H38"/>
    <mergeCell ref="C39:E39"/>
    <mergeCell ref="F39:H39"/>
    <mergeCell ref="A44:B45"/>
    <mergeCell ref="C44:C45"/>
    <mergeCell ref="D44:D45"/>
    <mergeCell ref="E44:E45"/>
    <mergeCell ref="F44:F45"/>
    <mergeCell ref="G44:G45"/>
    <mergeCell ref="H44:H45"/>
    <mergeCell ref="F52:F53"/>
    <mergeCell ref="V68:W68"/>
    <mergeCell ref="X68:Y68"/>
    <mergeCell ref="V80:W80"/>
    <mergeCell ref="X80:Y80"/>
    <mergeCell ref="G52:G53"/>
    <mergeCell ref="H52:H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344B-EFB8-45E2-BADB-19996A05B7E0}">
  <dimension ref="A1:R142"/>
  <sheetViews>
    <sheetView topLeftCell="A131" zoomScale="120" zoomScaleNormal="120" workbookViewId="0">
      <selection activeCell="D78" sqref="D78"/>
    </sheetView>
  </sheetViews>
  <sheetFormatPr defaultColWidth="8.85546875" defaultRowHeight="15"/>
  <cols>
    <col min="1" max="1" width="31.140625" customWidth="1"/>
    <col min="2" max="2" width="9.140625" customWidth="1"/>
    <col min="3" max="12" width="9.28515625" customWidth="1"/>
  </cols>
  <sheetData>
    <row r="1" spans="1:13">
      <c r="A1" s="616" t="s">
        <v>159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213"/>
    </row>
    <row r="2" spans="1:13" ht="18" customHeight="1">
      <c r="A2" s="214"/>
      <c r="B2" s="215">
        <v>2019</v>
      </c>
      <c r="C2" s="215">
        <v>2020</v>
      </c>
      <c r="D2" s="215">
        <v>2021</v>
      </c>
      <c r="E2" s="215">
        <v>2022</v>
      </c>
      <c r="F2" s="215">
        <v>2023</v>
      </c>
      <c r="G2" s="215">
        <v>2024</v>
      </c>
      <c r="H2" s="215">
        <v>2025</v>
      </c>
      <c r="I2" s="215">
        <v>2026</v>
      </c>
      <c r="J2" s="215">
        <v>2027</v>
      </c>
      <c r="K2" s="215">
        <v>2028</v>
      </c>
      <c r="L2" s="215">
        <v>2029</v>
      </c>
    </row>
    <row r="3" spans="1:13">
      <c r="A3" s="216" t="s">
        <v>160</v>
      </c>
      <c r="B3" s="217">
        <v>2367</v>
      </c>
      <c r="C3" s="218">
        <v>2641</v>
      </c>
      <c r="D3" s="218">
        <v>2780</v>
      </c>
      <c r="E3" s="218">
        <v>2805</v>
      </c>
      <c r="F3" s="218">
        <v>2795</v>
      </c>
      <c r="G3" s="218">
        <v>2930</v>
      </c>
      <c r="H3" s="218">
        <v>2726</v>
      </c>
      <c r="I3" s="219">
        <v>2046</v>
      </c>
      <c r="J3" s="220">
        <v>774</v>
      </c>
      <c r="K3" s="221">
        <v>-1649</v>
      </c>
      <c r="L3" s="222">
        <v>-3890</v>
      </c>
    </row>
    <row r="4" spans="1:13">
      <c r="A4" s="223" t="s">
        <v>161</v>
      </c>
      <c r="B4" s="224">
        <v>24259</v>
      </c>
      <c r="C4" s="225">
        <v>23936</v>
      </c>
      <c r="D4" s="226">
        <v>23602</v>
      </c>
      <c r="E4" s="226">
        <v>23471</v>
      </c>
      <c r="F4" s="226">
        <v>23887</v>
      </c>
      <c r="G4" s="226">
        <v>23471</v>
      </c>
      <c r="H4" s="226">
        <v>23528</v>
      </c>
      <c r="I4" s="226">
        <v>23603</v>
      </c>
      <c r="J4" s="226">
        <v>23527</v>
      </c>
      <c r="K4" s="226">
        <v>23759</v>
      </c>
      <c r="L4" s="227">
        <v>23849</v>
      </c>
    </row>
    <row r="5" spans="1:13">
      <c r="A5" s="228" t="s">
        <v>162</v>
      </c>
      <c r="B5" s="229">
        <v>338</v>
      </c>
      <c r="C5" s="230">
        <v>450</v>
      </c>
      <c r="D5" s="231">
        <v>450</v>
      </c>
      <c r="E5" s="231">
        <v>450</v>
      </c>
      <c r="F5" s="231">
        <v>450</v>
      </c>
      <c r="G5" s="231">
        <v>450</v>
      </c>
      <c r="H5" s="231">
        <v>450</v>
      </c>
      <c r="I5" s="231">
        <v>450</v>
      </c>
      <c r="J5" s="231">
        <v>450</v>
      </c>
      <c r="K5" s="231">
        <v>450</v>
      </c>
      <c r="L5" s="232">
        <v>450</v>
      </c>
    </row>
    <row r="6" spans="1:13">
      <c r="A6" s="233" t="s">
        <v>83</v>
      </c>
      <c r="B6" s="234">
        <v>26964</v>
      </c>
      <c r="C6" s="235">
        <v>27027</v>
      </c>
      <c r="D6" s="234">
        <v>26832</v>
      </c>
      <c r="E6" s="234">
        <v>26726</v>
      </c>
      <c r="F6" s="234">
        <v>27132</v>
      </c>
      <c r="G6" s="234">
        <v>26852</v>
      </c>
      <c r="H6" s="234">
        <v>26703</v>
      </c>
      <c r="I6" s="234">
        <v>26099</v>
      </c>
      <c r="J6" s="234">
        <v>24751</v>
      </c>
      <c r="K6" s="234">
        <v>22560</v>
      </c>
      <c r="L6" s="236">
        <v>20408</v>
      </c>
    </row>
    <row r="7" spans="1:13" ht="6.95" customHeight="1">
      <c r="A7" s="223"/>
      <c r="B7" s="224"/>
      <c r="C7" s="225"/>
      <c r="D7" s="226"/>
      <c r="E7" s="226"/>
      <c r="F7" s="226"/>
      <c r="G7" s="226"/>
      <c r="H7" s="226"/>
      <c r="I7" s="226"/>
      <c r="J7" s="226"/>
      <c r="K7" s="226"/>
      <c r="L7" s="227"/>
    </row>
    <row r="8" spans="1:13">
      <c r="A8" s="223" t="s">
        <v>163</v>
      </c>
      <c r="B8" s="224">
        <v>7449</v>
      </c>
      <c r="C8" s="225">
        <v>7800</v>
      </c>
      <c r="D8" s="226">
        <v>7893</v>
      </c>
      <c r="E8" s="226">
        <v>8296</v>
      </c>
      <c r="F8" s="226">
        <v>9246</v>
      </c>
      <c r="G8" s="226">
        <v>10232</v>
      </c>
      <c r="H8" s="226">
        <v>11157</v>
      </c>
      <c r="I8" s="226">
        <v>11825</v>
      </c>
      <c r="J8" s="226">
        <v>12900</v>
      </c>
      <c r="K8" s="226">
        <v>12950</v>
      </c>
      <c r="L8" s="227">
        <v>10433</v>
      </c>
    </row>
    <row r="9" spans="1:13">
      <c r="A9" s="237" t="s">
        <v>164</v>
      </c>
      <c r="B9" s="224">
        <v>7321</v>
      </c>
      <c r="C9" s="225">
        <v>7459</v>
      </c>
      <c r="D9" s="226">
        <v>7279</v>
      </c>
      <c r="E9" s="226">
        <v>7189</v>
      </c>
      <c r="F9" s="226">
        <v>7629</v>
      </c>
      <c r="G9" s="226">
        <v>8179</v>
      </c>
      <c r="H9" s="226">
        <v>8182</v>
      </c>
      <c r="I9" s="226">
        <v>8080</v>
      </c>
      <c r="J9" s="226">
        <v>8371</v>
      </c>
      <c r="K9" s="226">
        <v>7652</v>
      </c>
      <c r="L9" s="227">
        <v>4422</v>
      </c>
    </row>
    <row r="10" spans="1:13">
      <c r="A10" s="237" t="s">
        <v>165</v>
      </c>
      <c r="B10" s="238">
        <v>128</v>
      </c>
      <c r="C10" s="239">
        <v>341</v>
      </c>
      <c r="D10" s="240">
        <v>614</v>
      </c>
      <c r="E10" s="226">
        <v>1106</v>
      </c>
      <c r="F10" s="226">
        <v>1616</v>
      </c>
      <c r="G10" s="226">
        <v>2053</v>
      </c>
      <c r="H10" s="226">
        <v>2975</v>
      </c>
      <c r="I10" s="226">
        <v>3745</v>
      </c>
      <c r="J10" s="226">
        <v>4529</v>
      </c>
      <c r="K10" s="226">
        <v>5298</v>
      </c>
      <c r="L10" s="227">
        <v>6011</v>
      </c>
    </row>
    <row r="11" spans="1:13">
      <c r="A11" s="223" t="s">
        <v>166</v>
      </c>
      <c r="B11" s="224">
        <v>14125</v>
      </c>
      <c r="C11" s="225">
        <v>13750</v>
      </c>
      <c r="D11" s="226">
        <v>13687</v>
      </c>
      <c r="E11" s="226">
        <v>13437</v>
      </c>
      <c r="F11" s="226">
        <v>13062</v>
      </c>
      <c r="G11" s="226">
        <v>12500</v>
      </c>
      <c r="H11" s="226">
        <v>12500</v>
      </c>
      <c r="I11" s="226">
        <v>12500</v>
      </c>
      <c r="J11" s="226">
        <v>12500</v>
      </c>
      <c r="K11" s="226">
        <v>12500</v>
      </c>
      <c r="L11" s="227">
        <v>12500</v>
      </c>
    </row>
    <row r="12" spans="1:13">
      <c r="A12" s="228" t="s">
        <v>167</v>
      </c>
      <c r="B12" s="241">
        <v>2750</v>
      </c>
      <c r="C12" s="242">
        <v>2697</v>
      </c>
      <c r="D12" s="243">
        <v>2447</v>
      </c>
      <c r="E12" s="243">
        <v>2197</v>
      </c>
      <c r="F12" s="243">
        <v>1894</v>
      </c>
      <c r="G12" s="243">
        <v>1394</v>
      </c>
      <c r="H12" s="243">
        <v>1000</v>
      </c>
      <c r="I12" s="243">
        <v>1000</v>
      </c>
      <c r="J12" s="243">
        <v>1000</v>
      </c>
      <c r="K12" s="243">
        <v>1000</v>
      </c>
      <c r="L12" s="227">
        <v>1000</v>
      </c>
    </row>
    <row r="13" spans="1:13">
      <c r="A13" s="233" t="s">
        <v>168</v>
      </c>
      <c r="B13" s="234">
        <v>24323</v>
      </c>
      <c r="C13" s="235">
        <v>24247</v>
      </c>
      <c r="D13" s="234">
        <v>24027</v>
      </c>
      <c r="E13" s="234">
        <v>23930</v>
      </c>
      <c r="F13" s="234">
        <v>24201</v>
      </c>
      <c r="G13" s="234">
        <v>24126</v>
      </c>
      <c r="H13" s="234">
        <v>24657</v>
      </c>
      <c r="I13" s="234">
        <v>25325</v>
      </c>
      <c r="J13" s="234">
        <v>26400</v>
      </c>
      <c r="K13" s="234">
        <v>26450</v>
      </c>
      <c r="L13" s="236">
        <v>23933</v>
      </c>
    </row>
    <row r="14" spans="1:13" ht="15" customHeight="1" thickBot="1">
      <c r="A14" s="223" t="s">
        <v>169</v>
      </c>
      <c r="B14" s="244">
        <v>2641</v>
      </c>
      <c r="C14" s="245" t="s">
        <v>170</v>
      </c>
      <c r="D14" s="246">
        <v>2805</v>
      </c>
      <c r="E14" s="246">
        <v>2795</v>
      </c>
      <c r="F14" s="246">
        <v>2930</v>
      </c>
      <c r="G14" s="246">
        <v>2726</v>
      </c>
      <c r="H14" s="246">
        <v>2046</v>
      </c>
      <c r="I14" s="247">
        <v>774</v>
      </c>
      <c r="J14" s="248">
        <v>-1649</v>
      </c>
      <c r="K14" s="249" t="s">
        <v>171</v>
      </c>
      <c r="L14" s="250">
        <v>-3524</v>
      </c>
    </row>
    <row r="15" spans="1:13" ht="15.75" thickBot="1">
      <c r="A15" s="251" t="s">
        <v>172</v>
      </c>
      <c r="B15" s="252">
        <v>30.5</v>
      </c>
      <c r="C15" s="253">
        <v>32</v>
      </c>
      <c r="D15" s="253">
        <v>35.4</v>
      </c>
      <c r="E15" s="253">
        <v>41.800000000000004</v>
      </c>
      <c r="F15" s="253">
        <v>39.400000000000006</v>
      </c>
      <c r="G15" s="253">
        <v>36.900000000000006</v>
      </c>
      <c r="H15" s="253">
        <v>37.299999999999997</v>
      </c>
      <c r="I15" s="253">
        <v>45.1</v>
      </c>
      <c r="J15" s="253">
        <v>49.400000000000006</v>
      </c>
      <c r="K15" s="253">
        <v>49.7</v>
      </c>
      <c r="L15" s="253">
        <v>49.400000000000006</v>
      </c>
    </row>
    <row r="16" spans="1:13" ht="11.1" customHeight="1" thickBot="1">
      <c r="A16" s="617" t="s">
        <v>173</v>
      </c>
      <c r="B16" s="617"/>
      <c r="C16" s="617"/>
      <c r="D16" s="617"/>
      <c r="E16" s="617"/>
      <c r="F16" s="617"/>
      <c r="G16" s="617"/>
      <c r="H16" s="617"/>
      <c r="I16" s="617"/>
      <c r="J16" s="617"/>
      <c r="K16" s="617"/>
      <c r="L16" s="617"/>
      <c r="M16" s="254"/>
    </row>
    <row r="17" spans="1:13" ht="15.75" thickBot="1">
      <c r="A17" s="255" t="s">
        <v>174</v>
      </c>
      <c r="B17" s="256">
        <v>2019</v>
      </c>
      <c r="C17" s="256">
        <v>2020</v>
      </c>
      <c r="D17" s="256">
        <v>2021</v>
      </c>
      <c r="E17" s="257">
        <v>2022</v>
      </c>
      <c r="F17" s="256">
        <v>2023</v>
      </c>
      <c r="G17" s="257">
        <v>2024</v>
      </c>
      <c r="H17" s="257">
        <v>2025</v>
      </c>
      <c r="I17" s="258">
        <v>2026</v>
      </c>
      <c r="J17" s="257">
        <v>2027</v>
      </c>
      <c r="K17" s="258">
        <v>2028</v>
      </c>
      <c r="L17" s="257">
        <v>2029</v>
      </c>
      <c r="M17" s="254"/>
    </row>
    <row r="18" spans="1:13" ht="15.75" thickBot="1">
      <c r="A18" s="259" t="s">
        <v>172</v>
      </c>
      <c r="B18" s="260">
        <v>30.5</v>
      </c>
      <c r="C18" s="261">
        <v>28</v>
      </c>
      <c r="D18" s="253">
        <v>30</v>
      </c>
      <c r="E18" s="253">
        <v>36</v>
      </c>
      <c r="F18" s="262">
        <v>38</v>
      </c>
      <c r="G18" s="253">
        <v>36.900000000000006</v>
      </c>
      <c r="H18" s="253">
        <v>37.299999999999997</v>
      </c>
      <c r="I18" s="262">
        <v>45.1</v>
      </c>
      <c r="J18" s="253">
        <v>49.400000000000006</v>
      </c>
      <c r="K18" s="253">
        <v>49.7</v>
      </c>
      <c r="L18" s="263">
        <v>49.400000000000006</v>
      </c>
      <c r="M18" s="254"/>
    </row>
    <row r="19" spans="1:13">
      <c r="A19" s="264"/>
      <c r="B19" s="265"/>
      <c r="C19" s="265"/>
      <c r="D19" s="265"/>
      <c r="E19" s="265"/>
      <c r="F19" s="266"/>
      <c r="G19" s="265"/>
      <c r="H19" s="265"/>
      <c r="I19" s="265"/>
      <c r="J19" s="265"/>
      <c r="K19" s="265"/>
      <c r="L19" s="265"/>
    </row>
    <row r="20" spans="1:13">
      <c r="A20" s="616" t="s">
        <v>175</v>
      </c>
      <c r="B20" s="616"/>
      <c r="C20" s="616"/>
      <c r="D20" s="616"/>
      <c r="E20" s="616"/>
      <c r="F20" s="616"/>
      <c r="G20" s="616"/>
      <c r="H20" s="616"/>
      <c r="I20" s="616"/>
      <c r="J20" s="616"/>
      <c r="K20" s="616"/>
      <c r="L20" s="616"/>
      <c r="M20" s="213"/>
    </row>
    <row r="21" spans="1:13" ht="15.75" thickBot="1">
      <c r="A21" s="267"/>
      <c r="B21" s="215">
        <v>2019</v>
      </c>
      <c r="C21" s="215">
        <v>2020</v>
      </c>
      <c r="D21" s="215">
        <v>2021</v>
      </c>
      <c r="E21" s="215">
        <v>2022</v>
      </c>
      <c r="F21" s="215">
        <v>2023</v>
      </c>
      <c r="G21" s="215">
        <v>2024</v>
      </c>
      <c r="H21" s="215">
        <v>2025</v>
      </c>
      <c r="I21" s="215">
        <v>2026</v>
      </c>
      <c r="J21" s="215">
        <v>2027</v>
      </c>
      <c r="K21" s="215">
        <v>2028</v>
      </c>
      <c r="L21" s="268">
        <v>2029</v>
      </c>
    </row>
    <row r="22" spans="1:13">
      <c r="A22" s="216" t="s">
        <v>160</v>
      </c>
      <c r="B22" s="269">
        <v>209</v>
      </c>
      <c r="C22" s="270">
        <v>515.01965589988674</v>
      </c>
      <c r="D22" s="271">
        <v>634.17539935375021</v>
      </c>
      <c r="E22" s="271">
        <v>332.44865998284342</v>
      </c>
      <c r="F22" s="271">
        <v>97.340810695622167</v>
      </c>
      <c r="G22" s="271">
        <v>146.30506227473393</v>
      </c>
      <c r="H22" s="271">
        <v>60.374807512670827</v>
      </c>
      <c r="I22" s="271">
        <v>130.04071461346882</v>
      </c>
      <c r="J22" s="271">
        <v>185.79918369526911</v>
      </c>
      <c r="K22" s="271">
        <v>177.55363021845073</v>
      </c>
      <c r="L22" s="271">
        <v>345.28246716231934</v>
      </c>
    </row>
    <row r="23" spans="1:13">
      <c r="A23" s="223" t="s">
        <v>161</v>
      </c>
      <c r="B23" s="272">
        <v>1548</v>
      </c>
      <c r="C23" s="273">
        <v>1804.9932418267729</v>
      </c>
      <c r="D23" s="274">
        <v>1866.9849592901987</v>
      </c>
      <c r="E23" s="275">
        <v>1841.4905410064468</v>
      </c>
      <c r="F23" s="275">
        <v>1849.0060924403899</v>
      </c>
      <c r="G23" s="275">
        <v>1848.2270443021109</v>
      </c>
      <c r="H23" s="275">
        <v>2000.3080422294393</v>
      </c>
      <c r="I23" s="275">
        <v>1989.178509741701</v>
      </c>
      <c r="J23" s="275">
        <v>2064.4398505570598</v>
      </c>
      <c r="K23" s="275">
        <v>2063.3738908151699</v>
      </c>
      <c r="L23" s="275">
        <v>2156.6608859538378</v>
      </c>
    </row>
    <row r="24" spans="1:13">
      <c r="A24" s="228" t="s">
        <v>162</v>
      </c>
      <c r="B24" s="276">
        <v>3965</v>
      </c>
      <c r="C24" s="273">
        <v>5068.2852956796341</v>
      </c>
      <c r="D24" s="274">
        <v>5302.0958423414695</v>
      </c>
      <c r="E24" s="275">
        <v>5593.6355867865905</v>
      </c>
      <c r="F24" s="275">
        <v>5804.3856706367978</v>
      </c>
      <c r="G24" s="275">
        <v>5983.8356693434735</v>
      </c>
      <c r="H24" s="275">
        <v>6068.3742777845164</v>
      </c>
      <c r="I24" s="275">
        <v>6312.9781326645607</v>
      </c>
      <c r="J24" s="275">
        <v>6563.0040105043181</v>
      </c>
      <c r="K24" s="275">
        <v>6753.1930257329914</v>
      </c>
      <c r="L24" s="275">
        <v>6822.0637808984502</v>
      </c>
    </row>
    <row r="25" spans="1:13">
      <c r="A25" s="233" t="s">
        <v>83</v>
      </c>
      <c r="B25" s="277">
        <f>SUM(B22:B24)</f>
        <v>5722</v>
      </c>
      <c r="C25" s="278">
        <f t="shared" ref="C25:L25" si="0">SUM(C22:C24)</f>
        <v>7388.2981934062936</v>
      </c>
      <c r="D25" s="279">
        <f t="shared" si="0"/>
        <v>7803.2562009854182</v>
      </c>
      <c r="E25" s="280">
        <f t="shared" si="0"/>
        <v>7767.5747877758804</v>
      </c>
      <c r="F25" s="279">
        <f t="shared" si="0"/>
        <v>7750.7325737728097</v>
      </c>
      <c r="G25" s="280">
        <f t="shared" si="0"/>
        <v>7978.3677759203183</v>
      </c>
      <c r="H25" s="279">
        <f t="shared" si="0"/>
        <v>8129.0571275266266</v>
      </c>
      <c r="I25" s="279">
        <f t="shared" si="0"/>
        <v>8432.1973570197297</v>
      </c>
      <c r="J25" s="279">
        <f t="shared" si="0"/>
        <v>8813.2430447566476</v>
      </c>
      <c r="K25" s="279">
        <f t="shared" si="0"/>
        <v>8994.1205467666114</v>
      </c>
      <c r="L25" s="277">
        <f t="shared" si="0"/>
        <v>9324.0071340146078</v>
      </c>
    </row>
    <row r="26" spans="1:13">
      <c r="A26" s="223"/>
      <c r="B26" s="281"/>
      <c r="C26" s="225"/>
      <c r="D26" s="226"/>
      <c r="E26" s="225"/>
      <c r="F26" s="226"/>
      <c r="G26" s="225"/>
      <c r="H26" s="226"/>
      <c r="I26" s="226"/>
      <c r="J26" s="226"/>
      <c r="K26" s="226"/>
      <c r="L26" s="282"/>
    </row>
    <row r="27" spans="1:13">
      <c r="A27" s="283" t="s">
        <v>163</v>
      </c>
      <c r="B27" s="284">
        <v>1552.912874952995</v>
      </c>
      <c r="C27" s="273">
        <v>1727.0768852506435</v>
      </c>
      <c r="D27" s="285">
        <v>1895.8075410025745</v>
      </c>
      <c r="E27" s="273">
        <v>2218.7306557519305</v>
      </c>
      <c r="F27" s="285">
        <v>2529.427511498076</v>
      </c>
      <c r="G27" s="273">
        <v>2904.741307743484</v>
      </c>
      <c r="H27" s="285">
        <v>3235.7647522489942</v>
      </c>
      <c r="I27" s="285">
        <v>3671.3981733244627</v>
      </c>
      <c r="J27" s="285">
        <v>4060.6894145381966</v>
      </c>
      <c r="K27" s="285">
        <v>4373.8380796042902</v>
      </c>
      <c r="L27" s="285">
        <v>4031.9641100922736</v>
      </c>
    </row>
    <row r="28" spans="1:13">
      <c r="A28" s="286" t="s">
        <v>176</v>
      </c>
      <c r="B28" s="284">
        <v>1488.3359897023515</v>
      </c>
      <c r="C28" s="273">
        <v>1559.5274941424893</v>
      </c>
      <c r="D28" s="285">
        <v>1540.4725058575107</v>
      </c>
      <c r="E28" s="273">
        <v>1582.736252928755</v>
      </c>
      <c r="F28" s="285">
        <v>1594.1978103034332</v>
      </c>
      <c r="G28" s="273">
        <v>1785.1181264643801</v>
      </c>
      <c r="H28" s="274">
        <v>2007.2884426253199</v>
      </c>
      <c r="I28" s="275">
        <v>2164.5768852506399</v>
      </c>
      <c r="J28" s="275">
        <v>2426.9340632321901</v>
      </c>
      <c r="K28" s="275">
        <v>2491.42615920858</v>
      </c>
      <c r="L28" s="275">
        <v>2367</v>
      </c>
    </row>
    <row r="29" spans="1:13">
      <c r="A29" s="286" t="s">
        <v>165</v>
      </c>
      <c r="B29" s="287">
        <v>64.576885250643599</v>
      </c>
      <c r="C29" s="288">
        <v>167.5493911081542</v>
      </c>
      <c r="D29" s="274">
        <v>355.33503514506373</v>
      </c>
      <c r="E29" s="288">
        <v>635.99440282317539</v>
      </c>
      <c r="F29" s="274">
        <v>935.22970119464276</v>
      </c>
      <c r="G29" s="288">
        <v>1120</v>
      </c>
      <c r="H29" s="274">
        <v>1228.47630962367</v>
      </c>
      <c r="I29" s="275">
        <v>1506.8212880737999</v>
      </c>
      <c r="J29" s="275">
        <v>1633.75535130601</v>
      </c>
      <c r="K29" s="275">
        <v>1682.41192039571</v>
      </c>
      <c r="L29" s="275">
        <v>1987</v>
      </c>
    </row>
    <row r="30" spans="1:13">
      <c r="A30" s="283" t="s">
        <v>166</v>
      </c>
      <c r="B30" s="287">
        <v>4561.7483393358352</v>
      </c>
      <c r="C30" s="288">
        <v>4935.2450180075066</v>
      </c>
      <c r="D30" s="274">
        <v>5499.9999999999991</v>
      </c>
      <c r="E30" s="275">
        <v>5376.5033213283286</v>
      </c>
      <c r="F30" s="275">
        <v>5000.0000000000009</v>
      </c>
      <c r="G30" s="275">
        <v>4938.2516606641648</v>
      </c>
      <c r="H30" s="275">
        <v>4688.2516606641639</v>
      </c>
      <c r="I30" s="275">
        <v>4499.9999999999991</v>
      </c>
      <c r="J30" s="275">
        <v>4499.9999999999991</v>
      </c>
      <c r="K30" s="275">
        <v>4499.9999999999991</v>
      </c>
      <c r="L30" s="275">
        <v>4499.9999999999991</v>
      </c>
    </row>
    <row r="31" spans="1:13">
      <c r="A31" s="289" t="s">
        <v>167</v>
      </c>
      <c r="B31" s="287">
        <v>133.6017815887862</v>
      </c>
      <c r="C31" s="290">
        <v>91.800890794393098</v>
      </c>
      <c r="D31" s="274">
        <v>74.999999999999972</v>
      </c>
      <c r="E31" s="275">
        <v>74.999999999999972</v>
      </c>
      <c r="F31" s="275">
        <v>74.999999999999972</v>
      </c>
      <c r="G31" s="275">
        <v>74.999999999999986</v>
      </c>
      <c r="H31" s="275">
        <v>75</v>
      </c>
      <c r="I31" s="275">
        <v>74.999999999999972</v>
      </c>
      <c r="J31" s="275">
        <v>74.999999999999972</v>
      </c>
      <c r="K31" s="275">
        <v>74.999999999999972</v>
      </c>
      <c r="L31" s="275">
        <v>74.999999999999972</v>
      </c>
    </row>
    <row r="32" spans="1:13">
      <c r="A32" s="291" t="s">
        <v>168</v>
      </c>
      <c r="B32" s="292">
        <f>SUM(B28:B31)</f>
        <v>6248.262995877616</v>
      </c>
      <c r="C32" s="292">
        <f t="shared" ref="C32:L32" si="1">SUM(C28:C31)</f>
        <v>6754.1227940525432</v>
      </c>
      <c r="D32" s="292">
        <f t="shared" si="1"/>
        <v>7470.807541002574</v>
      </c>
      <c r="E32" s="292">
        <f t="shared" si="1"/>
        <v>7670.2339770802591</v>
      </c>
      <c r="F32" s="292">
        <f t="shared" si="1"/>
        <v>7604.4275114980774</v>
      </c>
      <c r="G32" s="292">
        <f t="shared" si="1"/>
        <v>7918.3697871285449</v>
      </c>
      <c r="H32" s="292">
        <f t="shared" si="1"/>
        <v>7999.0164129131535</v>
      </c>
      <c r="I32" s="292">
        <f t="shared" si="1"/>
        <v>8246.3981733244382</v>
      </c>
      <c r="J32" s="292">
        <f t="shared" si="1"/>
        <v>8635.6894145381993</v>
      </c>
      <c r="K32" s="292">
        <f t="shared" si="1"/>
        <v>8748.8380796042893</v>
      </c>
      <c r="L32" s="292">
        <f t="shared" si="1"/>
        <v>8929</v>
      </c>
    </row>
    <row r="33" spans="1:13" ht="15.75" thickBot="1">
      <c r="A33" s="223" t="s">
        <v>169</v>
      </c>
      <c r="B33" s="293">
        <v>515.01965589988777</v>
      </c>
      <c r="C33" s="275">
        <v>634.17539935375044</v>
      </c>
      <c r="D33" s="275">
        <v>332.44865998284422</v>
      </c>
      <c r="E33" s="275">
        <v>97.340810695621258</v>
      </c>
      <c r="F33" s="275">
        <v>146.30506227473234</v>
      </c>
      <c r="G33" s="275">
        <v>60.374807512669577</v>
      </c>
      <c r="H33" s="275">
        <v>130.04071461346848</v>
      </c>
      <c r="I33" s="275">
        <v>185.79918369526786</v>
      </c>
      <c r="J33" s="275">
        <v>177.55363021845187</v>
      </c>
      <c r="K33" s="275">
        <v>345.28246716231843</v>
      </c>
      <c r="L33" s="275">
        <v>517.04302392233876</v>
      </c>
    </row>
    <row r="34" spans="1:13" ht="15.75" thickBot="1">
      <c r="A34" s="294" t="s">
        <v>172</v>
      </c>
      <c r="B34" s="295">
        <v>33</v>
      </c>
      <c r="C34" s="296">
        <v>35</v>
      </c>
      <c r="D34" s="296">
        <v>41.3</v>
      </c>
      <c r="E34" s="296">
        <v>49.4</v>
      </c>
      <c r="F34" s="296">
        <v>47.8</v>
      </c>
      <c r="G34" s="296">
        <v>46.7</v>
      </c>
      <c r="H34" s="296">
        <v>46.6</v>
      </c>
      <c r="I34" s="296">
        <v>51</v>
      </c>
      <c r="J34" s="296">
        <v>53.6</v>
      </c>
      <c r="K34" s="296">
        <v>53.1</v>
      </c>
      <c r="L34" s="296">
        <v>52.3</v>
      </c>
    </row>
    <row r="35" spans="1:13" ht="12" customHeight="1" thickBot="1">
      <c r="A35" s="617" t="s">
        <v>173</v>
      </c>
      <c r="B35" s="617"/>
      <c r="C35" s="617"/>
      <c r="D35" s="617"/>
      <c r="E35" s="617"/>
      <c r="F35" s="617"/>
      <c r="G35" s="617"/>
      <c r="H35" s="617"/>
      <c r="I35" s="617"/>
      <c r="J35" s="617"/>
      <c r="K35" s="617"/>
      <c r="L35" s="617"/>
      <c r="M35" s="254"/>
    </row>
    <row r="36" spans="1:13" ht="15.75" thickBot="1">
      <c r="A36" s="297" t="s">
        <v>174</v>
      </c>
      <c r="B36" s="298">
        <v>2019</v>
      </c>
      <c r="C36" s="298">
        <v>2020</v>
      </c>
      <c r="D36" s="298">
        <v>2021</v>
      </c>
      <c r="E36" s="298">
        <v>2022</v>
      </c>
      <c r="F36" s="298">
        <v>2023</v>
      </c>
      <c r="G36" s="298">
        <v>2024</v>
      </c>
      <c r="H36" s="298">
        <v>2025</v>
      </c>
      <c r="I36" s="298">
        <v>2026</v>
      </c>
      <c r="J36" s="298">
        <v>2027</v>
      </c>
      <c r="K36" s="298">
        <v>2028</v>
      </c>
      <c r="L36" s="299">
        <v>2029</v>
      </c>
    </row>
    <row r="37" spans="1:13" ht="15.75" thickBot="1">
      <c r="A37" s="300" t="s">
        <v>172</v>
      </c>
      <c r="B37" s="301">
        <v>33</v>
      </c>
      <c r="C37" s="296">
        <v>31</v>
      </c>
      <c r="D37" s="302">
        <v>37</v>
      </c>
      <c r="E37" s="302">
        <v>42.4</v>
      </c>
      <c r="F37" s="302">
        <v>47.8</v>
      </c>
      <c r="G37" s="302">
        <v>46.7</v>
      </c>
      <c r="H37" s="302">
        <v>46.6</v>
      </c>
      <c r="I37" s="302">
        <v>51</v>
      </c>
      <c r="J37" s="302">
        <v>53.6</v>
      </c>
      <c r="K37" s="302">
        <v>53.1</v>
      </c>
      <c r="L37" s="303">
        <v>52.3</v>
      </c>
    </row>
    <row r="39" spans="1:13">
      <c r="A39" s="618" t="s">
        <v>177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213"/>
    </row>
    <row r="40" spans="1:13">
      <c r="A40" s="304"/>
      <c r="B40" s="304">
        <v>2019</v>
      </c>
      <c r="C40" s="305">
        <v>2020</v>
      </c>
      <c r="D40" s="305">
        <v>2021</v>
      </c>
      <c r="E40" s="306">
        <v>2022</v>
      </c>
      <c r="F40" s="306">
        <v>2023</v>
      </c>
      <c r="G40" s="306">
        <v>2024</v>
      </c>
      <c r="H40" s="306">
        <v>2025</v>
      </c>
      <c r="I40" s="306">
        <v>2026</v>
      </c>
      <c r="J40" s="306">
        <v>2027</v>
      </c>
      <c r="K40" s="307">
        <v>2028</v>
      </c>
      <c r="L40" s="308">
        <v>2029</v>
      </c>
    </row>
    <row r="41" spans="1:13">
      <c r="A41" s="309" t="s">
        <v>160</v>
      </c>
      <c r="B41" s="310">
        <v>3271</v>
      </c>
      <c r="C41" s="311">
        <f>B53</f>
        <v>1161</v>
      </c>
      <c r="D41" s="312">
        <f t="shared" ref="D41:L41" si="2">C53</f>
        <v>-340.66399999999976</v>
      </c>
      <c r="E41" s="312">
        <f t="shared" si="2"/>
        <v>-1707.0990000000002</v>
      </c>
      <c r="F41" s="312">
        <f t="shared" si="2"/>
        <v>-2210.0990000000002</v>
      </c>
      <c r="G41" s="312">
        <f t="shared" si="2"/>
        <v>-2524.7223142165603</v>
      </c>
      <c r="H41" s="312">
        <f t="shared" si="2"/>
        <v>-2387.9276904852304</v>
      </c>
      <c r="I41" s="312">
        <f t="shared" si="2"/>
        <v>-2108.3046800647908</v>
      </c>
      <c r="J41" s="312">
        <f t="shared" si="2"/>
        <v>-1890.855366911851</v>
      </c>
      <c r="K41" s="312">
        <f t="shared" si="2"/>
        <v>-1839.0726760917814</v>
      </c>
      <c r="L41" s="312">
        <f t="shared" si="2"/>
        <v>-1732.0973483074613</v>
      </c>
    </row>
    <row r="42" spans="1:13">
      <c r="A42" s="313" t="s">
        <v>161</v>
      </c>
      <c r="B42" s="314">
        <v>5146</v>
      </c>
      <c r="C42" s="315">
        <v>5280.3360000000002</v>
      </c>
      <c r="D42" s="315">
        <v>5347.5649999999996</v>
      </c>
      <c r="E42" s="315">
        <v>5490</v>
      </c>
      <c r="F42" s="315">
        <v>5504.3766857834398</v>
      </c>
      <c r="G42" s="315">
        <v>5633.7946237313299</v>
      </c>
      <c r="H42" s="315">
        <v>5850.6230104204396</v>
      </c>
      <c r="I42" s="315">
        <v>5948.4493131529398</v>
      </c>
      <c r="J42" s="315">
        <v>6037.7826908200695</v>
      </c>
      <c r="K42" s="315">
        <v>6192.9753277843201</v>
      </c>
      <c r="L42" s="315">
        <v>6258.6805166573058</v>
      </c>
    </row>
    <row r="43" spans="1:13">
      <c r="A43" s="316" t="s">
        <v>162</v>
      </c>
      <c r="B43" s="317">
        <v>15</v>
      </c>
      <c r="C43" s="318">
        <v>208</v>
      </c>
      <c r="D43" s="318">
        <v>233</v>
      </c>
      <c r="E43" s="318">
        <v>775</v>
      </c>
      <c r="F43" s="318">
        <v>924</v>
      </c>
      <c r="G43" s="318">
        <v>1375</v>
      </c>
      <c r="H43" s="318">
        <v>1448</v>
      </c>
      <c r="I43" s="318">
        <v>1523</v>
      </c>
      <c r="J43" s="318">
        <v>1982</v>
      </c>
      <c r="K43" s="318">
        <v>2061</v>
      </c>
      <c r="L43" s="319">
        <v>2546</v>
      </c>
    </row>
    <row r="44" spans="1:13">
      <c r="A44" s="320" t="s">
        <v>83</v>
      </c>
      <c r="B44" s="321">
        <f>SUM(B41:B43)</f>
        <v>8432</v>
      </c>
      <c r="C44" s="321">
        <f t="shared" ref="C44:L44" si="3">SUM(C41:C43)</f>
        <v>6649.3360000000002</v>
      </c>
      <c r="D44" s="321">
        <f t="shared" si="3"/>
        <v>5239.9009999999998</v>
      </c>
      <c r="E44" s="321">
        <f t="shared" si="3"/>
        <v>4557.9009999999998</v>
      </c>
      <c r="F44" s="321">
        <f t="shared" si="3"/>
        <v>4218.2776857834397</v>
      </c>
      <c r="G44" s="321">
        <f t="shared" si="3"/>
        <v>4484.0723095147696</v>
      </c>
      <c r="H44" s="321">
        <f t="shared" si="3"/>
        <v>4910.6953199352092</v>
      </c>
      <c r="I44" s="321">
        <f t="shared" si="3"/>
        <v>5363.144633088149</v>
      </c>
      <c r="J44" s="321">
        <f t="shared" si="3"/>
        <v>6128.9273239082186</v>
      </c>
      <c r="K44" s="321">
        <f t="shared" si="3"/>
        <v>6414.9026516925387</v>
      </c>
      <c r="L44" s="321">
        <f t="shared" si="3"/>
        <v>7072.5831683498445</v>
      </c>
    </row>
    <row r="45" spans="1:13">
      <c r="A45" s="313"/>
      <c r="B45" s="314"/>
      <c r="C45" s="322"/>
      <c r="D45" s="322"/>
      <c r="E45" s="322"/>
      <c r="F45" s="322"/>
      <c r="G45" s="322"/>
      <c r="H45" s="322"/>
      <c r="I45" s="322"/>
      <c r="J45" s="322"/>
      <c r="K45" s="322"/>
      <c r="L45" s="319"/>
    </row>
    <row r="46" spans="1:13">
      <c r="A46" s="323" t="s">
        <v>163</v>
      </c>
      <c r="B46" s="314">
        <f>SUM(B47:B49)</f>
        <v>3502</v>
      </c>
      <c r="C46" s="324">
        <f t="shared" ref="C46:L46" si="4">SUM(C47:C49)</f>
        <v>3740</v>
      </c>
      <c r="D46" s="324">
        <f t="shared" si="4"/>
        <v>4197</v>
      </c>
      <c r="E46" s="324">
        <f t="shared" si="4"/>
        <v>4418</v>
      </c>
      <c r="F46" s="324">
        <f t="shared" si="4"/>
        <v>4733</v>
      </c>
      <c r="G46" s="324">
        <f t="shared" si="4"/>
        <v>5112</v>
      </c>
      <c r="H46" s="324">
        <f t="shared" si="4"/>
        <v>5509</v>
      </c>
      <c r="I46" s="324">
        <f t="shared" si="4"/>
        <v>5994</v>
      </c>
      <c r="J46" s="324">
        <f t="shared" si="4"/>
        <v>6958</v>
      </c>
      <c r="K46" s="324">
        <f t="shared" si="4"/>
        <v>7387</v>
      </c>
      <c r="L46" s="324">
        <f t="shared" si="4"/>
        <v>7998</v>
      </c>
    </row>
    <row r="47" spans="1:13">
      <c r="A47" s="325" t="s">
        <v>176</v>
      </c>
      <c r="B47" s="326">
        <v>1500</v>
      </c>
      <c r="C47" s="327">
        <v>1750</v>
      </c>
      <c r="D47" s="327">
        <v>2000</v>
      </c>
      <c r="E47" s="327">
        <v>2250</v>
      </c>
      <c r="F47" s="327">
        <v>2500</v>
      </c>
      <c r="G47" s="327">
        <v>2750</v>
      </c>
      <c r="H47" s="327">
        <v>3000</v>
      </c>
      <c r="I47" s="327">
        <v>3500</v>
      </c>
      <c r="J47" s="327">
        <v>4000</v>
      </c>
      <c r="K47" s="327">
        <v>4500</v>
      </c>
      <c r="L47" s="327">
        <v>5000</v>
      </c>
    </row>
    <row r="48" spans="1:13">
      <c r="A48" s="325" t="s">
        <v>178</v>
      </c>
      <c r="B48" s="314">
        <v>2000</v>
      </c>
      <c r="C48" s="322">
        <v>1933</v>
      </c>
      <c r="D48" s="322">
        <v>1988</v>
      </c>
      <c r="E48" s="322">
        <v>1885</v>
      </c>
      <c r="F48" s="322">
        <v>1596</v>
      </c>
      <c r="G48" s="322">
        <v>1403</v>
      </c>
      <c r="H48" s="322">
        <v>1286</v>
      </c>
      <c r="I48" s="322">
        <v>1050</v>
      </c>
      <c r="J48" s="322">
        <v>1044</v>
      </c>
      <c r="K48" s="322">
        <v>715</v>
      </c>
      <c r="L48" s="328">
        <v>319</v>
      </c>
    </row>
    <row r="49" spans="1:13">
      <c r="A49" s="325" t="s">
        <v>165</v>
      </c>
      <c r="B49" s="326">
        <v>2</v>
      </c>
      <c r="C49" s="329">
        <v>57</v>
      </c>
      <c r="D49" s="329">
        <v>209</v>
      </c>
      <c r="E49" s="329">
        <v>283</v>
      </c>
      <c r="F49" s="329">
        <v>637</v>
      </c>
      <c r="G49" s="329">
        <v>959</v>
      </c>
      <c r="H49" s="329">
        <v>1223</v>
      </c>
      <c r="I49" s="329">
        <v>1444</v>
      </c>
      <c r="J49" s="322">
        <v>1914</v>
      </c>
      <c r="K49" s="322">
        <v>2172</v>
      </c>
      <c r="L49" s="319">
        <v>2679</v>
      </c>
    </row>
    <row r="50" spans="1:13">
      <c r="A50" s="323" t="s">
        <v>166</v>
      </c>
      <c r="B50" s="326">
        <v>3019</v>
      </c>
      <c r="C50" s="329">
        <v>2750</v>
      </c>
      <c r="D50" s="329">
        <v>2500</v>
      </c>
      <c r="E50" s="329">
        <v>2250</v>
      </c>
      <c r="F50" s="329">
        <v>2000</v>
      </c>
      <c r="G50" s="329">
        <v>1750</v>
      </c>
      <c r="H50" s="329">
        <v>1500</v>
      </c>
      <c r="I50" s="329">
        <v>1250</v>
      </c>
      <c r="J50" s="329">
        <v>1000</v>
      </c>
      <c r="K50" s="329">
        <v>750</v>
      </c>
      <c r="L50" s="328">
        <v>500</v>
      </c>
    </row>
    <row r="51" spans="1:13">
      <c r="A51" s="316" t="s">
        <v>167</v>
      </c>
      <c r="B51" s="326">
        <v>750</v>
      </c>
      <c r="C51" s="329">
        <v>500</v>
      </c>
      <c r="D51" s="329">
        <v>250</v>
      </c>
      <c r="E51" s="329">
        <v>100</v>
      </c>
      <c r="F51" s="329">
        <v>10</v>
      </c>
      <c r="G51" s="329">
        <v>10</v>
      </c>
      <c r="H51" s="329">
        <v>10</v>
      </c>
      <c r="I51" s="329">
        <v>10</v>
      </c>
      <c r="J51" s="329">
        <v>10</v>
      </c>
      <c r="K51" s="329">
        <v>10</v>
      </c>
      <c r="L51" s="329">
        <v>10</v>
      </c>
    </row>
    <row r="52" spans="1:13">
      <c r="A52" s="320" t="s">
        <v>168</v>
      </c>
      <c r="B52" s="321">
        <f>SUM(B46+B50+B51)</f>
        <v>7271</v>
      </c>
      <c r="C52" s="321">
        <f t="shared" ref="C52:L52" si="5">SUM(C46+C50+C51)</f>
        <v>6990</v>
      </c>
      <c r="D52" s="321">
        <f t="shared" si="5"/>
        <v>6947</v>
      </c>
      <c r="E52" s="321">
        <f t="shared" si="5"/>
        <v>6768</v>
      </c>
      <c r="F52" s="321">
        <f t="shared" si="5"/>
        <v>6743</v>
      </c>
      <c r="G52" s="321">
        <f t="shared" si="5"/>
        <v>6872</v>
      </c>
      <c r="H52" s="321">
        <f t="shared" si="5"/>
        <v>7019</v>
      </c>
      <c r="I52" s="321">
        <f t="shared" si="5"/>
        <v>7254</v>
      </c>
      <c r="J52" s="321">
        <f t="shared" si="5"/>
        <v>7968</v>
      </c>
      <c r="K52" s="321">
        <f t="shared" si="5"/>
        <v>8147</v>
      </c>
      <c r="L52" s="321">
        <f t="shared" si="5"/>
        <v>8508</v>
      </c>
    </row>
    <row r="53" spans="1:13" ht="15.75" thickBot="1">
      <c r="A53" s="313" t="s">
        <v>169</v>
      </c>
      <c r="B53" s="330">
        <f>SUM(B44-B52)</f>
        <v>1161</v>
      </c>
      <c r="C53" s="331">
        <f t="shared" ref="C53:L53" si="6">SUM(C44-C52)</f>
        <v>-340.66399999999976</v>
      </c>
      <c r="D53" s="331">
        <f t="shared" si="6"/>
        <v>-1707.0990000000002</v>
      </c>
      <c r="E53" s="331">
        <f t="shared" si="6"/>
        <v>-2210.0990000000002</v>
      </c>
      <c r="F53" s="331">
        <f t="shared" si="6"/>
        <v>-2524.7223142165603</v>
      </c>
      <c r="G53" s="331">
        <f t="shared" si="6"/>
        <v>-2387.9276904852304</v>
      </c>
      <c r="H53" s="331">
        <f t="shared" si="6"/>
        <v>-2108.3046800647908</v>
      </c>
      <c r="I53" s="331">
        <f t="shared" si="6"/>
        <v>-1890.855366911851</v>
      </c>
      <c r="J53" s="332">
        <f t="shared" si="6"/>
        <v>-1839.0726760917814</v>
      </c>
      <c r="K53" s="332">
        <f t="shared" si="6"/>
        <v>-1732.0973483074613</v>
      </c>
      <c r="L53" s="332">
        <f t="shared" si="6"/>
        <v>-1435.4168316501555</v>
      </c>
    </row>
    <row r="54" spans="1:13" ht="15.75" thickBot="1">
      <c r="A54" s="333" t="s">
        <v>172</v>
      </c>
      <c r="B54" s="295">
        <v>36.5</v>
      </c>
      <c r="C54" s="296">
        <v>38.5</v>
      </c>
      <c r="D54" s="296">
        <v>38.5</v>
      </c>
      <c r="E54" s="296">
        <v>39.5</v>
      </c>
      <c r="F54" s="296">
        <v>42</v>
      </c>
      <c r="G54" s="296">
        <v>44</v>
      </c>
      <c r="H54" s="296">
        <v>46</v>
      </c>
      <c r="I54" s="296">
        <v>51.5</v>
      </c>
      <c r="J54" s="296">
        <v>57</v>
      </c>
      <c r="K54" s="296">
        <v>60.5</v>
      </c>
      <c r="L54" s="296">
        <v>61.5</v>
      </c>
    </row>
    <row r="55" spans="1:13" ht="14.1" customHeight="1" thickBot="1">
      <c r="A55" s="619" t="s">
        <v>173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20"/>
      <c r="M55" s="254"/>
    </row>
    <row r="56" spans="1:13" ht="15.75" thickBot="1">
      <c r="A56" s="334" t="s">
        <v>174</v>
      </c>
      <c r="B56" s="335">
        <v>2019</v>
      </c>
      <c r="C56" s="336">
        <v>2020</v>
      </c>
      <c r="D56" s="336">
        <v>2021</v>
      </c>
      <c r="E56" s="337">
        <v>2022</v>
      </c>
      <c r="F56" s="338">
        <v>2023</v>
      </c>
      <c r="G56" s="336">
        <v>2024</v>
      </c>
      <c r="H56" s="339">
        <v>2025</v>
      </c>
      <c r="I56" s="340">
        <v>2026</v>
      </c>
      <c r="J56" s="340">
        <v>2027</v>
      </c>
      <c r="K56" s="337">
        <v>2028</v>
      </c>
      <c r="L56" s="341">
        <v>2029</v>
      </c>
    </row>
    <row r="57" spans="1:13" ht="15.75" thickBot="1">
      <c r="A57" s="342" t="s">
        <v>172</v>
      </c>
      <c r="B57" s="343">
        <v>36.5</v>
      </c>
      <c r="C57" s="344">
        <v>38.5</v>
      </c>
      <c r="D57" s="302">
        <v>38.5</v>
      </c>
      <c r="E57" s="345">
        <v>39.5</v>
      </c>
      <c r="F57" s="345">
        <v>42</v>
      </c>
      <c r="G57" s="344">
        <v>44</v>
      </c>
      <c r="H57" s="346">
        <v>46</v>
      </c>
      <c r="I57" s="302">
        <v>51.5</v>
      </c>
      <c r="J57" s="302">
        <v>57</v>
      </c>
      <c r="K57" s="345">
        <v>60.5</v>
      </c>
      <c r="L57" s="303">
        <v>61.5</v>
      </c>
    </row>
    <row r="58" spans="1:13">
      <c r="A58" s="347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</row>
    <row r="59" spans="1:13" ht="15.75" thickBot="1">
      <c r="A59" s="348" t="s">
        <v>179</v>
      </c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</row>
    <row r="60" spans="1:13" ht="15.75" thickBot="1">
      <c r="A60" s="349"/>
      <c r="B60" s="350">
        <v>2019</v>
      </c>
      <c r="C60" s="350">
        <v>2020</v>
      </c>
      <c r="D60" s="350">
        <v>2021</v>
      </c>
      <c r="E60" s="350">
        <v>2022</v>
      </c>
      <c r="F60" s="350">
        <v>2023</v>
      </c>
      <c r="G60" s="350">
        <v>2024</v>
      </c>
      <c r="H60" s="350">
        <v>2025</v>
      </c>
      <c r="I60" s="350">
        <v>2026</v>
      </c>
      <c r="J60" s="350">
        <v>2027</v>
      </c>
      <c r="K60" s="350">
        <v>2028</v>
      </c>
      <c r="L60" s="350">
        <v>2029</v>
      </c>
    </row>
    <row r="61" spans="1:13">
      <c r="A61" s="348" t="s">
        <v>160</v>
      </c>
      <c r="B61" s="351">
        <v>10</v>
      </c>
      <c r="C61" s="352">
        <f>B72</f>
        <v>8.6079802180388469</v>
      </c>
      <c r="D61" s="352">
        <f t="shared" ref="D61:L61" si="7">C72</f>
        <v>32.667257543643018</v>
      </c>
      <c r="E61" s="352">
        <f t="shared" si="7"/>
        <v>-46.024783344332718</v>
      </c>
      <c r="F61" s="352">
        <f t="shared" si="7"/>
        <v>-72.945659222815948</v>
      </c>
      <c r="G61" s="352">
        <f t="shared" si="7"/>
        <v>-73.893428436881095</v>
      </c>
      <c r="H61" s="352">
        <f t="shared" si="7"/>
        <v>-71.36904301105028</v>
      </c>
      <c r="I61" s="352">
        <f t="shared" si="7"/>
        <v>-36.669892171217498</v>
      </c>
      <c r="J61" s="352">
        <f t="shared" si="7"/>
        <v>53.962677885810535</v>
      </c>
      <c r="K61" s="352">
        <f t="shared" si="7"/>
        <v>4.6591247850840318</v>
      </c>
      <c r="L61" s="352">
        <f t="shared" si="7"/>
        <v>-781.30368166165385</v>
      </c>
    </row>
    <row r="62" spans="1:13">
      <c r="A62" s="348" t="s">
        <v>161</v>
      </c>
      <c r="B62" s="353">
        <v>1347</v>
      </c>
      <c r="C62" s="354">
        <v>1357</v>
      </c>
      <c r="D62" s="354">
        <v>1367</v>
      </c>
      <c r="E62" s="354">
        <v>1377</v>
      </c>
      <c r="F62" s="354">
        <v>1387</v>
      </c>
      <c r="G62" s="354">
        <v>1397</v>
      </c>
      <c r="H62" s="354">
        <v>1407</v>
      </c>
      <c r="I62" s="354">
        <v>1427</v>
      </c>
      <c r="J62" s="354">
        <v>1427</v>
      </c>
      <c r="K62" s="354">
        <v>1447</v>
      </c>
      <c r="L62" s="354">
        <v>1467</v>
      </c>
    </row>
    <row r="63" spans="1:13">
      <c r="A63" s="348" t="s">
        <v>162</v>
      </c>
      <c r="B63" s="353">
        <v>46</v>
      </c>
      <c r="C63" s="354">
        <v>50</v>
      </c>
      <c r="D63" s="354">
        <v>75</v>
      </c>
      <c r="E63" s="354">
        <v>100</v>
      </c>
      <c r="F63" s="354">
        <v>125</v>
      </c>
      <c r="G63" s="354">
        <v>125</v>
      </c>
      <c r="H63" s="354">
        <v>125</v>
      </c>
      <c r="I63" s="354">
        <v>125</v>
      </c>
      <c r="J63" s="354">
        <v>125</v>
      </c>
      <c r="K63" s="354">
        <v>100</v>
      </c>
      <c r="L63" s="354">
        <v>100</v>
      </c>
    </row>
    <row r="64" spans="1:13">
      <c r="A64" s="355" t="s">
        <v>180</v>
      </c>
      <c r="B64" s="356">
        <f>SUM(B61:B63)</f>
        <v>1403</v>
      </c>
      <c r="C64" s="356">
        <f t="shared" ref="C64:L64" si="8">SUM(C61:C63)</f>
        <v>1415.6079802180388</v>
      </c>
      <c r="D64" s="356">
        <f t="shared" si="8"/>
        <v>1474.667257543643</v>
      </c>
      <c r="E64" s="356">
        <f t="shared" si="8"/>
        <v>1430.9752166556673</v>
      </c>
      <c r="F64" s="356">
        <f t="shared" si="8"/>
        <v>1439.0543407771841</v>
      </c>
      <c r="G64" s="356">
        <f t="shared" si="8"/>
        <v>1448.1065715631189</v>
      </c>
      <c r="H64" s="356">
        <f t="shared" si="8"/>
        <v>1460.6309569889497</v>
      </c>
      <c r="I64" s="356">
        <f t="shared" si="8"/>
        <v>1515.3301078287825</v>
      </c>
      <c r="J64" s="356">
        <f t="shared" si="8"/>
        <v>1605.9626778858105</v>
      </c>
      <c r="K64" s="356">
        <f t="shared" si="8"/>
        <v>1551.659124785084</v>
      </c>
      <c r="L64" s="356">
        <f t="shared" si="8"/>
        <v>785.69631833834615</v>
      </c>
    </row>
    <row r="65" spans="1:13">
      <c r="A65" s="348"/>
      <c r="B65" s="353"/>
      <c r="C65" s="354"/>
      <c r="D65" s="354"/>
      <c r="E65" s="354"/>
      <c r="F65" s="354"/>
      <c r="G65" s="354"/>
      <c r="H65" s="354"/>
      <c r="I65" s="354"/>
      <c r="J65" s="354"/>
      <c r="K65" s="354"/>
      <c r="L65" s="354"/>
    </row>
    <row r="66" spans="1:13">
      <c r="A66" s="348" t="s">
        <v>163</v>
      </c>
      <c r="B66" s="353">
        <v>751.49128877704118</v>
      </c>
      <c r="C66" s="354">
        <v>781.2545370952912</v>
      </c>
      <c r="D66" s="354">
        <v>768.74546290470903</v>
      </c>
      <c r="E66" s="354">
        <v>801.86456468083065</v>
      </c>
      <c r="F66" s="354">
        <v>1061</v>
      </c>
      <c r="G66" s="354">
        <v>1240</v>
      </c>
      <c r="H66" s="354">
        <v>1456</v>
      </c>
      <c r="I66" s="354">
        <v>1679</v>
      </c>
      <c r="J66" s="354">
        <v>1845</v>
      </c>
      <c r="K66" s="354">
        <v>2344</v>
      </c>
      <c r="L66" s="354">
        <v>2812.0260852731935</v>
      </c>
    </row>
    <row r="67" spans="1:13">
      <c r="A67" s="357" t="s">
        <v>164</v>
      </c>
      <c r="B67" s="353">
        <v>536</v>
      </c>
      <c r="C67" s="354">
        <v>581</v>
      </c>
      <c r="D67" s="354">
        <v>759.37726854764571</v>
      </c>
      <c r="E67" s="354">
        <v>761.24183322847614</v>
      </c>
      <c r="F67" s="354">
        <v>806.24183322847614</v>
      </c>
      <c r="G67" s="354">
        <v>842.4981851618835</v>
      </c>
      <c r="H67" s="354">
        <v>840.63180564293691</v>
      </c>
      <c r="I67" s="354">
        <v>818.74546290470892</v>
      </c>
      <c r="J67" s="354">
        <v>939.92559163722603</v>
      </c>
      <c r="K67" s="354">
        <v>1640.3396167061899</v>
      </c>
      <c r="L67" s="354">
        <v>2602.6578909161303</v>
      </c>
    </row>
    <row r="68" spans="1:13">
      <c r="A68" s="357" t="s">
        <v>165</v>
      </c>
      <c r="B68" s="353">
        <v>0</v>
      </c>
      <c r="C68" s="354">
        <v>0</v>
      </c>
      <c r="D68" s="354">
        <v>9.3681943570633504</v>
      </c>
      <c r="E68" s="354">
        <v>40.622731452354458</v>
      </c>
      <c r="F68" s="354">
        <v>54.684097178531673</v>
      </c>
      <c r="G68" s="354">
        <v>74.995462904708901</v>
      </c>
      <c r="H68" s="354">
        <v>104.67956008324057</v>
      </c>
      <c r="I68" s="354">
        <v>140.62273145235446</v>
      </c>
      <c r="J68" s="354">
        <v>159.36819435706337</v>
      </c>
      <c r="K68" s="354">
        <v>190.62273145235449</v>
      </c>
      <c r="L68" s="354">
        <v>209.3681943570634</v>
      </c>
    </row>
    <row r="69" spans="1:13">
      <c r="A69" s="348" t="s">
        <v>166</v>
      </c>
      <c r="B69" s="353">
        <v>856</v>
      </c>
      <c r="C69" s="354">
        <v>800</v>
      </c>
      <c r="D69" s="354">
        <v>750</v>
      </c>
      <c r="E69" s="354">
        <v>700</v>
      </c>
      <c r="F69" s="354">
        <v>650</v>
      </c>
      <c r="G69" s="354">
        <v>600</v>
      </c>
      <c r="H69" s="354">
        <v>550</v>
      </c>
      <c r="I69" s="354">
        <v>500</v>
      </c>
      <c r="J69" s="354">
        <v>500</v>
      </c>
      <c r="K69" s="354">
        <v>500</v>
      </c>
      <c r="L69" s="354">
        <v>500</v>
      </c>
    </row>
    <row r="70" spans="1:13">
      <c r="A70" s="348" t="s">
        <v>167</v>
      </c>
      <c r="B70" s="353">
        <v>2.3920197819610536</v>
      </c>
      <c r="C70" s="354">
        <v>1.9407226743959107</v>
      </c>
      <c r="D70" s="354">
        <v>1.9465779832666288</v>
      </c>
      <c r="E70" s="354">
        <v>2.0563111976526063</v>
      </c>
      <c r="F70" s="354">
        <v>2.0218388070573576</v>
      </c>
      <c r="G70" s="354">
        <v>1.9819665075767161</v>
      </c>
      <c r="H70" s="354">
        <v>1.989483433989844</v>
      </c>
      <c r="I70" s="354">
        <v>1.9992355859086306</v>
      </c>
      <c r="J70" s="354">
        <v>2.0097671064370313</v>
      </c>
      <c r="K70" s="354">
        <v>2.0004582881939159</v>
      </c>
      <c r="L70" s="354">
        <v>1.9961821844212275</v>
      </c>
    </row>
    <row r="71" spans="1:13">
      <c r="A71" s="355" t="s">
        <v>181</v>
      </c>
      <c r="B71" s="356">
        <f>SUM(B67:B70)</f>
        <v>1394.3920197819612</v>
      </c>
      <c r="C71" s="356">
        <f t="shared" ref="C71:L71" si="9">SUM(C67:C70)</f>
        <v>1382.9407226743958</v>
      </c>
      <c r="D71" s="356">
        <f t="shared" si="9"/>
        <v>1520.6920408879757</v>
      </c>
      <c r="E71" s="356">
        <f t="shared" si="9"/>
        <v>1503.9208758784832</v>
      </c>
      <c r="F71" s="356">
        <f t="shared" si="9"/>
        <v>1512.9477692140651</v>
      </c>
      <c r="G71" s="356">
        <f t="shared" si="9"/>
        <v>1519.4756145741692</v>
      </c>
      <c r="H71" s="356">
        <f t="shared" si="9"/>
        <v>1497.3008491601672</v>
      </c>
      <c r="I71" s="356">
        <f t="shared" si="9"/>
        <v>1461.367429942972</v>
      </c>
      <c r="J71" s="356">
        <f t="shared" si="9"/>
        <v>1601.3035531007265</v>
      </c>
      <c r="K71" s="356">
        <f t="shared" si="9"/>
        <v>2332.9628064467379</v>
      </c>
      <c r="L71" s="356">
        <f t="shared" si="9"/>
        <v>3314.0222674576148</v>
      </c>
    </row>
    <row r="72" spans="1:13" ht="15.75" thickBot="1">
      <c r="A72" s="348" t="s">
        <v>169</v>
      </c>
      <c r="B72" s="353">
        <f>SUM(B64-B71)</f>
        <v>8.6079802180388469</v>
      </c>
      <c r="C72" s="358">
        <f t="shared" ref="C72:L72" si="10">SUM(C64-C71)</f>
        <v>32.667257543643018</v>
      </c>
      <c r="D72" s="358">
        <f t="shared" si="10"/>
        <v>-46.024783344332718</v>
      </c>
      <c r="E72" s="358">
        <f t="shared" si="10"/>
        <v>-72.945659222815948</v>
      </c>
      <c r="F72" s="358">
        <f t="shared" si="10"/>
        <v>-73.893428436881095</v>
      </c>
      <c r="G72" s="358">
        <f t="shared" si="10"/>
        <v>-71.36904301105028</v>
      </c>
      <c r="H72" s="358">
        <f t="shared" si="10"/>
        <v>-36.669892171217498</v>
      </c>
      <c r="I72" s="358">
        <f t="shared" si="10"/>
        <v>53.962677885810535</v>
      </c>
      <c r="J72" s="358">
        <f t="shared" si="10"/>
        <v>4.6591247850840318</v>
      </c>
      <c r="K72" s="358">
        <f t="shared" si="10"/>
        <v>-781.30368166165385</v>
      </c>
      <c r="L72" s="358">
        <f t="shared" si="10"/>
        <v>-2528.3259491192684</v>
      </c>
    </row>
    <row r="73" spans="1:13" ht="15.75" thickBot="1">
      <c r="A73" s="333" t="s">
        <v>172</v>
      </c>
      <c r="B73" s="295">
        <v>25.43</v>
      </c>
      <c r="C73" s="296">
        <v>30</v>
      </c>
      <c r="D73" s="296">
        <v>32</v>
      </c>
      <c r="E73" s="296">
        <v>34</v>
      </c>
      <c r="F73" s="296">
        <v>36</v>
      </c>
      <c r="G73" s="296">
        <v>38</v>
      </c>
      <c r="H73" s="296">
        <v>40</v>
      </c>
      <c r="I73" s="296">
        <v>42</v>
      </c>
      <c r="J73" s="296">
        <v>44</v>
      </c>
      <c r="K73" s="296">
        <v>46</v>
      </c>
      <c r="L73" s="296">
        <v>48</v>
      </c>
    </row>
    <row r="74" spans="1:13" ht="15.75" thickBot="1">
      <c r="A74" s="359" t="s">
        <v>173</v>
      </c>
      <c r="B74" s="360"/>
      <c r="C74" s="361"/>
      <c r="D74" s="361"/>
      <c r="E74" s="361"/>
      <c r="F74" s="361"/>
      <c r="G74" s="361"/>
      <c r="H74" s="361"/>
      <c r="I74" s="361"/>
      <c r="J74" s="348"/>
      <c r="K74" s="348"/>
      <c r="L74" s="348"/>
    </row>
    <row r="75" spans="1:13" ht="14.1" customHeight="1" thickBot="1">
      <c r="A75" s="362" t="s">
        <v>174</v>
      </c>
      <c r="B75" s="363">
        <v>2019</v>
      </c>
      <c r="C75" s="364">
        <v>2020</v>
      </c>
      <c r="D75" s="363">
        <v>2021</v>
      </c>
      <c r="E75" s="364">
        <v>2022</v>
      </c>
      <c r="F75" s="365">
        <v>2023</v>
      </c>
      <c r="G75" s="365">
        <v>2024</v>
      </c>
      <c r="H75" s="365">
        <v>2025</v>
      </c>
      <c r="I75" s="365">
        <v>2026</v>
      </c>
      <c r="J75" s="364">
        <v>2027</v>
      </c>
      <c r="K75" s="363">
        <v>2028</v>
      </c>
      <c r="L75" s="364">
        <v>2029</v>
      </c>
    </row>
    <row r="76" spans="1:13" ht="14.1" customHeight="1" thickBot="1">
      <c r="A76" s="333" t="s">
        <v>172</v>
      </c>
      <c r="B76" s="295">
        <v>25.43</v>
      </c>
      <c r="C76" s="296">
        <v>26</v>
      </c>
      <c r="D76" s="296">
        <v>30</v>
      </c>
      <c r="E76" s="296">
        <v>34</v>
      </c>
      <c r="F76" s="296">
        <v>36</v>
      </c>
      <c r="G76" s="296">
        <v>38</v>
      </c>
      <c r="H76" s="296">
        <v>40</v>
      </c>
      <c r="I76" s="296">
        <v>42</v>
      </c>
      <c r="J76" s="296">
        <v>44</v>
      </c>
      <c r="K76" s="296">
        <v>46</v>
      </c>
      <c r="L76" s="296">
        <v>48</v>
      </c>
    </row>
    <row r="77" spans="1:13" ht="14.1" customHeight="1"/>
    <row r="78" spans="1:13">
      <c r="A78" s="614" t="s">
        <v>182</v>
      </c>
      <c r="B78" s="614"/>
      <c r="C78" s="614"/>
      <c r="D78" s="614"/>
      <c r="E78" s="614"/>
      <c r="F78" s="614"/>
      <c r="G78" s="614"/>
      <c r="H78" s="614"/>
      <c r="I78" s="614"/>
      <c r="J78" s="614"/>
      <c r="K78" s="614"/>
      <c r="L78" s="614"/>
      <c r="M78" s="213"/>
    </row>
    <row r="79" spans="1:13">
      <c r="A79" s="306"/>
      <c r="B79" s="306">
        <v>2019</v>
      </c>
      <c r="C79" s="306">
        <v>2020</v>
      </c>
      <c r="D79" s="306">
        <v>2021</v>
      </c>
      <c r="E79" s="306">
        <v>2022</v>
      </c>
      <c r="F79" s="306">
        <v>2023</v>
      </c>
      <c r="G79" s="306">
        <v>2024</v>
      </c>
      <c r="H79" s="306">
        <v>2025</v>
      </c>
      <c r="I79" s="306">
        <v>2026</v>
      </c>
      <c r="J79" s="306">
        <v>2027</v>
      </c>
      <c r="K79" s="307">
        <v>2028</v>
      </c>
      <c r="L79" s="308">
        <v>2029</v>
      </c>
    </row>
    <row r="80" spans="1:13">
      <c r="A80" s="309" t="s">
        <v>160</v>
      </c>
      <c r="B80" s="310">
        <v>43</v>
      </c>
      <c r="C80" s="311">
        <v>401</v>
      </c>
      <c r="D80" s="311">
        <v>656</v>
      </c>
      <c r="E80" s="311">
        <v>886</v>
      </c>
      <c r="F80" s="311">
        <v>994</v>
      </c>
      <c r="G80" s="366">
        <v>1103</v>
      </c>
      <c r="H80" s="311">
        <v>720</v>
      </c>
      <c r="I80" s="367">
        <v>-50</v>
      </c>
      <c r="J80" s="367">
        <v>-967</v>
      </c>
      <c r="K80" s="368">
        <v>-2539</v>
      </c>
      <c r="L80" s="369">
        <v>-1976</v>
      </c>
    </row>
    <row r="81" spans="1:13">
      <c r="A81" s="313" t="s">
        <v>161</v>
      </c>
      <c r="B81" s="314">
        <v>3162</v>
      </c>
      <c r="C81" s="322">
        <v>3219</v>
      </c>
      <c r="D81" s="322">
        <v>3294</v>
      </c>
      <c r="E81" s="322">
        <v>3362</v>
      </c>
      <c r="F81" s="322">
        <v>3412</v>
      </c>
      <c r="G81" s="322">
        <v>3462</v>
      </c>
      <c r="H81" s="322">
        <v>3519</v>
      </c>
      <c r="I81" s="322">
        <v>3587</v>
      </c>
      <c r="J81" s="322">
        <v>3650</v>
      </c>
      <c r="K81" s="322">
        <v>3750</v>
      </c>
      <c r="L81" s="319">
        <v>3844</v>
      </c>
    </row>
    <row r="82" spans="1:13">
      <c r="A82" s="316" t="s">
        <v>162</v>
      </c>
      <c r="B82" s="317">
        <v>40</v>
      </c>
      <c r="C82" s="318">
        <v>177</v>
      </c>
      <c r="D82" s="318">
        <v>235</v>
      </c>
      <c r="E82" s="318">
        <v>275</v>
      </c>
      <c r="F82" s="318">
        <v>324</v>
      </c>
      <c r="G82" s="318">
        <v>375</v>
      </c>
      <c r="H82" s="318">
        <v>448</v>
      </c>
      <c r="I82" s="318">
        <v>523</v>
      </c>
      <c r="J82" s="318">
        <v>582</v>
      </c>
      <c r="K82" s="318">
        <v>661</v>
      </c>
      <c r="L82" s="328">
        <v>746</v>
      </c>
    </row>
    <row r="83" spans="1:13">
      <c r="A83" s="320" t="s">
        <v>83</v>
      </c>
      <c r="B83" s="370">
        <v>3245</v>
      </c>
      <c r="C83" s="371">
        <v>3797</v>
      </c>
      <c r="D83" s="371">
        <v>4184</v>
      </c>
      <c r="E83" s="371">
        <v>4523</v>
      </c>
      <c r="F83" s="371">
        <v>4730</v>
      </c>
      <c r="G83" s="371">
        <v>4940</v>
      </c>
      <c r="H83" s="371">
        <v>4687</v>
      </c>
      <c r="I83" s="371">
        <v>4060</v>
      </c>
      <c r="J83" s="371">
        <v>3265</v>
      </c>
      <c r="K83" s="371">
        <v>1871</v>
      </c>
      <c r="L83" s="372">
        <v>2614</v>
      </c>
    </row>
    <row r="84" spans="1:13" ht="6.95" customHeight="1">
      <c r="A84" s="313"/>
      <c r="B84" s="314"/>
      <c r="C84" s="322"/>
      <c r="D84" s="322"/>
      <c r="E84" s="322"/>
      <c r="F84" s="322"/>
      <c r="G84" s="322"/>
      <c r="H84" s="322"/>
      <c r="I84" s="322"/>
      <c r="J84" s="322"/>
      <c r="K84" s="322"/>
      <c r="L84" s="319"/>
    </row>
    <row r="85" spans="1:13">
      <c r="A85" s="323" t="s">
        <v>163</v>
      </c>
      <c r="B85" s="314">
        <v>2365</v>
      </c>
      <c r="C85" s="322">
        <v>2769</v>
      </c>
      <c r="D85" s="322">
        <v>3017</v>
      </c>
      <c r="E85" s="322">
        <v>3347</v>
      </c>
      <c r="F85" s="322">
        <v>3518</v>
      </c>
      <c r="G85" s="322">
        <v>4110</v>
      </c>
      <c r="H85" s="322">
        <v>4627</v>
      </c>
      <c r="I85" s="322">
        <v>4917</v>
      </c>
      <c r="J85" s="322">
        <v>5694</v>
      </c>
      <c r="K85" s="322">
        <v>5995</v>
      </c>
      <c r="L85" s="319">
        <v>4530</v>
      </c>
    </row>
    <row r="86" spans="1:13">
      <c r="A86" s="325" t="s">
        <v>176</v>
      </c>
      <c r="B86" s="326">
        <v>589</v>
      </c>
      <c r="C86" s="329">
        <v>778</v>
      </c>
      <c r="D86" s="329">
        <v>978</v>
      </c>
      <c r="E86" s="322">
        <v>1160</v>
      </c>
      <c r="F86" s="322">
        <v>1285</v>
      </c>
      <c r="G86" s="322">
        <v>1748</v>
      </c>
      <c r="H86" s="322">
        <v>2118</v>
      </c>
      <c r="I86" s="322">
        <v>2423</v>
      </c>
      <c r="J86" s="322">
        <v>2736</v>
      </c>
      <c r="K86" s="322">
        <v>3108</v>
      </c>
      <c r="L86" s="319">
        <v>3532</v>
      </c>
    </row>
    <row r="87" spans="1:13">
      <c r="A87" s="325" t="s">
        <v>178</v>
      </c>
      <c r="B87" s="314">
        <v>1761</v>
      </c>
      <c r="C87" s="322">
        <v>1933</v>
      </c>
      <c r="D87" s="322">
        <v>1888</v>
      </c>
      <c r="E87" s="322">
        <v>1904</v>
      </c>
      <c r="F87" s="322">
        <v>1996</v>
      </c>
      <c r="G87" s="322">
        <v>2103</v>
      </c>
      <c r="H87" s="322">
        <v>1886</v>
      </c>
      <c r="I87" s="322">
        <v>1650</v>
      </c>
      <c r="J87" s="322">
        <v>1944</v>
      </c>
      <c r="K87" s="322">
        <v>1715</v>
      </c>
      <c r="L87" s="328">
        <v>819</v>
      </c>
    </row>
    <row r="88" spans="1:13">
      <c r="A88" s="325" t="s">
        <v>165</v>
      </c>
      <c r="B88" s="326">
        <v>15</v>
      </c>
      <c r="C88" s="329">
        <v>57</v>
      </c>
      <c r="D88" s="329">
        <v>151</v>
      </c>
      <c r="E88" s="329">
        <v>283</v>
      </c>
      <c r="F88" s="329">
        <v>237</v>
      </c>
      <c r="G88" s="329">
        <v>259</v>
      </c>
      <c r="H88" s="329">
        <v>623</v>
      </c>
      <c r="I88" s="329">
        <v>844</v>
      </c>
      <c r="J88" s="322">
        <v>1014</v>
      </c>
      <c r="K88" s="322">
        <v>1172</v>
      </c>
      <c r="L88" s="328">
        <v>179</v>
      </c>
    </row>
    <row r="89" spans="1:13">
      <c r="A89" s="323" t="s">
        <v>166</v>
      </c>
      <c r="B89" s="326">
        <v>300</v>
      </c>
      <c r="C89" s="329">
        <v>272</v>
      </c>
      <c r="D89" s="329">
        <v>200</v>
      </c>
      <c r="E89" s="329">
        <v>172</v>
      </c>
      <c r="F89" s="329">
        <v>100</v>
      </c>
      <c r="G89" s="329">
        <v>100</v>
      </c>
      <c r="H89" s="329">
        <v>100</v>
      </c>
      <c r="I89" s="329">
        <v>100</v>
      </c>
      <c r="J89" s="329">
        <v>100</v>
      </c>
      <c r="K89" s="329">
        <v>100</v>
      </c>
      <c r="L89" s="328">
        <v>100</v>
      </c>
    </row>
    <row r="90" spans="1:13">
      <c r="A90" s="316" t="s">
        <v>167</v>
      </c>
      <c r="B90" s="317">
        <v>179</v>
      </c>
      <c r="C90" s="318">
        <v>100</v>
      </c>
      <c r="D90" s="318">
        <v>81</v>
      </c>
      <c r="E90" s="318">
        <v>10</v>
      </c>
      <c r="F90" s="318">
        <v>10</v>
      </c>
      <c r="G90" s="318">
        <v>10</v>
      </c>
      <c r="H90" s="318">
        <v>10</v>
      </c>
      <c r="I90" s="318">
        <v>10</v>
      </c>
      <c r="J90" s="318">
        <v>10</v>
      </c>
      <c r="K90" s="318">
        <v>10</v>
      </c>
      <c r="L90" s="373">
        <v>10</v>
      </c>
    </row>
    <row r="91" spans="1:13">
      <c r="A91" s="320" t="s">
        <v>168</v>
      </c>
      <c r="B91" s="370">
        <v>2844</v>
      </c>
      <c r="C91" s="371">
        <v>3141</v>
      </c>
      <c r="D91" s="371">
        <v>3298</v>
      </c>
      <c r="E91" s="371">
        <v>3529</v>
      </c>
      <c r="F91" s="371">
        <v>3628</v>
      </c>
      <c r="G91" s="371">
        <v>4220</v>
      </c>
      <c r="H91" s="371">
        <v>4737</v>
      </c>
      <c r="I91" s="371">
        <v>5027</v>
      </c>
      <c r="J91" s="371">
        <v>5804</v>
      </c>
      <c r="K91" s="371">
        <v>6105</v>
      </c>
      <c r="L91" s="319">
        <v>4640</v>
      </c>
    </row>
    <row r="92" spans="1:13" ht="15.75" thickBot="1">
      <c r="A92" s="313" t="s">
        <v>169</v>
      </c>
      <c r="B92" s="374">
        <v>401</v>
      </c>
      <c r="C92" s="375">
        <v>656</v>
      </c>
      <c r="D92" s="375">
        <v>886</v>
      </c>
      <c r="E92" s="375">
        <v>994</v>
      </c>
      <c r="F92" s="376">
        <v>1103</v>
      </c>
      <c r="G92" s="375">
        <v>720</v>
      </c>
      <c r="H92" s="377">
        <v>-50</v>
      </c>
      <c r="I92" s="377">
        <v>-967</v>
      </c>
      <c r="J92" s="378">
        <v>-2539</v>
      </c>
      <c r="K92" s="378">
        <v>-4234</v>
      </c>
      <c r="L92" s="379">
        <v>-2025</v>
      </c>
    </row>
    <row r="93" spans="1:13" ht="12.95" customHeight="1" thickBot="1">
      <c r="A93" s="333" t="s">
        <v>172</v>
      </c>
      <c r="B93" s="295">
        <v>30</v>
      </c>
      <c r="C93" s="296">
        <v>32</v>
      </c>
      <c r="D93" s="296">
        <v>34</v>
      </c>
      <c r="E93" s="296">
        <v>36</v>
      </c>
      <c r="F93" s="296">
        <v>40</v>
      </c>
      <c r="G93" s="296">
        <v>42</v>
      </c>
      <c r="H93" s="296">
        <v>44</v>
      </c>
      <c r="I93" s="296">
        <v>48</v>
      </c>
      <c r="J93" s="296">
        <v>52</v>
      </c>
      <c r="K93" s="296">
        <v>54</v>
      </c>
      <c r="L93" s="296">
        <v>56</v>
      </c>
    </row>
    <row r="94" spans="1:13" ht="12" customHeight="1" thickBot="1">
      <c r="A94" s="615" t="s">
        <v>173</v>
      </c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M94" s="254"/>
    </row>
    <row r="95" spans="1:13" ht="15.75" thickBot="1">
      <c r="A95" s="380" t="s">
        <v>174</v>
      </c>
      <c r="B95" s="364">
        <v>2019</v>
      </c>
      <c r="C95" s="364">
        <v>2020</v>
      </c>
      <c r="D95" s="364">
        <v>2021</v>
      </c>
      <c r="E95" s="364">
        <v>2022</v>
      </c>
      <c r="F95" s="364">
        <v>2023</v>
      </c>
      <c r="G95" s="364">
        <v>2024</v>
      </c>
      <c r="H95" s="364">
        <v>2025</v>
      </c>
      <c r="I95" s="364">
        <v>2026</v>
      </c>
      <c r="J95" s="364">
        <v>2027</v>
      </c>
      <c r="K95" s="364">
        <v>2028</v>
      </c>
      <c r="L95" s="381">
        <v>2029</v>
      </c>
    </row>
    <row r="96" spans="1:13" ht="15.75" thickBot="1">
      <c r="A96" s="333" t="s">
        <v>172</v>
      </c>
      <c r="B96" s="382">
        <v>30.5</v>
      </c>
      <c r="C96" s="383">
        <v>26</v>
      </c>
      <c r="D96" s="383">
        <v>28</v>
      </c>
      <c r="E96" s="383">
        <v>30</v>
      </c>
      <c r="F96" s="383">
        <v>31.999999999999996</v>
      </c>
      <c r="G96" s="383">
        <v>28.700000000000003</v>
      </c>
      <c r="H96" s="383">
        <v>28.6</v>
      </c>
      <c r="I96" s="383">
        <v>27.400000000000002</v>
      </c>
      <c r="J96" s="383">
        <v>27.200000000000003</v>
      </c>
      <c r="K96" s="383">
        <v>26.8</v>
      </c>
      <c r="L96" s="383">
        <v>26.5</v>
      </c>
    </row>
    <row r="97" spans="1:12">
      <c r="A97" s="384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</row>
    <row r="98" spans="1:12" ht="18.95" customHeight="1" thickBot="1">
      <c r="A98" s="348" t="s">
        <v>183</v>
      </c>
      <c r="B98" s="348"/>
      <c r="C98" s="348"/>
      <c r="D98" s="348"/>
      <c r="E98" s="348"/>
      <c r="F98" s="348"/>
      <c r="G98" s="348"/>
      <c r="H98" s="348"/>
      <c r="I98" s="348"/>
      <c r="J98" s="348"/>
      <c r="K98" s="348"/>
      <c r="L98" s="348"/>
    </row>
    <row r="99" spans="1:12" ht="15.75" thickBot="1">
      <c r="A99" s="349"/>
      <c r="B99" s="350">
        <v>2019</v>
      </c>
      <c r="C99" s="350">
        <v>2020</v>
      </c>
      <c r="D99" s="350">
        <v>2021</v>
      </c>
      <c r="E99" s="350">
        <v>2022</v>
      </c>
      <c r="F99" s="350">
        <v>2023</v>
      </c>
      <c r="G99" s="350">
        <v>2024</v>
      </c>
      <c r="H99" s="350">
        <v>2025</v>
      </c>
      <c r="I99" s="350">
        <v>2026</v>
      </c>
      <c r="J99" s="350">
        <v>2027</v>
      </c>
      <c r="K99" s="350">
        <v>2028</v>
      </c>
      <c r="L99" s="350">
        <v>2029</v>
      </c>
    </row>
    <row r="100" spans="1:12">
      <c r="A100" s="348" t="s">
        <v>184</v>
      </c>
      <c r="B100" s="351">
        <v>12.321824863610459</v>
      </c>
      <c r="C100" s="352">
        <v>24.829406848270281</v>
      </c>
      <c r="D100" s="352">
        <v>182.50608665226204</v>
      </c>
      <c r="E100" s="352">
        <v>392.57613483148407</v>
      </c>
      <c r="F100" s="352">
        <v>507.47307911623608</v>
      </c>
      <c r="G100" s="352">
        <v>540.56040287299925</v>
      </c>
      <c r="H100" s="352">
        <v>603.77806119731713</v>
      </c>
      <c r="I100" s="352">
        <v>728.09745393236813</v>
      </c>
      <c r="J100" s="352">
        <v>771.92137789465028</v>
      </c>
      <c r="K100" s="352">
        <v>658.31229024832999</v>
      </c>
      <c r="L100" s="352">
        <v>302.9749184830664</v>
      </c>
    </row>
    <row r="101" spans="1:12">
      <c r="A101" s="348" t="s">
        <v>161</v>
      </c>
      <c r="B101" s="353">
        <v>2285.1833676365204</v>
      </c>
      <c r="C101" s="354">
        <v>2412.4371705660787</v>
      </c>
      <c r="D101" s="354">
        <v>2508.2037874901498</v>
      </c>
      <c r="E101" s="354">
        <v>2539.8901334150578</v>
      </c>
      <c r="F101" s="354">
        <v>2564.8718223175674</v>
      </c>
      <c r="G101" s="354">
        <v>2632.6442064518992</v>
      </c>
      <c r="H101" s="354">
        <v>2793.4874009847176</v>
      </c>
      <c r="I101" s="354">
        <v>2874.6504049052464</v>
      </c>
      <c r="J101" s="354">
        <v>2956.1587739571432</v>
      </c>
      <c r="K101" s="354">
        <v>2999.6553230303716</v>
      </c>
      <c r="L101" s="354">
        <v>3099.6621664599666</v>
      </c>
    </row>
    <row r="102" spans="1:12">
      <c r="A102" s="348" t="s">
        <v>162</v>
      </c>
      <c r="B102" s="353">
        <v>5.170601682652828</v>
      </c>
      <c r="C102" s="354">
        <v>4.9311569534387809</v>
      </c>
      <c r="D102" s="354">
        <v>4.9869966824573773</v>
      </c>
      <c r="E102" s="354">
        <v>5.0011255275399531</v>
      </c>
      <c r="F102" s="354">
        <v>5.0890801036573814</v>
      </c>
      <c r="G102" s="354">
        <v>4.9470305368794181</v>
      </c>
      <c r="H102" s="354">
        <v>4.9910779607945823</v>
      </c>
      <c r="I102" s="354">
        <v>5.0030621622657421</v>
      </c>
      <c r="J102" s="354">
        <v>5.006275258227415</v>
      </c>
      <c r="K102" s="354">
        <v>5.0073052043649078</v>
      </c>
      <c r="L102" s="354">
        <v>4.9909502245064132</v>
      </c>
    </row>
    <row r="103" spans="1:12">
      <c r="A103" s="355" t="s">
        <v>180</v>
      </c>
      <c r="B103" s="356">
        <v>2302.6757941827836</v>
      </c>
      <c r="C103" s="356">
        <v>2442.1977343677877</v>
      </c>
      <c r="D103" s="356">
        <v>2695.6968708248692</v>
      </c>
      <c r="E103" s="356">
        <v>2937.4673937740818</v>
      </c>
      <c r="F103" s="356">
        <v>3077.433981537461</v>
      </c>
      <c r="G103" s="356">
        <v>3178.1516398617778</v>
      </c>
      <c r="H103" s="356">
        <v>3402.2565401428292</v>
      </c>
      <c r="I103" s="356">
        <v>3607.7509209998802</v>
      </c>
      <c r="J103" s="356">
        <v>3733.0864271100213</v>
      </c>
      <c r="K103" s="356">
        <v>3662.9749184830666</v>
      </c>
      <c r="L103" s="356">
        <v>3407.6280351675396</v>
      </c>
    </row>
    <row r="104" spans="1:12">
      <c r="A104" s="348"/>
      <c r="B104" s="353"/>
      <c r="C104" s="354"/>
      <c r="D104" s="354"/>
      <c r="E104" s="354"/>
      <c r="F104" s="354"/>
      <c r="G104" s="354"/>
      <c r="H104" s="354"/>
      <c r="I104" s="354"/>
      <c r="J104" s="354"/>
      <c r="K104" s="354"/>
      <c r="L104" s="354"/>
    </row>
    <row r="105" spans="1:12">
      <c r="A105" s="348" t="s">
        <v>163</v>
      </c>
      <c r="B105" s="353">
        <v>235.77832334091377</v>
      </c>
      <c r="C105" s="354">
        <v>249.69164771552616</v>
      </c>
      <c r="D105" s="354">
        <v>293.12073599338424</v>
      </c>
      <c r="E105" s="354">
        <v>419.99431465784579</v>
      </c>
      <c r="F105" s="354">
        <v>526.87357866446132</v>
      </c>
      <c r="G105" s="354">
        <v>564.37357866446132</v>
      </c>
      <c r="H105" s="354">
        <v>664.15908621046083</v>
      </c>
      <c r="I105" s="354">
        <v>825.82954310523041</v>
      </c>
      <c r="J105" s="354">
        <v>1064.774136861691</v>
      </c>
      <c r="K105" s="354">
        <v>1349.9999999999998</v>
      </c>
      <c r="L105" s="354">
        <v>1309.2748604506926</v>
      </c>
    </row>
    <row r="106" spans="1:12">
      <c r="A106" s="357" t="s">
        <v>178</v>
      </c>
      <c r="B106" s="353">
        <v>235.77832334091377</v>
      </c>
      <c r="C106" s="354">
        <v>249.69164771552616</v>
      </c>
      <c r="D106" s="354">
        <v>278.74715732892281</v>
      </c>
      <c r="E106" s="354">
        <v>377.70312176969196</v>
      </c>
      <c r="F106" s="354">
        <v>476.87357866446138</v>
      </c>
      <c r="G106" s="354">
        <v>499.99999999999994</v>
      </c>
      <c r="H106" s="354">
        <v>571.86789332230705</v>
      </c>
      <c r="I106" s="354">
        <v>711.45596444076898</v>
      </c>
      <c r="J106" s="354">
        <v>908.10936530907577</v>
      </c>
      <c r="K106" s="354">
        <v>1157.708807111846</v>
      </c>
      <c r="L106" s="354">
        <v>1109.2748604506926</v>
      </c>
    </row>
    <row r="107" spans="1:12">
      <c r="A107" s="357" t="s">
        <v>165</v>
      </c>
      <c r="B107" s="353">
        <v>0</v>
      </c>
      <c r="C107" s="354">
        <v>0</v>
      </c>
      <c r="D107" s="354">
        <v>14.373578664461441</v>
      </c>
      <c r="E107" s="354">
        <v>42.291192888153809</v>
      </c>
      <c r="F107" s="354">
        <v>50</v>
      </c>
      <c r="G107" s="354">
        <v>64.373578664461434</v>
      </c>
      <c r="H107" s="354">
        <v>92.291192888153802</v>
      </c>
      <c r="I107" s="354">
        <v>114.37357866446145</v>
      </c>
      <c r="J107" s="354">
        <v>156.66477155261524</v>
      </c>
      <c r="K107" s="354">
        <v>192.2911928881538</v>
      </c>
      <c r="L107" s="354">
        <v>199.99999999999997</v>
      </c>
    </row>
    <row r="108" spans="1:12">
      <c r="A108" s="348" t="s">
        <v>166</v>
      </c>
      <c r="B108" s="353">
        <v>2000.0000000000002</v>
      </c>
      <c r="C108" s="354">
        <v>2000.0000000000002</v>
      </c>
      <c r="D108" s="354">
        <v>2000.0000000000002</v>
      </c>
      <c r="E108" s="354">
        <v>2000.0000000000002</v>
      </c>
      <c r="F108" s="354">
        <v>2000.0000000000002</v>
      </c>
      <c r="G108" s="354">
        <v>2000.0000000000002</v>
      </c>
      <c r="H108" s="354">
        <v>2000.0000000000002</v>
      </c>
      <c r="I108" s="354">
        <v>2000.0000000000002</v>
      </c>
      <c r="J108" s="354">
        <v>2000.0000000000002</v>
      </c>
      <c r="K108" s="354">
        <v>2000.0000000000002</v>
      </c>
      <c r="L108" s="354">
        <v>2000.0000000000002</v>
      </c>
    </row>
    <row r="109" spans="1:12">
      <c r="A109" s="348" t="s">
        <v>167</v>
      </c>
      <c r="B109" s="353">
        <v>42.068063993599999</v>
      </c>
      <c r="C109" s="354">
        <v>10</v>
      </c>
      <c r="D109" s="354">
        <v>9.9999999999999964</v>
      </c>
      <c r="E109" s="354">
        <v>10</v>
      </c>
      <c r="F109" s="354">
        <v>10</v>
      </c>
      <c r="G109" s="354">
        <v>10</v>
      </c>
      <c r="H109" s="354">
        <v>10</v>
      </c>
      <c r="I109" s="354">
        <v>9.9999999999999964</v>
      </c>
      <c r="J109" s="354">
        <v>10</v>
      </c>
      <c r="K109" s="354">
        <v>9.9999999999999964</v>
      </c>
      <c r="L109" s="354">
        <v>10</v>
      </c>
    </row>
    <row r="110" spans="1:12">
      <c r="A110" s="355" t="s">
        <v>181</v>
      </c>
      <c r="B110" s="356">
        <v>2277.846387334514</v>
      </c>
      <c r="C110" s="356">
        <v>2259.6916477155264</v>
      </c>
      <c r="D110" s="356">
        <v>2303.1207359933846</v>
      </c>
      <c r="E110" s="356">
        <v>2429.9943146578462</v>
      </c>
      <c r="F110" s="356">
        <v>2536.8735786644615</v>
      </c>
      <c r="G110" s="356">
        <v>2574.3735786644615</v>
      </c>
      <c r="H110" s="356">
        <v>2674.1590862104613</v>
      </c>
      <c r="I110" s="356">
        <v>2835.8295431052306</v>
      </c>
      <c r="J110" s="356">
        <v>3074.7741368616912</v>
      </c>
      <c r="K110" s="356">
        <v>3360</v>
      </c>
      <c r="L110" s="356">
        <v>3319.2748604506928</v>
      </c>
    </row>
    <row r="111" spans="1:12" ht="15.75" thickBot="1">
      <c r="A111" s="348" t="s">
        <v>169</v>
      </c>
      <c r="B111" s="353">
        <v>24.829406848269628</v>
      </c>
      <c r="C111" s="354">
        <v>182.50608665226127</v>
      </c>
      <c r="D111" s="354">
        <v>392.57613483148452</v>
      </c>
      <c r="E111" s="354">
        <v>507.47307911623557</v>
      </c>
      <c r="F111" s="354">
        <v>540.56040287299948</v>
      </c>
      <c r="G111" s="354">
        <v>603.77806119731622</v>
      </c>
      <c r="H111" s="354">
        <v>728.0974539323679</v>
      </c>
      <c r="I111" s="354">
        <v>771.92137789464959</v>
      </c>
      <c r="J111" s="354">
        <v>658.3122902483301</v>
      </c>
      <c r="K111" s="354">
        <v>302.97491848306663</v>
      </c>
      <c r="L111" s="354">
        <v>88.353174716846752</v>
      </c>
    </row>
    <row r="112" spans="1:12" ht="15.75" thickBot="1">
      <c r="A112" s="333" t="s">
        <v>172</v>
      </c>
      <c r="B112" s="295">
        <v>30</v>
      </c>
      <c r="C112" s="296">
        <v>34</v>
      </c>
      <c r="D112" s="296">
        <v>36</v>
      </c>
      <c r="E112" s="296">
        <v>38</v>
      </c>
      <c r="F112" s="296">
        <v>40</v>
      </c>
      <c r="G112" s="296">
        <v>42</v>
      </c>
      <c r="H112" s="296">
        <v>46</v>
      </c>
      <c r="I112" s="296">
        <v>51</v>
      </c>
      <c r="J112" s="296">
        <v>52</v>
      </c>
      <c r="K112" s="296">
        <v>53</v>
      </c>
      <c r="L112" s="296">
        <v>54</v>
      </c>
    </row>
    <row r="113" spans="1:18" ht="15.75" thickBot="1">
      <c r="A113" s="359" t="s">
        <v>173</v>
      </c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</row>
    <row r="114" spans="1:18" ht="15.75" thickBot="1">
      <c r="A114" s="386" t="s">
        <v>174</v>
      </c>
      <c r="B114" s="387">
        <v>2019</v>
      </c>
      <c r="C114" s="388">
        <v>2020</v>
      </c>
      <c r="D114" s="388">
        <v>2021</v>
      </c>
      <c r="E114" s="388">
        <v>2022</v>
      </c>
      <c r="F114" s="388">
        <v>2023</v>
      </c>
      <c r="G114" s="388">
        <v>2024</v>
      </c>
      <c r="H114" s="388">
        <v>2025</v>
      </c>
      <c r="I114" s="388">
        <v>2026</v>
      </c>
      <c r="J114" s="388">
        <v>2027</v>
      </c>
      <c r="K114" s="389">
        <v>2028</v>
      </c>
      <c r="L114" s="388">
        <v>2029</v>
      </c>
    </row>
    <row r="115" spans="1:18" ht="15.75" thickBot="1">
      <c r="A115" s="333" t="s">
        <v>172</v>
      </c>
      <c r="B115" s="295">
        <v>28</v>
      </c>
      <c r="C115" s="296">
        <v>25</v>
      </c>
      <c r="D115" s="296">
        <v>26.5</v>
      </c>
      <c r="E115" s="296">
        <v>28</v>
      </c>
      <c r="F115" s="296">
        <v>30</v>
      </c>
      <c r="G115" s="296">
        <v>32</v>
      </c>
      <c r="H115" s="296">
        <v>35</v>
      </c>
      <c r="I115" s="296">
        <v>38</v>
      </c>
      <c r="J115" s="296">
        <v>39</v>
      </c>
      <c r="K115" s="296">
        <v>40</v>
      </c>
      <c r="L115" s="296">
        <v>41</v>
      </c>
    </row>
    <row r="117" spans="1:18" ht="15.75" thickBot="1">
      <c r="A117" s="348" t="s">
        <v>185</v>
      </c>
      <c r="B117" s="348"/>
      <c r="C117" s="348"/>
      <c r="D117" s="348"/>
      <c r="E117" s="348"/>
      <c r="F117" s="348"/>
      <c r="G117" s="348"/>
      <c r="H117" s="348"/>
      <c r="I117" s="348"/>
      <c r="J117" s="348"/>
      <c r="K117" s="348"/>
      <c r="L117" s="348"/>
    </row>
    <row r="118" spans="1:18" ht="15.75" thickBot="1">
      <c r="A118" s="349"/>
      <c r="B118" s="390">
        <v>2019</v>
      </c>
      <c r="C118" s="390">
        <v>2020</v>
      </c>
      <c r="D118" s="390">
        <v>2021</v>
      </c>
      <c r="E118" s="390">
        <v>2022</v>
      </c>
      <c r="F118" s="390">
        <v>2023</v>
      </c>
      <c r="G118" s="390">
        <v>2024</v>
      </c>
      <c r="H118" s="390">
        <v>2025</v>
      </c>
      <c r="I118" s="390">
        <v>2026</v>
      </c>
      <c r="J118" s="390">
        <v>2027</v>
      </c>
      <c r="K118" s="390">
        <v>2028</v>
      </c>
      <c r="L118" s="390">
        <v>2029</v>
      </c>
    </row>
    <row r="119" spans="1:18">
      <c r="A119" s="348" t="s">
        <v>160</v>
      </c>
      <c r="B119" s="391">
        <v>77</v>
      </c>
      <c r="C119" s="392">
        <f>B131</f>
        <v>0</v>
      </c>
      <c r="D119" s="392">
        <f t="shared" ref="D119:L119" si="11">C131</f>
        <v>-456.69999999999982</v>
      </c>
      <c r="E119" s="392">
        <f t="shared" si="11"/>
        <v>-492.44765690321128</v>
      </c>
      <c r="F119" s="392">
        <f t="shared" si="11"/>
        <v>41.277422669350017</v>
      </c>
      <c r="G119" s="392">
        <f t="shared" si="11"/>
        <v>1237.2373979375416</v>
      </c>
      <c r="H119" s="392">
        <f t="shared" si="11"/>
        <v>3249.7719279375451</v>
      </c>
      <c r="I119" s="392">
        <f t="shared" si="11"/>
        <v>5612.333184437548</v>
      </c>
      <c r="J119" s="392">
        <f t="shared" si="11"/>
        <v>8694.6474828377141</v>
      </c>
      <c r="K119" s="392">
        <f t="shared" si="11"/>
        <v>12652.564604946099</v>
      </c>
      <c r="L119" s="392">
        <f t="shared" si="11"/>
        <v>17429.611093620122</v>
      </c>
    </row>
    <row r="120" spans="1:18">
      <c r="A120" s="348" t="s">
        <v>161</v>
      </c>
      <c r="B120" s="393">
        <v>5303</v>
      </c>
      <c r="C120" s="394">
        <f>SUM(B120*1.1)</f>
        <v>5833.3</v>
      </c>
      <c r="D120" s="394">
        <f>SUM(C120*1.1)</f>
        <v>6416.630000000001</v>
      </c>
      <c r="E120" s="394">
        <f>SUM(D120*1.1)</f>
        <v>7058.2930000000015</v>
      </c>
      <c r="F120" s="394">
        <f>SUM(E120*1.1)</f>
        <v>7764.1223000000018</v>
      </c>
      <c r="G120" s="394">
        <f>SUM(F120*1.1)</f>
        <v>8540.5345300000026</v>
      </c>
      <c r="H120" s="394">
        <f>SUM(G120*1.05)</f>
        <v>8967.5612565000029</v>
      </c>
      <c r="I120" s="394">
        <f>SUM(H120*1.05)</f>
        <v>9415.9393193250035</v>
      </c>
      <c r="J120" s="394">
        <f>SUM(I120*1.05)</f>
        <v>9886.7362852912538</v>
      </c>
      <c r="K120" s="394">
        <f>SUM(J120*1.05)</f>
        <v>10381.073099555817</v>
      </c>
      <c r="L120" s="394">
        <f>SUM(K120*1.05)</f>
        <v>10900.126754533609</v>
      </c>
    </row>
    <row r="121" spans="1:18">
      <c r="A121" s="348" t="s">
        <v>162</v>
      </c>
      <c r="B121" s="395">
        <v>0</v>
      </c>
      <c r="C121" s="396">
        <v>0</v>
      </c>
      <c r="D121" s="396">
        <v>0</v>
      </c>
      <c r="E121" s="396">
        <v>0</v>
      </c>
      <c r="F121" s="397">
        <v>0</v>
      </c>
      <c r="G121" s="398">
        <v>0</v>
      </c>
      <c r="H121" s="396">
        <v>0</v>
      </c>
      <c r="I121" s="396">
        <v>0</v>
      </c>
      <c r="J121" s="396">
        <v>0</v>
      </c>
      <c r="K121" s="396">
        <v>0</v>
      </c>
      <c r="L121" s="396">
        <v>0</v>
      </c>
    </row>
    <row r="122" spans="1:18">
      <c r="A122" s="399" t="s">
        <v>180</v>
      </c>
      <c r="B122" s="400">
        <f>SUM(B119:B121)</f>
        <v>5380</v>
      </c>
      <c r="C122" s="401">
        <f t="shared" ref="C122:L122" si="12">SUM(C119:C121)</f>
        <v>5833.3</v>
      </c>
      <c r="D122" s="401">
        <f t="shared" si="12"/>
        <v>5959.9300000000012</v>
      </c>
      <c r="E122" s="401">
        <f t="shared" si="12"/>
        <v>6565.8453430967902</v>
      </c>
      <c r="F122" s="402">
        <f t="shared" si="12"/>
        <v>7805.3997226693518</v>
      </c>
      <c r="G122" s="402">
        <f t="shared" si="12"/>
        <v>9777.7719279375451</v>
      </c>
      <c r="H122" s="401">
        <f t="shared" si="12"/>
        <v>12217.333184437548</v>
      </c>
      <c r="I122" s="402">
        <f t="shared" si="12"/>
        <v>15028.272503762551</v>
      </c>
      <c r="J122" s="401">
        <f t="shared" si="12"/>
        <v>18581.383768128966</v>
      </c>
      <c r="K122" s="401">
        <f t="shared" si="12"/>
        <v>23033.637704501918</v>
      </c>
      <c r="L122" s="401">
        <f t="shared" si="12"/>
        <v>28329.737848153731</v>
      </c>
    </row>
    <row r="123" spans="1:18" ht="9" customHeight="1">
      <c r="A123" s="348"/>
      <c r="B123" s="393"/>
      <c r="C123" s="394"/>
      <c r="D123" s="394"/>
      <c r="E123" s="394"/>
      <c r="F123" s="394"/>
      <c r="G123" s="403"/>
      <c r="H123" s="404"/>
      <c r="I123" s="403"/>
      <c r="J123" s="404"/>
      <c r="K123" s="394"/>
      <c r="L123" s="394"/>
    </row>
    <row r="124" spans="1:18">
      <c r="A124" s="348" t="s">
        <v>163</v>
      </c>
      <c r="B124" s="393">
        <f>SUM(B125+B126+B127)</f>
        <v>1760</v>
      </c>
      <c r="C124" s="405"/>
      <c r="D124" s="405"/>
      <c r="E124" s="405"/>
      <c r="F124" s="405"/>
      <c r="G124" s="405"/>
      <c r="H124" s="405"/>
      <c r="I124" s="405"/>
      <c r="J124" s="405"/>
      <c r="K124" s="405"/>
      <c r="L124" s="405"/>
    </row>
    <row r="125" spans="1:18">
      <c r="A125" s="348" t="s">
        <v>186</v>
      </c>
      <c r="B125" s="393">
        <v>0</v>
      </c>
      <c r="C125" s="394">
        <v>225</v>
      </c>
      <c r="D125" s="394">
        <v>1327</v>
      </c>
      <c r="E125" s="394">
        <v>1627.56792042744</v>
      </c>
      <c r="F125" s="394">
        <v>1959.16232473181</v>
      </c>
      <c r="G125" s="394">
        <v>2096</v>
      </c>
      <c r="H125" s="394">
        <v>2105</v>
      </c>
      <c r="I125" s="394">
        <v>2293</v>
      </c>
      <c r="J125" s="394">
        <v>2386</v>
      </c>
      <c r="K125" s="394">
        <v>2539</v>
      </c>
      <c r="L125" s="394">
        <v>2858</v>
      </c>
      <c r="R125" s="406"/>
    </row>
    <row r="126" spans="1:18">
      <c r="A126" s="348" t="s">
        <v>187</v>
      </c>
      <c r="B126" s="393">
        <v>1760</v>
      </c>
      <c r="C126" s="394">
        <v>2565</v>
      </c>
      <c r="D126" s="394">
        <v>1917</v>
      </c>
      <c r="E126" s="394">
        <v>1897</v>
      </c>
      <c r="F126" s="394">
        <v>1759</v>
      </c>
      <c r="G126" s="394">
        <v>1632</v>
      </c>
      <c r="H126" s="394">
        <v>1450</v>
      </c>
      <c r="I126" s="394">
        <v>1240.6250209248369</v>
      </c>
      <c r="J126" s="394">
        <v>967.81916318286744</v>
      </c>
      <c r="K126" s="394">
        <v>765.02661088179673</v>
      </c>
      <c r="L126" s="394">
        <v>580.45213389250455</v>
      </c>
      <c r="R126" s="406"/>
    </row>
    <row r="127" spans="1:18">
      <c r="A127" s="348" t="s">
        <v>188</v>
      </c>
      <c r="B127" s="393">
        <v>0</v>
      </c>
      <c r="C127" s="394">
        <v>0</v>
      </c>
      <c r="D127" s="394">
        <v>8.3776569032122818</v>
      </c>
      <c r="E127" s="394">
        <v>100</v>
      </c>
      <c r="F127" s="394">
        <v>200</v>
      </c>
      <c r="G127" s="394">
        <v>400</v>
      </c>
      <c r="H127" s="394">
        <v>900</v>
      </c>
      <c r="I127" s="394">
        <v>1200</v>
      </c>
      <c r="J127" s="394">
        <v>1500</v>
      </c>
      <c r="K127" s="394">
        <v>1750</v>
      </c>
      <c r="L127" s="394">
        <v>2000</v>
      </c>
    </row>
    <row r="128" spans="1:18">
      <c r="A128" s="348" t="s">
        <v>166</v>
      </c>
      <c r="B128" s="393">
        <v>3046</v>
      </c>
      <c r="C128" s="394">
        <v>3000</v>
      </c>
      <c r="D128" s="394">
        <v>2800</v>
      </c>
      <c r="E128" s="394">
        <v>2600</v>
      </c>
      <c r="F128" s="394">
        <v>2400</v>
      </c>
      <c r="G128" s="394">
        <v>2200</v>
      </c>
      <c r="H128" s="394">
        <v>2000</v>
      </c>
      <c r="I128" s="394">
        <v>1500</v>
      </c>
      <c r="J128" s="394">
        <v>1000</v>
      </c>
      <c r="K128" s="394">
        <v>500</v>
      </c>
      <c r="L128" s="394">
        <v>0</v>
      </c>
    </row>
    <row r="129" spans="1:12">
      <c r="A129" s="348" t="s">
        <v>167</v>
      </c>
      <c r="B129" s="395">
        <v>582</v>
      </c>
      <c r="C129" s="396">
        <v>500</v>
      </c>
      <c r="D129" s="396">
        <v>400</v>
      </c>
      <c r="E129" s="396">
        <v>300</v>
      </c>
      <c r="F129" s="396">
        <v>250</v>
      </c>
      <c r="G129" s="396">
        <v>200</v>
      </c>
      <c r="H129" s="396">
        <v>150</v>
      </c>
      <c r="I129" s="396">
        <v>100</v>
      </c>
      <c r="J129" s="396">
        <v>75</v>
      </c>
      <c r="K129" s="396">
        <v>50</v>
      </c>
      <c r="L129" s="396">
        <v>24.999999999999996</v>
      </c>
    </row>
    <row r="130" spans="1:12">
      <c r="A130" s="399" t="s">
        <v>181</v>
      </c>
      <c r="B130" s="400">
        <f>SUM(B125:B129)</f>
        <v>5388</v>
      </c>
      <c r="C130" s="402">
        <f t="shared" ref="C130:L130" si="13">SUM(C125:C129)</f>
        <v>6290</v>
      </c>
      <c r="D130" s="402">
        <f t="shared" si="13"/>
        <v>6452.3776569032125</v>
      </c>
      <c r="E130" s="402">
        <f t="shared" si="13"/>
        <v>6524.5679204274402</v>
      </c>
      <c r="F130" s="402">
        <f t="shared" si="13"/>
        <v>6568.1623247318103</v>
      </c>
      <c r="G130" s="402">
        <f t="shared" si="13"/>
        <v>6528</v>
      </c>
      <c r="H130" s="402">
        <f t="shared" si="13"/>
        <v>6605</v>
      </c>
      <c r="I130" s="402">
        <f t="shared" si="13"/>
        <v>6333.6250209248374</v>
      </c>
      <c r="J130" s="402">
        <f t="shared" si="13"/>
        <v>5928.8191631828677</v>
      </c>
      <c r="K130" s="402">
        <f t="shared" si="13"/>
        <v>5604.0266108817968</v>
      </c>
      <c r="L130" s="401">
        <f t="shared" si="13"/>
        <v>5463.4521338925042</v>
      </c>
    </row>
    <row r="131" spans="1:12" ht="15.75" thickBot="1">
      <c r="A131" s="407" t="s">
        <v>169</v>
      </c>
      <c r="B131" s="408"/>
      <c r="C131" s="394">
        <f t="shared" ref="C131:L131" si="14">SUM(C122-C130)</f>
        <v>-456.69999999999982</v>
      </c>
      <c r="D131" s="394">
        <f t="shared" si="14"/>
        <v>-492.44765690321128</v>
      </c>
      <c r="E131" s="394">
        <f t="shared" si="14"/>
        <v>41.277422669350017</v>
      </c>
      <c r="F131" s="394">
        <f t="shared" si="14"/>
        <v>1237.2373979375416</v>
      </c>
      <c r="G131" s="403">
        <f t="shared" si="14"/>
        <v>3249.7719279375451</v>
      </c>
      <c r="H131" s="404">
        <f t="shared" si="14"/>
        <v>5612.333184437548</v>
      </c>
      <c r="I131" s="394">
        <f t="shared" si="14"/>
        <v>8694.6474828377141</v>
      </c>
      <c r="J131" s="394">
        <f t="shared" si="14"/>
        <v>12652.564604946099</v>
      </c>
      <c r="K131" s="394">
        <f t="shared" si="14"/>
        <v>17429.611093620122</v>
      </c>
      <c r="L131" s="394">
        <f t="shared" si="14"/>
        <v>22866.285714261227</v>
      </c>
    </row>
    <row r="132" spans="1:12" ht="15.75" thickBot="1">
      <c r="A132" s="409" t="s">
        <v>172</v>
      </c>
      <c r="B132" s="295">
        <v>24.25</v>
      </c>
      <c r="C132" s="296">
        <v>24</v>
      </c>
      <c r="D132" s="296">
        <v>26</v>
      </c>
      <c r="E132" s="296">
        <v>28</v>
      </c>
      <c r="F132" s="296">
        <v>30</v>
      </c>
      <c r="G132" s="296">
        <v>34</v>
      </c>
      <c r="H132" s="296">
        <v>38</v>
      </c>
      <c r="I132" s="296">
        <v>42</v>
      </c>
      <c r="J132" s="296">
        <v>44</v>
      </c>
      <c r="K132" s="296">
        <v>46</v>
      </c>
      <c r="L132" s="296">
        <v>48</v>
      </c>
    </row>
    <row r="133" spans="1:12" ht="15.75" thickBot="1">
      <c r="A133" s="410" t="s">
        <v>173</v>
      </c>
      <c r="B133" s="411"/>
      <c r="C133" s="411"/>
      <c r="D133" s="411"/>
      <c r="E133" s="411"/>
      <c r="F133" s="411"/>
      <c r="G133" s="411"/>
      <c r="H133" s="411"/>
      <c r="I133" s="411"/>
      <c r="J133" s="411"/>
      <c r="K133" s="411"/>
      <c r="L133" s="411"/>
    </row>
    <row r="134" spans="1:12" ht="15.75" thickBot="1">
      <c r="A134" s="412" t="s">
        <v>174</v>
      </c>
      <c r="B134" s="413">
        <v>2019</v>
      </c>
      <c r="C134" s="413">
        <v>2020</v>
      </c>
      <c r="D134" s="413">
        <v>2021</v>
      </c>
      <c r="E134" s="414">
        <v>2022</v>
      </c>
      <c r="F134" s="415">
        <v>2023</v>
      </c>
      <c r="G134" s="415">
        <v>2024</v>
      </c>
      <c r="H134" s="415">
        <v>2025</v>
      </c>
      <c r="I134" s="415">
        <v>2026</v>
      </c>
      <c r="J134" s="415">
        <v>2027</v>
      </c>
      <c r="K134" s="415">
        <v>2028</v>
      </c>
      <c r="L134" s="413">
        <v>2029</v>
      </c>
    </row>
    <row r="135" spans="1:12" ht="15.75" thickBot="1">
      <c r="A135" s="409" t="s">
        <v>172</v>
      </c>
      <c r="B135" s="295">
        <v>24.25</v>
      </c>
      <c r="C135" s="296">
        <v>22</v>
      </c>
      <c r="D135" s="296">
        <v>26</v>
      </c>
      <c r="E135" s="296">
        <v>28</v>
      </c>
      <c r="F135" s="296">
        <v>30</v>
      </c>
      <c r="G135" s="296">
        <v>34</v>
      </c>
      <c r="H135" s="296">
        <v>38</v>
      </c>
      <c r="I135" s="296">
        <v>42</v>
      </c>
      <c r="J135" s="296">
        <v>44</v>
      </c>
      <c r="K135" s="296">
        <v>46</v>
      </c>
      <c r="L135" s="296">
        <v>48</v>
      </c>
    </row>
    <row r="137" spans="1:12" ht="15.75" thickBot="1"/>
    <row r="138" spans="1:12" ht="15.75" thickBot="1">
      <c r="A138" s="416" t="s">
        <v>189</v>
      </c>
      <c r="B138" s="417">
        <v>5303</v>
      </c>
      <c r="C138" s="418">
        <f>SUM(B138*1.1)</f>
        <v>5833.3</v>
      </c>
      <c r="D138" s="419">
        <f>SUM(C138*1.1)</f>
        <v>6416.630000000001</v>
      </c>
      <c r="E138" s="418">
        <f>SUM(D138*1.1)</f>
        <v>7058.2930000000015</v>
      </c>
      <c r="F138" s="418">
        <f>SUM(E138*1.1)</f>
        <v>7764.1223000000018</v>
      </c>
      <c r="G138" s="419">
        <f>SUM(F138*1.1)</f>
        <v>8540.5345300000026</v>
      </c>
      <c r="H138" s="420">
        <f>SUM(G138*1.05)</f>
        <v>8967.5612565000029</v>
      </c>
      <c r="I138" s="420">
        <f>SUM(H138*1.05)</f>
        <v>9415.9393193250035</v>
      </c>
      <c r="J138" s="420">
        <f>SUM(I138*1.05)</f>
        <v>9886.7362852912538</v>
      </c>
      <c r="K138" s="420">
        <f>SUM(J138*1.05)</f>
        <v>10381.073099555817</v>
      </c>
      <c r="L138" s="421">
        <f>SUM(K138*1.05)</f>
        <v>10900.126754533609</v>
      </c>
    </row>
    <row r="139" spans="1:12">
      <c r="A139" s="416"/>
      <c r="B139" s="416"/>
      <c r="C139" s="416" t="s">
        <v>190</v>
      </c>
      <c r="D139" s="416" t="s">
        <v>190</v>
      </c>
      <c r="E139" s="416" t="s">
        <v>190</v>
      </c>
      <c r="F139" s="416" t="s">
        <v>190</v>
      </c>
      <c r="G139" s="416" t="s">
        <v>190</v>
      </c>
      <c r="H139" s="416" t="s">
        <v>190</v>
      </c>
      <c r="I139" s="416" t="s">
        <v>191</v>
      </c>
      <c r="J139" s="416" t="s">
        <v>191</v>
      </c>
      <c r="K139" s="416" t="s">
        <v>191</v>
      </c>
      <c r="L139" s="416" t="s">
        <v>191</v>
      </c>
    </row>
    <row r="140" spans="1:12">
      <c r="A140" s="416"/>
      <c r="B140" s="416"/>
      <c r="C140" s="416"/>
      <c r="D140" s="416"/>
      <c r="E140" s="416"/>
      <c r="F140" s="416"/>
      <c r="G140" s="416"/>
      <c r="H140" s="416"/>
      <c r="I140" s="416"/>
      <c r="J140" s="416"/>
      <c r="K140" s="416"/>
      <c r="L140" s="416"/>
    </row>
    <row r="141" spans="1:12" ht="15.75" thickBot="1">
      <c r="A141" s="416"/>
      <c r="B141" s="416"/>
      <c r="C141" s="416"/>
      <c r="D141" s="416"/>
      <c r="E141" s="416"/>
      <c r="F141" s="416"/>
      <c r="G141" s="416"/>
      <c r="H141" s="416"/>
      <c r="I141" s="416"/>
      <c r="J141" s="416"/>
      <c r="K141" s="416"/>
      <c r="L141" s="416"/>
    </row>
    <row r="142" spans="1:12" ht="15.75" thickBot="1">
      <c r="A142" s="416" t="s">
        <v>163</v>
      </c>
      <c r="B142" s="422">
        <v>1760</v>
      </c>
      <c r="C142" s="423">
        <f t="shared" ref="C142:L142" si="15">SUM(C125+C126+C127)</f>
        <v>2790</v>
      </c>
      <c r="D142" s="423">
        <f t="shared" si="15"/>
        <v>3252.3776569032125</v>
      </c>
      <c r="E142" s="423">
        <f t="shared" si="15"/>
        <v>3624.5679204274402</v>
      </c>
      <c r="F142" s="423">
        <f t="shared" si="15"/>
        <v>3918.1623247318103</v>
      </c>
      <c r="G142" s="423">
        <f t="shared" si="15"/>
        <v>4128</v>
      </c>
      <c r="H142" s="423">
        <f t="shared" si="15"/>
        <v>4455</v>
      </c>
      <c r="I142" s="423">
        <f t="shared" si="15"/>
        <v>4733.6250209248374</v>
      </c>
      <c r="J142" s="423">
        <f t="shared" si="15"/>
        <v>4853.8191631828677</v>
      </c>
      <c r="K142" s="423">
        <f t="shared" si="15"/>
        <v>5054.0266108817968</v>
      </c>
      <c r="L142" s="423">
        <f t="shared" si="15"/>
        <v>5438.4521338925042</v>
      </c>
    </row>
  </sheetData>
  <mergeCells count="8">
    <mergeCell ref="A78:L78"/>
    <mergeCell ref="A94:L94"/>
    <mergeCell ref="A1:L1"/>
    <mergeCell ref="A16:L16"/>
    <mergeCell ref="A20:L20"/>
    <mergeCell ref="A35:L35"/>
    <mergeCell ref="A39:L39"/>
    <mergeCell ref="A55:L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9CB7-5FE1-4144-AD5B-A7DF270452BB}">
  <dimension ref="A1:M141"/>
  <sheetViews>
    <sheetView zoomScale="120" zoomScaleNormal="120" workbookViewId="0">
      <selection activeCell="D78" sqref="D78"/>
    </sheetView>
  </sheetViews>
  <sheetFormatPr defaultColWidth="8.85546875" defaultRowHeight="15"/>
  <cols>
    <col min="1" max="1" width="30.7109375" customWidth="1"/>
  </cols>
  <sheetData>
    <row r="1" spans="1:12" ht="15.75" thickBot="1">
      <c r="A1" s="424" t="s">
        <v>192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2" spans="1:12" ht="15.75" thickBot="1">
      <c r="A2" s="350"/>
      <c r="B2" s="350">
        <v>2019</v>
      </c>
      <c r="C2" s="350">
        <v>2020</v>
      </c>
      <c r="D2" s="350">
        <v>2021</v>
      </c>
      <c r="E2" s="350">
        <v>2022</v>
      </c>
      <c r="F2" s="350">
        <v>2023</v>
      </c>
      <c r="G2" s="350">
        <v>2024</v>
      </c>
      <c r="H2" s="350">
        <v>2025</v>
      </c>
      <c r="I2" s="350">
        <v>2026</v>
      </c>
      <c r="J2" s="350">
        <v>2027</v>
      </c>
      <c r="K2" s="350">
        <v>2028</v>
      </c>
      <c r="L2" s="350">
        <v>2029</v>
      </c>
    </row>
    <row r="3" spans="1:12">
      <c r="A3" s="425" t="s">
        <v>160</v>
      </c>
      <c r="B3" s="426">
        <v>2322</v>
      </c>
      <c r="C3" s="427">
        <v>2539</v>
      </c>
      <c r="D3" s="427">
        <v>2935</v>
      </c>
      <c r="E3" s="427">
        <v>2973</v>
      </c>
      <c r="F3" s="427">
        <v>2982</v>
      </c>
      <c r="G3" s="427">
        <v>3661</v>
      </c>
      <c r="H3" s="427">
        <v>4707</v>
      </c>
      <c r="I3" s="427">
        <v>6035</v>
      </c>
      <c r="J3" s="427">
        <v>7243</v>
      </c>
      <c r="K3" s="427">
        <v>7974</v>
      </c>
      <c r="L3" s="428">
        <v>8840</v>
      </c>
    </row>
    <row r="4" spans="1:12">
      <c r="A4" s="407" t="s">
        <v>161</v>
      </c>
      <c r="B4" s="314">
        <v>24259</v>
      </c>
      <c r="C4" s="322">
        <v>23936</v>
      </c>
      <c r="D4" s="322">
        <v>23602</v>
      </c>
      <c r="E4" s="322">
        <v>23471</v>
      </c>
      <c r="F4" s="322">
        <v>23887</v>
      </c>
      <c r="G4" s="322">
        <v>23471</v>
      </c>
      <c r="H4" s="322">
        <v>23528</v>
      </c>
      <c r="I4" s="322">
        <v>23603</v>
      </c>
      <c r="J4" s="322">
        <v>23527</v>
      </c>
      <c r="K4" s="322">
        <v>23759</v>
      </c>
      <c r="L4" s="319">
        <v>23849</v>
      </c>
    </row>
    <row r="5" spans="1:12">
      <c r="A5" s="407" t="s">
        <v>162</v>
      </c>
      <c r="B5" s="317">
        <v>338</v>
      </c>
      <c r="C5" s="318">
        <v>450</v>
      </c>
      <c r="D5" s="318">
        <v>450</v>
      </c>
      <c r="E5" s="318">
        <v>450</v>
      </c>
      <c r="F5" s="318">
        <v>450</v>
      </c>
      <c r="G5" s="318">
        <v>450</v>
      </c>
      <c r="H5" s="318">
        <v>450</v>
      </c>
      <c r="I5" s="318">
        <v>450</v>
      </c>
      <c r="J5" s="318">
        <v>450</v>
      </c>
      <c r="K5" s="318">
        <v>450</v>
      </c>
      <c r="L5" s="373">
        <v>450</v>
      </c>
    </row>
    <row r="6" spans="1:12">
      <c r="A6" s="429" t="s">
        <v>180</v>
      </c>
      <c r="B6" s="321">
        <v>26919</v>
      </c>
      <c r="C6" s="321">
        <v>26925</v>
      </c>
      <c r="D6" s="321">
        <v>26987</v>
      </c>
      <c r="E6" s="321">
        <v>26893</v>
      </c>
      <c r="F6" s="321">
        <v>27319</v>
      </c>
      <c r="G6" s="321">
        <v>27582</v>
      </c>
      <c r="H6" s="321">
        <v>28685</v>
      </c>
      <c r="I6" s="321">
        <v>30088</v>
      </c>
      <c r="J6" s="321">
        <v>31219</v>
      </c>
      <c r="K6" s="321">
        <v>32183</v>
      </c>
      <c r="L6" s="430">
        <v>33139</v>
      </c>
    </row>
    <row r="7" spans="1:12" ht="9" customHeight="1">
      <c r="A7" s="407"/>
      <c r="B7" s="314"/>
      <c r="C7" s="322"/>
      <c r="D7" s="322"/>
      <c r="E7" s="322"/>
      <c r="F7" s="322"/>
      <c r="G7" s="322"/>
      <c r="H7" s="322"/>
      <c r="I7" s="322"/>
      <c r="J7" s="322"/>
      <c r="K7" s="322"/>
      <c r="L7" s="319"/>
    </row>
    <row r="8" spans="1:12">
      <c r="A8" s="407" t="s">
        <v>163</v>
      </c>
      <c r="B8" s="314">
        <v>7506</v>
      </c>
      <c r="C8" s="322">
        <v>7543</v>
      </c>
      <c r="D8" s="322">
        <v>7880</v>
      </c>
      <c r="E8" s="322">
        <v>8277</v>
      </c>
      <c r="F8" s="322">
        <v>8702</v>
      </c>
      <c r="G8" s="322">
        <v>8981</v>
      </c>
      <c r="H8" s="322">
        <v>9150</v>
      </c>
      <c r="I8" s="322">
        <v>9346</v>
      </c>
      <c r="J8" s="322">
        <v>9745</v>
      </c>
      <c r="K8" s="322">
        <v>9842</v>
      </c>
      <c r="L8" s="319">
        <v>8770</v>
      </c>
    </row>
    <row r="9" spans="1:12">
      <c r="A9" s="431" t="s">
        <v>193</v>
      </c>
      <c r="B9" s="314">
        <v>7369</v>
      </c>
      <c r="C9" s="322">
        <v>7153</v>
      </c>
      <c r="D9" s="322">
        <v>7185</v>
      </c>
      <c r="E9" s="322">
        <v>7139</v>
      </c>
      <c r="F9" s="322">
        <v>7086</v>
      </c>
      <c r="G9" s="322">
        <v>6860</v>
      </c>
      <c r="H9" s="322">
        <v>6591</v>
      </c>
      <c r="I9" s="322">
        <v>6347</v>
      </c>
      <c r="J9" s="322">
        <v>6287</v>
      </c>
      <c r="K9" s="322">
        <v>5658</v>
      </c>
      <c r="L9" s="319">
        <v>3303</v>
      </c>
    </row>
    <row r="10" spans="1:12">
      <c r="A10" s="431" t="s">
        <v>165</v>
      </c>
      <c r="B10" s="326">
        <v>137</v>
      </c>
      <c r="C10" s="329">
        <v>390</v>
      </c>
      <c r="D10" s="329">
        <v>695</v>
      </c>
      <c r="E10" s="322">
        <v>1137</v>
      </c>
      <c r="F10" s="322">
        <v>1617</v>
      </c>
      <c r="G10" s="322">
        <v>2121</v>
      </c>
      <c r="H10" s="322">
        <v>2558</v>
      </c>
      <c r="I10" s="322">
        <v>2999</v>
      </c>
      <c r="J10" s="322">
        <v>3458</v>
      </c>
      <c r="K10" s="322">
        <v>4184</v>
      </c>
      <c r="L10" s="319">
        <v>5467</v>
      </c>
    </row>
    <row r="11" spans="1:12">
      <c r="A11" s="407" t="s">
        <v>166</v>
      </c>
      <c r="B11" s="314">
        <v>14125</v>
      </c>
      <c r="C11" s="322">
        <v>13750</v>
      </c>
      <c r="D11" s="322">
        <v>13687</v>
      </c>
      <c r="E11" s="322">
        <v>13437</v>
      </c>
      <c r="F11" s="322">
        <v>13062</v>
      </c>
      <c r="G11" s="322">
        <v>12500</v>
      </c>
      <c r="H11" s="322">
        <v>12500</v>
      </c>
      <c r="I11" s="322">
        <v>12500</v>
      </c>
      <c r="J11" s="322">
        <v>12500</v>
      </c>
      <c r="K11" s="322">
        <v>12500</v>
      </c>
      <c r="L11" s="319">
        <v>12500</v>
      </c>
    </row>
    <row r="12" spans="1:12">
      <c r="A12" s="407" t="s">
        <v>167</v>
      </c>
      <c r="B12" s="432">
        <v>2750</v>
      </c>
      <c r="C12" s="433">
        <v>2697</v>
      </c>
      <c r="D12" s="433">
        <v>2447</v>
      </c>
      <c r="E12" s="433">
        <v>2197</v>
      </c>
      <c r="F12" s="433">
        <v>1894</v>
      </c>
      <c r="G12" s="433">
        <v>1394</v>
      </c>
      <c r="H12" s="433">
        <v>1000</v>
      </c>
      <c r="I12" s="433">
        <v>1000</v>
      </c>
      <c r="J12" s="433">
        <v>1000</v>
      </c>
      <c r="K12" s="433">
        <v>1000</v>
      </c>
      <c r="L12" s="434">
        <v>1000</v>
      </c>
    </row>
    <row r="13" spans="1:12">
      <c r="A13" s="429" t="s">
        <v>168</v>
      </c>
      <c r="B13" s="321">
        <v>24381</v>
      </c>
      <c r="C13" s="321">
        <v>23990</v>
      </c>
      <c r="D13" s="321">
        <v>24014</v>
      </c>
      <c r="E13" s="321">
        <v>23911</v>
      </c>
      <c r="F13" s="321">
        <v>23658</v>
      </c>
      <c r="G13" s="321">
        <v>22875</v>
      </c>
      <c r="H13" s="321">
        <v>22650</v>
      </c>
      <c r="I13" s="321">
        <v>22846</v>
      </c>
      <c r="J13" s="321">
        <v>23245</v>
      </c>
      <c r="K13" s="321">
        <v>23342</v>
      </c>
      <c r="L13" s="430">
        <v>22270</v>
      </c>
    </row>
    <row r="14" spans="1:12" ht="17.100000000000001" customHeight="1" thickBot="1">
      <c r="A14" s="407" t="s">
        <v>169</v>
      </c>
      <c r="B14" s="435">
        <v>2539</v>
      </c>
      <c r="C14" s="436">
        <v>2935</v>
      </c>
      <c r="D14" s="436">
        <v>2973</v>
      </c>
      <c r="E14" s="436">
        <v>2982</v>
      </c>
      <c r="F14" s="436">
        <v>3661</v>
      </c>
      <c r="G14" s="437">
        <v>4707</v>
      </c>
      <c r="H14" s="437">
        <v>6035</v>
      </c>
      <c r="I14" s="437">
        <v>7243</v>
      </c>
      <c r="J14" s="436">
        <v>7974</v>
      </c>
      <c r="K14" s="436">
        <v>8840</v>
      </c>
      <c r="L14" s="436">
        <v>10869</v>
      </c>
    </row>
    <row r="15" spans="1:12" ht="15.75" thickBot="1">
      <c r="A15" s="333" t="s">
        <v>172</v>
      </c>
      <c r="B15" s="295">
        <v>30.5</v>
      </c>
      <c r="C15" s="296">
        <v>30.2</v>
      </c>
      <c r="D15" s="296">
        <v>34.700000000000003</v>
      </c>
      <c r="E15" s="296">
        <v>37</v>
      </c>
      <c r="F15" s="296">
        <v>38.299999999999997</v>
      </c>
      <c r="G15" s="296">
        <v>36</v>
      </c>
      <c r="H15" s="296">
        <v>38.300000000000004</v>
      </c>
      <c r="I15" s="296">
        <v>38.1</v>
      </c>
      <c r="J15" s="296">
        <v>37.6</v>
      </c>
      <c r="K15" s="296">
        <v>36.9</v>
      </c>
      <c r="L15" s="296">
        <v>38.200000000000003</v>
      </c>
    </row>
    <row r="16" spans="1:12" ht="15.75" thickBot="1">
      <c r="A16" s="438" t="s">
        <v>173</v>
      </c>
      <c r="B16" s="439"/>
      <c r="C16" s="439"/>
      <c r="D16" s="440"/>
      <c r="E16" s="439"/>
      <c r="F16" s="440"/>
      <c r="G16" s="439"/>
      <c r="H16" s="439"/>
      <c r="I16" s="439"/>
      <c r="J16" s="439"/>
      <c r="K16" s="439"/>
      <c r="L16" s="439"/>
    </row>
    <row r="17" spans="1:12" ht="15.75" thickBot="1">
      <c r="A17" s="441" t="s">
        <v>174</v>
      </c>
      <c r="B17" s="364">
        <v>2019</v>
      </c>
      <c r="C17" s="364">
        <v>2020</v>
      </c>
      <c r="D17" s="364">
        <v>2021</v>
      </c>
      <c r="E17" s="364">
        <v>2022</v>
      </c>
      <c r="F17" s="364">
        <v>2023</v>
      </c>
      <c r="G17" s="364">
        <v>2024</v>
      </c>
      <c r="H17" s="364">
        <v>2025</v>
      </c>
      <c r="I17" s="364">
        <v>2026</v>
      </c>
      <c r="J17" s="364">
        <v>2027</v>
      </c>
      <c r="K17" s="364">
        <v>2028</v>
      </c>
      <c r="L17" s="381">
        <v>2029</v>
      </c>
    </row>
    <row r="18" spans="1:12" ht="15.75" thickBot="1">
      <c r="A18" s="342" t="s">
        <v>172</v>
      </c>
      <c r="B18" s="296">
        <v>30.5</v>
      </c>
      <c r="C18" s="296">
        <v>27</v>
      </c>
      <c r="D18" s="296">
        <v>29</v>
      </c>
      <c r="E18" s="296">
        <v>32</v>
      </c>
      <c r="F18" s="296">
        <v>35</v>
      </c>
      <c r="G18" s="296">
        <v>34</v>
      </c>
      <c r="H18" s="296">
        <v>36</v>
      </c>
      <c r="I18" s="296">
        <v>38.1</v>
      </c>
      <c r="J18" s="296">
        <v>37.6</v>
      </c>
      <c r="K18" s="442">
        <v>36.9</v>
      </c>
      <c r="L18" s="442">
        <v>38.200000000000003</v>
      </c>
    </row>
    <row r="19" spans="1:12">
      <c r="A19" s="443"/>
      <c r="B19" s="443"/>
      <c r="C19" s="443"/>
      <c r="D19" s="443"/>
      <c r="E19" s="443"/>
      <c r="F19" s="443"/>
      <c r="G19" s="443"/>
      <c r="H19" s="443"/>
      <c r="I19" s="443"/>
      <c r="J19" s="443"/>
      <c r="K19" s="443"/>
      <c r="L19" s="443"/>
    </row>
    <row r="20" spans="1:12" ht="15.75" thickBot="1">
      <c r="A20" s="424" t="s">
        <v>194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</row>
    <row r="21" spans="1:12" ht="15.75" thickBot="1">
      <c r="A21" s="350"/>
      <c r="B21" s="350">
        <v>2019</v>
      </c>
      <c r="C21" s="350">
        <v>2020</v>
      </c>
      <c r="D21" s="350">
        <v>2021</v>
      </c>
      <c r="E21" s="350">
        <v>2022</v>
      </c>
      <c r="F21" s="350">
        <v>2023</v>
      </c>
      <c r="G21" s="350">
        <v>2024</v>
      </c>
      <c r="H21" s="350">
        <v>2025</v>
      </c>
      <c r="I21" s="350">
        <v>2026</v>
      </c>
      <c r="J21" s="350">
        <v>2027</v>
      </c>
      <c r="K21" s="350">
        <v>2028</v>
      </c>
      <c r="L21" s="350">
        <v>2029</v>
      </c>
    </row>
    <row r="22" spans="1:12">
      <c r="A22" s="425" t="s">
        <v>160</v>
      </c>
      <c r="B22" s="444">
        <v>209</v>
      </c>
      <c r="C22" s="445">
        <f t="shared" ref="C22:L22" si="0">B33</f>
        <v>377.25166066416477</v>
      </c>
      <c r="D22" s="446">
        <f t="shared" si="0"/>
        <v>666.53019817056702</v>
      </c>
      <c r="E22" s="445">
        <f t="shared" si="0"/>
        <v>721.61099980223662</v>
      </c>
      <c r="F22" s="445">
        <f t="shared" si="0"/>
        <v>924.23380626694325</v>
      </c>
      <c r="G22" s="445">
        <f t="shared" si="0"/>
        <v>1328.6255693441317</v>
      </c>
      <c r="H22" s="445">
        <f t="shared" si="0"/>
        <v>1394.4545607801565</v>
      </c>
      <c r="I22" s="445">
        <f t="shared" si="0"/>
        <v>1738.0169312365051</v>
      </c>
      <c r="J22" s="445">
        <f t="shared" si="0"/>
        <v>1813.7931023446135</v>
      </c>
      <c r="K22" s="445">
        <f t="shared" si="0"/>
        <v>1752.7864116903665</v>
      </c>
      <c r="L22" s="447">
        <f t="shared" si="0"/>
        <v>1411.5818379084767</v>
      </c>
    </row>
    <row r="23" spans="1:12">
      <c r="A23" s="407" t="s">
        <v>161</v>
      </c>
      <c r="B23" s="314">
        <v>1548</v>
      </c>
      <c r="C23" s="315">
        <v>1804.9932418267729</v>
      </c>
      <c r="D23" s="315">
        <v>1866.9849592901987</v>
      </c>
      <c r="E23" s="315">
        <v>1841.4905410064468</v>
      </c>
      <c r="F23" s="315">
        <v>1849.0060924403899</v>
      </c>
      <c r="G23" s="315">
        <v>1784.0806521001889</v>
      </c>
      <c r="H23" s="315">
        <v>1881.9633467679753</v>
      </c>
      <c r="I23" s="315">
        <v>1859.0030181662016</v>
      </c>
      <c r="J23" s="315">
        <v>1855.0668313926785</v>
      </c>
      <c r="K23" s="315">
        <v>1850.8479710307192</v>
      </c>
      <c r="L23" s="448">
        <v>1844.9148323067304</v>
      </c>
    </row>
    <row r="24" spans="1:12">
      <c r="A24" s="407" t="s">
        <v>162</v>
      </c>
      <c r="B24" s="317">
        <v>3965</v>
      </c>
      <c r="C24" s="315">
        <v>4578.2852956796296</v>
      </c>
      <c r="D24" s="315">
        <v>4802.0958423414704</v>
      </c>
      <c r="E24" s="315">
        <v>5053.6355867865896</v>
      </c>
      <c r="F24" s="315">
        <v>5249.3856706367997</v>
      </c>
      <c r="G24" s="315">
        <v>5496</v>
      </c>
      <c r="H24" s="315">
        <v>5693.8506843525365</v>
      </c>
      <c r="I24" s="315">
        <v>5500.7731529419061</v>
      </c>
      <c r="J24" s="315">
        <v>5562.9264779530731</v>
      </c>
      <c r="K24" s="315">
        <v>5452.94745518739</v>
      </c>
      <c r="L24" s="448">
        <v>5308.9385930204598</v>
      </c>
    </row>
    <row r="25" spans="1:12">
      <c r="A25" s="429" t="s">
        <v>180</v>
      </c>
      <c r="B25" s="321">
        <f>SUM(B22:B24)</f>
        <v>5722</v>
      </c>
      <c r="C25" s="321">
        <f t="shared" ref="C25:L25" si="1">SUM(C22:C24)</f>
        <v>6760.530198170567</v>
      </c>
      <c r="D25" s="321">
        <f t="shared" si="1"/>
        <v>7335.6109998022366</v>
      </c>
      <c r="E25" s="321">
        <f t="shared" si="1"/>
        <v>7616.7371275952728</v>
      </c>
      <c r="F25" s="321">
        <f t="shared" si="1"/>
        <v>8022.6255693441326</v>
      </c>
      <c r="G25" s="321">
        <f t="shared" si="1"/>
        <v>8608.7062214443213</v>
      </c>
      <c r="H25" s="321">
        <f t="shared" si="1"/>
        <v>8970.268591900669</v>
      </c>
      <c r="I25" s="321">
        <f t="shared" si="1"/>
        <v>9097.7931023446126</v>
      </c>
      <c r="J25" s="321">
        <f t="shared" si="1"/>
        <v>9231.7864116903656</v>
      </c>
      <c r="K25" s="321">
        <f t="shared" si="1"/>
        <v>9056.5818379084758</v>
      </c>
      <c r="L25" s="449">
        <f t="shared" si="1"/>
        <v>8565.4352632356677</v>
      </c>
    </row>
    <row r="26" spans="1:12" ht="9" customHeight="1">
      <c r="A26" s="407"/>
      <c r="B26" s="314"/>
      <c r="C26" s="322"/>
      <c r="D26" s="322"/>
      <c r="E26" s="322"/>
      <c r="F26" s="322"/>
      <c r="G26" s="322"/>
      <c r="H26" s="322"/>
      <c r="I26" s="322"/>
      <c r="J26" s="322"/>
      <c r="K26" s="322"/>
      <c r="L26" s="450"/>
    </row>
    <row r="27" spans="1:12">
      <c r="A27" s="407" t="s">
        <v>163</v>
      </c>
      <c r="B27" s="314">
        <f>SUM(B28+B29)</f>
        <v>604</v>
      </c>
      <c r="C27" s="451">
        <f t="shared" ref="C27:L27" si="2">SUM(C28+C29)</f>
        <v>849</v>
      </c>
      <c r="D27" s="451">
        <f t="shared" si="2"/>
        <v>1340</v>
      </c>
      <c r="E27" s="451">
        <f t="shared" si="2"/>
        <v>1506</v>
      </c>
      <c r="F27" s="451">
        <f t="shared" si="2"/>
        <v>1684</v>
      </c>
      <c r="G27" s="451">
        <f t="shared" si="2"/>
        <v>2266</v>
      </c>
      <c r="H27" s="451">
        <f t="shared" si="2"/>
        <v>2534</v>
      </c>
      <c r="I27" s="451">
        <f t="shared" si="2"/>
        <v>2779</v>
      </c>
      <c r="J27" s="451">
        <f t="shared" si="2"/>
        <v>2974</v>
      </c>
      <c r="K27" s="451">
        <f t="shared" si="2"/>
        <v>3140</v>
      </c>
      <c r="L27" s="452">
        <f t="shared" si="2"/>
        <v>3335</v>
      </c>
    </row>
    <row r="28" spans="1:12">
      <c r="A28" s="431" t="s">
        <v>193</v>
      </c>
      <c r="B28" s="326">
        <v>589</v>
      </c>
      <c r="C28" s="329">
        <v>814</v>
      </c>
      <c r="D28" s="322">
        <v>1242</v>
      </c>
      <c r="E28" s="322">
        <v>1359</v>
      </c>
      <c r="F28" s="322">
        <v>1428</v>
      </c>
      <c r="G28" s="322">
        <v>1521</v>
      </c>
      <c r="H28" s="322">
        <v>1649</v>
      </c>
      <c r="I28" s="322">
        <v>1758</v>
      </c>
      <c r="J28" s="322">
        <v>1885</v>
      </c>
      <c r="K28" s="322">
        <v>1955</v>
      </c>
      <c r="L28" s="450">
        <v>2132</v>
      </c>
    </row>
    <row r="29" spans="1:12">
      <c r="A29" s="431" t="s">
        <v>165</v>
      </c>
      <c r="B29" s="326">
        <v>15</v>
      </c>
      <c r="C29" s="329">
        <v>35</v>
      </c>
      <c r="D29" s="329">
        <v>98</v>
      </c>
      <c r="E29" s="329">
        <v>147</v>
      </c>
      <c r="F29" s="329">
        <v>256</v>
      </c>
      <c r="G29" s="329">
        <v>745</v>
      </c>
      <c r="H29" s="329">
        <v>885</v>
      </c>
      <c r="I29" s="329">
        <v>1021</v>
      </c>
      <c r="J29" s="329">
        <v>1089</v>
      </c>
      <c r="K29" s="329">
        <v>1185</v>
      </c>
      <c r="L29" s="450">
        <v>1203</v>
      </c>
    </row>
    <row r="30" spans="1:12">
      <c r="A30" s="407" t="s">
        <v>166</v>
      </c>
      <c r="B30" s="453">
        <v>4561.7483393358352</v>
      </c>
      <c r="C30" s="315">
        <v>4876</v>
      </c>
      <c r="D30" s="315">
        <v>5195</v>
      </c>
      <c r="E30" s="315">
        <v>5176.5033213283295</v>
      </c>
      <c r="F30" s="315">
        <v>5000.0000000000009</v>
      </c>
      <c r="G30" s="315">
        <v>4938.2516606641648</v>
      </c>
      <c r="H30" s="315">
        <v>4688.2516606641639</v>
      </c>
      <c r="I30" s="315">
        <v>4499.9999999999991</v>
      </c>
      <c r="J30" s="315">
        <v>4499.9999999999991</v>
      </c>
      <c r="K30" s="315">
        <v>4499.9999999999991</v>
      </c>
      <c r="L30" s="448">
        <v>4499.9999999999991</v>
      </c>
    </row>
    <row r="31" spans="1:12">
      <c r="A31" s="407" t="s">
        <v>167</v>
      </c>
      <c r="B31" s="317">
        <v>179</v>
      </c>
      <c r="C31" s="454">
        <v>369</v>
      </c>
      <c r="D31" s="454">
        <v>79</v>
      </c>
      <c r="E31" s="454">
        <v>10</v>
      </c>
      <c r="F31" s="455">
        <v>10</v>
      </c>
      <c r="G31" s="454">
        <v>10</v>
      </c>
      <c r="H31" s="454">
        <v>10</v>
      </c>
      <c r="I31" s="454">
        <v>5</v>
      </c>
      <c r="J31" s="455">
        <v>5</v>
      </c>
      <c r="K31" s="454">
        <v>5</v>
      </c>
      <c r="L31" s="456">
        <v>5</v>
      </c>
    </row>
    <row r="32" spans="1:12">
      <c r="A32" s="429" t="s">
        <v>181</v>
      </c>
      <c r="B32" s="321">
        <f t="shared" ref="B32:L32" si="3">SUM(B28:B31)</f>
        <v>5344.7483393358352</v>
      </c>
      <c r="C32" s="457">
        <f t="shared" si="3"/>
        <v>6094</v>
      </c>
      <c r="D32" s="457">
        <f t="shared" si="3"/>
        <v>6614</v>
      </c>
      <c r="E32" s="457">
        <f t="shared" si="3"/>
        <v>6692.5033213283295</v>
      </c>
      <c r="F32" s="458">
        <f t="shared" si="3"/>
        <v>6694.0000000000009</v>
      </c>
      <c r="G32" s="457">
        <f t="shared" si="3"/>
        <v>7214.2516606641648</v>
      </c>
      <c r="H32" s="458">
        <f t="shared" si="3"/>
        <v>7232.2516606641639</v>
      </c>
      <c r="I32" s="458">
        <f t="shared" si="3"/>
        <v>7283.9999999999991</v>
      </c>
      <c r="J32" s="459">
        <f t="shared" si="3"/>
        <v>7478.9999999999991</v>
      </c>
      <c r="K32" s="458">
        <f t="shared" si="3"/>
        <v>7644.9999999999991</v>
      </c>
      <c r="L32" s="458">
        <f t="shared" si="3"/>
        <v>7839.9999999999991</v>
      </c>
    </row>
    <row r="33" spans="1:13" ht="15.75" thickBot="1">
      <c r="A33" s="407" t="s">
        <v>169</v>
      </c>
      <c r="B33" s="460">
        <f t="shared" ref="B33:L33" si="4">SUM(B25-B32)</f>
        <v>377.25166066416477</v>
      </c>
      <c r="C33" s="461">
        <f t="shared" si="4"/>
        <v>666.53019817056702</v>
      </c>
      <c r="D33" s="461">
        <f t="shared" si="4"/>
        <v>721.61099980223662</v>
      </c>
      <c r="E33" s="461">
        <f t="shared" si="4"/>
        <v>924.23380626694325</v>
      </c>
      <c r="F33" s="461">
        <f t="shared" si="4"/>
        <v>1328.6255693441317</v>
      </c>
      <c r="G33" s="461">
        <f t="shared" si="4"/>
        <v>1394.4545607801565</v>
      </c>
      <c r="H33" s="462">
        <f t="shared" si="4"/>
        <v>1738.0169312365051</v>
      </c>
      <c r="I33" s="462">
        <f t="shared" si="4"/>
        <v>1813.7931023446135</v>
      </c>
      <c r="J33" s="463">
        <f t="shared" si="4"/>
        <v>1752.7864116903665</v>
      </c>
      <c r="K33" s="462">
        <f t="shared" si="4"/>
        <v>1411.5818379084767</v>
      </c>
      <c r="L33" s="462">
        <f t="shared" si="4"/>
        <v>725.43526323566857</v>
      </c>
    </row>
    <row r="34" spans="1:13" ht="15.75" thickBot="1">
      <c r="A34" s="333" t="s">
        <v>172</v>
      </c>
      <c r="B34" s="295">
        <v>33</v>
      </c>
      <c r="C34" s="296">
        <v>35.5</v>
      </c>
      <c r="D34" s="296">
        <v>39.700000000000003</v>
      </c>
      <c r="E34" s="296">
        <v>42</v>
      </c>
      <c r="F34" s="296">
        <v>43.3</v>
      </c>
      <c r="G34" s="296">
        <v>40</v>
      </c>
      <c r="H34" s="296">
        <v>40.300000000000004</v>
      </c>
      <c r="I34" s="296">
        <v>41.6</v>
      </c>
      <c r="J34" s="296">
        <v>40.6</v>
      </c>
      <c r="K34" s="296">
        <v>41.5</v>
      </c>
      <c r="L34" s="296">
        <v>40.800000000000004</v>
      </c>
    </row>
    <row r="35" spans="1:13" ht="15.75" thickBot="1">
      <c r="A35" s="464" t="s">
        <v>173</v>
      </c>
      <c r="B35" s="465"/>
      <c r="C35" s="466"/>
      <c r="D35" s="466"/>
      <c r="E35" s="466"/>
      <c r="F35" s="466"/>
      <c r="G35" s="466"/>
      <c r="H35" s="439"/>
      <c r="I35" s="439"/>
      <c r="J35" s="439"/>
      <c r="K35" s="439"/>
      <c r="L35" s="439"/>
    </row>
    <row r="36" spans="1:13" ht="15.75" thickBot="1">
      <c r="A36" s="362" t="s">
        <v>174</v>
      </c>
      <c r="B36" s="467">
        <v>2019</v>
      </c>
      <c r="C36" s="364">
        <v>2020</v>
      </c>
      <c r="D36" s="364">
        <v>2021</v>
      </c>
      <c r="E36" s="364">
        <v>2022</v>
      </c>
      <c r="F36" s="364">
        <v>2023</v>
      </c>
      <c r="G36" s="364">
        <v>2024</v>
      </c>
      <c r="H36" s="364">
        <v>2025</v>
      </c>
      <c r="I36" s="364">
        <v>2026</v>
      </c>
      <c r="J36" s="364">
        <v>2027</v>
      </c>
      <c r="K36" s="364">
        <v>2028</v>
      </c>
      <c r="L36" s="381">
        <v>2029</v>
      </c>
    </row>
    <row r="37" spans="1:13" ht="15.75" thickBot="1">
      <c r="A37" s="333" t="s">
        <v>172</v>
      </c>
      <c r="B37" s="295">
        <v>33</v>
      </c>
      <c r="C37" s="296">
        <v>30.8</v>
      </c>
      <c r="D37" s="296">
        <v>34</v>
      </c>
      <c r="E37" s="296">
        <v>38.9</v>
      </c>
      <c r="F37" s="296">
        <v>40.400000000000006</v>
      </c>
      <c r="G37" s="296">
        <v>36.1</v>
      </c>
      <c r="H37" s="296">
        <v>34</v>
      </c>
      <c r="I37" s="296">
        <v>34.300000000000004</v>
      </c>
      <c r="J37" s="296">
        <v>33.6</v>
      </c>
      <c r="K37" s="296">
        <v>34.800000000000004</v>
      </c>
      <c r="L37" s="296">
        <v>32.5</v>
      </c>
    </row>
    <row r="38" spans="1:13">
      <c r="A38" s="468"/>
      <c r="B38" s="469"/>
      <c r="C38" s="469"/>
      <c r="D38" s="469"/>
      <c r="E38" s="469"/>
      <c r="F38" s="469"/>
      <c r="G38" s="469"/>
      <c r="H38" s="469"/>
      <c r="I38" s="469"/>
      <c r="J38" s="469"/>
      <c r="K38" s="469"/>
      <c r="L38" s="469"/>
    </row>
    <row r="39" spans="1:13" ht="15.75" thickBot="1">
      <c r="A39" s="348" t="s">
        <v>195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</row>
    <row r="40" spans="1:13" ht="15.75" thickBot="1">
      <c r="A40" s="470"/>
      <c r="B40" s="471">
        <v>2019</v>
      </c>
      <c r="C40" s="471">
        <v>2020</v>
      </c>
      <c r="D40" s="471">
        <v>2021</v>
      </c>
      <c r="E40" s="350">
        <v>2022</v>
      </c>
      <c r="F40" s="472">
        <v>2023</v>
      </c>
      <c r="G40" s="471">
        <v>2024</v>
      </c>
      <c r="H40" s="473">
        <v>2025</v>
      </c>
      <c r="I40" s="350">
        <v>2026</v>
      </c>
      <c r="J40" s="472">
        <v>2027</v>
      </c>
      <c r="K40" s="471">
        <v>2028</v>
      </c>
      <c r="L40" s="474">
        <v>2029</v>
      </c>
    </row>
    <row r="41" spans="1:13">
      <c r="A41" s="425" t="s">
        <v>160</v>
      </c>
      <c r="B41" s="444">
        <v>3271</v>
      </c>
      <c r="C41" s="445">
        <f>B53</f>
        <v>2316</v>
      </c>
      <c r="D41" s="447">
        <f t="shared" ref="D41:L41" si="5">C53</f>
        <v>1731.3359999999993</v>
      </c>
      <c r="E41" s="445">
        <f t="shared" si="5"/>
        <v>1153.9009999999989</v>
      </c>
      <c r="F41" s="445">
        <f t="shared" si="5"/>
        <v>489.90099999999893</v>
      </c>
      <c r="G41" s="445">
        <f t="shared" si="5"/>
        <v>255.90099999999893</v>
      </c>
      <c r="H41" s="445">
        <f t="shared" si="5"/>
        <v>-146.09900000000107</v>
      </c>
      <c r="I41" s="475">
        <f t="shared" si="5"/>
        <v>-585.09900000000107</v>
      </c>
      <c r="J41" s="476">
        <f t="shared" si="5"/>
        <v>-771.09900000000107</v>
      </c>
      <c r="K41" s="476">
        <f t="shared" si="5"/>
        <v>-1045.0990000000011</v>
      </c>
      <c r="L41" s="475">
        <f t="shared" si="5"/>
        <v>-1186.0990000000011</v>
      </c>
      <c r="M41" s="477"/>
    </row>
    <row r="42" spans="1:13">
      <c r="A42" s="407" t="s">
        <v>161</v>
      </c>
      <c r="B42" s="314">
        <v>5146</v>
      </c>
      <c r="C42" s="315">
        <v>5080.3359999999993</v>
      </c>
      <c r="D42" s="448">
        <v>5147.5649999999996</v>
      </c>
      <c r="E42" s="315">
        <v>5247</v>
      </c>
      <c r="F42" s="315">
        <v>5399</v>
      </c>
      <c r="G42" s="315">
        <v>5467</v>
      </c>
      <c r="H42" s="315">
        <v>5581</v>
      </c>
      <c r="I42" s="315">
        <v>5692</v>
      </c>
      <c r="J42" s="315">
        <v>5739</v>
      </c>
      <c r="K42" s="315">
        <v>5821</v>
      </c>
      <c r="L42" s="315">
        <v>5944</v>
      </c>
    </row>
    <row r="43" spans="1:13">
      <c r="A43" s="407" t="s">
        <v>162</v>
      </c>
      <c r="B43" s="317">
        <v>15</v>
      </c>
      <c r="C43" s="318">
        <v>28</v>
      </c>
      <c r="D43" s="478">
        <v>58</v>
      </c>
      <c r="E43" s="318">
        <v>158</v>
      </c>
      <c r="F43" s="318">
        <v>275</v>
      </c>
      <c r="G43" s="318">
        <v>300</v>
      </c>
      <c r="H43" s="318">
        <v>325</v>
      </c>
      <c r="I43" s="318">
        <v>350</v>
      </c>
      <c r="J43" s="318">
        <v>500</v>
      </c>
      <c r="K43" s="318">
        <v>650</v>
      </c>
      <c r="L43" s="319">
        <v>800</v>
      </c>
    </row>
    <row r="44" spans="1:13">
      <c r="A44" s="429" t="s">
        <v>180</v>
      </c>
      <c r="B44" s="321">
        <f>SUM(B41:B43)</f>
        <v>8432</v>
      </c>
      <c r="C44" s="321">
        <f t="shared" ref="C44:L44" si="6">SUM(C41:C43)</f>
        <v>7424.3359999999993</v>
      </c>
      <c r="D44" s="449">
        <f t="shared" si="6"/>
        <v>6936.9009999999989</v>
      </c>
      <c r="E44" s="321">
        <f t="shared" si="6"/>
        <v>6558.9009999999989</v>
      </c>
      <c r="F44" s="321">
        <f t="shared" si="6"/>
        <v>6163.9009999999989</v>
      </c>
      <c r="G44" s="321">
        <f t="shared" si="6"/>
        <v>6022.9009999999989</v>
      </c>
      <c r="H44" s="321">
        <f t="shared" si="6"/>
        <v>5759.9009999999989</v>
      </c>
      <c r="I44" s="321">
        <f t="shared" si="6"/>
        <v>5456.9009999999989</v>
      </c>
      <c r="J44" s="321">
        <f t="shared" si="6"/>
        <v>5467.9009999999989</v>
      </c>
      <c r="K44" s="321">
        <f t="shared" si="6"/>
        <v>5425.9009999999989</v>
      </c>
      <c r="L44" s="321">
        <f t="shared" si="6"/>
        <v>5557.9009999999989</v>
      </c>
    </row>
    <row r="45" spans="1:13" ht="8.1" customHeight="1">
      <c r="A45" s="407"/>
      <c r="B45" s="314"/>
      <c r="C45" s="322"/>
      <c r="D45" s="479"/>
      <c r="E45" s="322"/>
      <c r="F45" s="322"/>
      <c r="G45" s="322"/>
      <c r="H45" s="322"/>
      <c r="I45" s="322"/>
      <c r="J45" s="322"/>
      <c r="K45" s="322"/>
      <c r="L45" s="319"/>
    </row>
    <row r="46" spans="1:13">
      <c r="A46" s="407" t="s">
        <v>163</v>
      </c>
      <c r="B46" s="314">
        <f>SUM(B47+B48+B49)</f>
        <v>2347</v>
      </c>
      <c r="C46" s="451">
        <f t="shared" ref="C46:L46" si="7">SUM(C47+C48+C49)</f>
        <v>2706</v>
      </c>
      <c r="D46" s="452">
        <f t="shared" si="7"/>
        <v>2944</v>
      </c>
      <c r="E46" s="451">
        <f t="shared" si="7"/>
        <v>3359</v>
      </c>
      <c r="F46" s="451">
        <f t="shared" si="7"/>
        <v>3298</v>
      </c>
      <c r="G46" s="451">
        <f t="shared" si="7"/>
        <v>3659</v>
      </c>
      <c r="H46" s="451">
        <f t="shared" si="7"/>
        <v>3935</v>
      </c>
      <c r="I46" s="451">
        <f t="shared" si="7"/>
        <v>3923</v>
      </c>
      <c r="J46" s="451">
        <f t="shared" si="7"/>
        <v>4308</v>
      </c>
      <c r="K46" s="451">
        <f t="shared" si="7"/>
        <v>4507</v>
      </c>
      <c r="L46" s="451">
        <f t="shared" si="7"/>
        <v>4688</v>
      </c>
    </row>
    <row r="47" spans="1:13">
      <c r="A47" s="431" t="s">
        <v>176</v>
      </c>
      <c r="B47" s="326">
        <v>589</v>
      </c>
      <c r="C47" s="329">
        <v>914</v>
      </c>
      <c r="D47" s="479">
        <v>1142</v>
      </c>
      <c r="E47" s="322">
        <v>1429</v>
      </c>
      <c r="F47" s="322">
        <v>1528</v>
      </c>
      <c r="G47" s="322">
        <v>1621</v>
      </c>
      <c r="H47" s="322">
        <v>1749</v>
      </c>
      <c r="I47" s="322">
        <v>1858</v>
      </c>
      <c r="J47" s="322">
        <v>2185</v>
      </c>
      <c r="K47" s="322">
        <v>2355</v>
      </c>
      <c r="L47" s="319">
        <v>2532</v>
      </c>
    </row>
    <row r="48" spans="1:13">
      <c r="A48" s="431" t="s">
        <v>178</v>
      </c>
      <c r="B48" s="314">
        <v>1749</v>
      </c>
      <c r="C48" s="322">
        <v>1769</v>
      </c>
      <c r="D48" s="479">
        <v>1704</v>
      </c>
      <c r="E48" s="322">
        <v>1783</v>
      </c>
      <c r="F48" s="322">
        <v>1514</v>
      </c>
      <c r="G48" s="322">
        <v>1393</v>
      </c>
      <c r="H48" s="322">
        <v>1201</v>
      </c>
      <c r="I48" s="322">
        <v>1044</v>
      </c>
      <c r="J48" s="322">
        <v>989</v>
      </c>
      <c r="K48" s="322">
        <v>867</v>
      </c>
      <c r="L48" s="328">
        <v>763</v>
      </c>
    </row>
    <row r="49" spans="1:12">
      <c r="A49" s="431" t="s">
        <v>165</v>
      </c>
      <c r="B49" s="326">
        <v>9</v>
      </c>
      <c r="C49" s="329">
        <v>23</v>
      </c>
      <c r="D49" s="480">
        <v>98</v>
      </c>
      <c r="E49" s="329">
        <v>147</v>
      </c>
      <c r="F49" s="329">
        <v>256</v>
      </c>
      <c r="G49" s="329">
        <v>645</v>
      </c>
      <c r="H49" s="329">
        <v>985</v>
      </c>
      <c r="I49" s="329">
        <v>1021</v>
      </c>
      <c r="J49" s="329">
        <v>1134</v>
      </c>
      <c r="K49" s="329">
        <v>1285</v>
      </c>
      <c r="L49" s="319">
        <v>1393</v>
      </c>
    </row>
    <row r="50" spans="1:12">
      <c r="A50" s="407" t="s">
        <v>166</v>
      </c>
      <c r="B50" s="326">
        <v>3019</v>
      </c>
      <c r="C50" s="329">
        <v>2900</v>
      </c>
      <c r="D50" s="480">
        <v>2800</v>
      </c>
      <c r="E50" s="329">
        <v>2700</v>
      </c>
      <c r="F50" s="329">
        <v>2600</v>
      </c>
      <c r="G50" s="329">
        <v>2500</v>
      </c>
      <c r="H50" s="329">
        <v>2400</v>
      </c>
      <c r="I50" s="329">
        <v>2300</v>
      </c>
      <c r="J50" s="329">
        <v>2200</v>
      </c>
      <c r="K50" s="329">
        <v>2100</v>
      </c>
      <c r="L50" s="328">
        <v>2000</v>
      </c>
    </row>
    <row r="51" spans="1:12">
      <c r="A51" s="407" t="s">
        <v>167</v>
      </c>
      <c r="B51" s="317">
        <v>750</v>
      </c>
      <c r="C51" s="454">
        <v>87</v>
      </c>
      <c r="D51" s="455">
        <v>39</v>
      </c>
      <c r="E51" s="454">
        <v>10</v>
      </c>
      <c r="F51" s="454">
        <v>10</v>
      </c>
      <c r="G51" s="454">
        <v>10</v>
      </c>
      <c r="H51" s="454">
        <v>10</v>
      </c>
      <c r="I51" s="454">
        <v>5</v>
      </c>
      <c r="J51" s="454">
        <v>5</v>
      </c>
      <c r="K51" s="454">
        <v>5</v>
      </c>
      <c r="L51" s="481">
        <v>5</v>
      </c>
    </row>
    <row r="52" spans="1:12">
      <c r="A52" s="429" t="s">
        <v>181</v>
      </c>
      <c r="B52" s="321">
        <f>SUM(B47:B51)</f>
        <v>6116</v>
      </c>
      <c r="C52" s="457">
        <f t="shared" ref="C52:L52" si="8">SUM(C47:C51)</f>
        <v>5693</v>
      </c>
      <c r="D52" s="482">
        <f t="shared" si="8"/>
        <v>5783</v>
      </c>
      <c r="E52" s="457">
        <f t="shared" si="8"/>
        <v>6069</v>
      </c>
      <c r="F52" s="457">
        <f t="shared" si="8"/>
        <v>5908</v>
      </c>
      <c r="G52" s="457">
        <f t="shared" si="8"/>
        <v>6169</v>
      </c>
      <c r="H52" s="457">
        <f t="shared" si="8"/>
        <v>6345</v>
      </c>
      <c r="I52" s="457">
        <f t="shared" si="8"/>
        <v>6228</v>
      </c>
      <c r="J52" s="457">
        <f t="shared" si="8"/>
        <v>6513</v>
      </c>
      <c r="K52" s="457">
        <f t="shared" si="8"/>
        <v>6612</v>
      </c>
      <c r="L52" s="457">
        <f t="shared" si="8"/>
        <v>6693</v>
      </c>
    </row>
    <row r="53" spans="1:12" ht="15.75" thickBot="1">
      <c r="A53" s="407" t="s">
        <v>169</v>
      </c>
      <c r="B53" s="460">
        <f>SUM(B44-B52)</f>
        <v>2316</v>
      </c>
      <c r="C53" s="483">
        <f t="shared" ref="C53:L53" si="9">SUM(C44-C52)</f>
        <v>1731.3359999999993</v>
      </c>
      <c r="D53" s="484">
        <f t="shared" si="9"/>
        <v>1153.9009999999989</v>
      </c>
      <c r="E53" s="485">
        <f t="shared" si="9"/>
        <v>489.90099999999893</v>
      </c>
      <c r="F53" s="461">
        <f t="shared" si="9"/>
        <v>255.90099999999893</v>
      </c>
      <c r="G53" s="461">
        <f t="shared" si="9"/>
        <v>-146.09900000000107</v>
      </c>
      <c r="H53" s="461">
        <f t="shared" si="9"/>
        <v>-585.09900000000107</v>
      </c>
      <c r="I53" s="461">
        <f t="shared" si="9"/>
        <v>-771.09900000000107</v>
      </c>
      <c r="J53" s="461">
        <f t="shared" si="9"/>
        <v>-1045.0990000000011</v>
      </c>
      <c r="K53" s="461">
        <f t="shared" si="9"/>
        <v>-1186.0990000000011</v>
      </c>
      <c r="L53" s="461">
        <f t="shared" si="9"/>
        <v>-1135.0990000000011</v>
      </c>
    </row>
    <row r="54" spans="1:12" ht="15.75" thickBot="1">
      <c r="A54" s="333" t="s">
        <v>172</v>
      </c>
      <c r="B54" s="295">
        <v>36.5</v>
      </c>
      <c r="C54" s="296">
        <v>38.5</v>
      </c>
      <c r="D54" s="296">
        <v>40.5</v>
      </c>
      <c r="E54" s="296">
        <v>42.5</v>
      </c>
      <c r="F54" s="296">
        <v>44.5</v>
      </c>
      <c r="G54" s="296">
        <v>46.5</v>
      </c>
      <c r="H54" s="296">
        <v>48.5</v>
      </c>
      <c r="I54" s="296">
        <v>50</v>
      </c>
      <c r="J54" s="296">
        <v>51</v>
      </c>
      <c r="K54" s="296">
        <v>52</v>
      </c>
      <c r="L54" s="296">
        <v>53</v>
      </c>
    </row>
    <row r="55" spans="1:12" ht="15.75" thickBot="1">
      <c r="A55" s="359" t="s">
        <v>173</v>
      </c>
      <c r="B55" s="348"/>
      <c r="C55" s="348"/>
      <c r="D55" s="486"/>
      <c r="E55" s="486"/>
      <c r="F55" s="486"/>
      <c r="G55" s="486"/>
      <c r="H55" s="486"/>
      <c r="I55" s="486"/>
      <c r="J55" s="486"/>
      <c r="K55" s="486"/>
      <c r="L55" s="486"/>
    </row>
    <row r="56" spans="1:12" ht="15.75" thickBot="1">
      <c r="A56" s="362" t="s">
        <v>174</v>
      </c>
      <c r="B56" s="467">
        <v>2019</v>
      </c>
      <c r="C56" s="364">
        <v>2020</v>
      </c>
      <c r="D56" s="364">
        <v>2021</v>
      </c>
      <c r="E56" s="364">
        <v>2022</v>
      </c>
      <c r="F56" s="364">
        <v>2023</v>
      </c>
      <c r="G56" s="364">
        <v>2024</v>
      </c>
      <c r="H56" s="364">
        <v>2025</v>
      </c>
      <c r="I56" s="364">
        <v>2026</v>
      </c>
      <c r="J56" s="364">
        <v>2027</v>
      </c>
      <c r="K56" s="364">
        <v>2028</v>
      </c>
      <c r="L56" s="381">
        <v>2029</v>
      </c>
    </row>
    <row r="57" spans="1:12" ht="15.75" thickBot="1">
      <c r="A57" s="487" t="s">
        <v>172</v>
      </c>
      <c r="B57" s="488">
        <v>36.5</v>
      </c>
      <c r="C57" s="296">
        <v>32.5</v>
      </c>
      <c r="D57" s="296">
        <v>36.5</v>
      </c>
      <c r="E57" s="296">
        <v>40.5</v>
      </c>
      <c r="F57" s="296">
        <v>44.5</v>
      </c>
      <c r="G57" s="296">
        <v>46.5</v>
      </c>
      <c r="H57" s="296">
        <v>48.5</v>
      </c>
      <c r="I57" s="296">
        <v>50</v>
      </c>
      <c r="J57" s="296">
        <v>51</v>
      </c>
      <c r="K57" s="296">
        <v>52</v>
      </c>
      <c r="L57" s="442">
        <v>53</v>
      </c>
    </row>
    <row r="58" spans="1:12">
      <c r="A58" s="348"/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</row>
    <row r="59" spans="1:12" ht="15.75" thickBot="1">
      <c r="A59" s="348" t="s">
        <v>196</v>
      </c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</row>
    <row r="60" spans="1:12" ht="15.75" thickBot="1">
      <c r="A60" s="349"/>
      <c r="B60" s="350">
        <v>2019</v>
      </c>
      <c r="C60" s="350">
        <v>2020</v>
      </c>
      <c r="D60" s="350">
        <v>2021</v>
      </c>
      <c r="E60" s="350">
        <v>2022</v>
      </c>
      <c r="F60" s="350">
        <v>2023</v>
      </c>
      <c r="G60" s="350">
        <v>2024</v>
      </c>
      <c r="H60" s="350">
        <v>2025</v>
      </c>
      <c r="I60" s="350">
        <v>2026</v>
      </c>
      <c r="J60" s="350">
        <v>2027</v>
      </c>
      <c r="K60" s="350">
        <v>2028</v>
      </c>
      <c r="L60" s="350">
        <v>2029</v>
      </c>
    </row>
    <row r="61" spans="1:12">
      <c r="A61" s="425" t="s">
        <v>160</v>
      </c>
      <c r="B61" s="489">
        <v>10</v>
      </c>
      <c r="C61" s="490">
        <f>B72</f>
        <v>8.6079802180388469</v>
      </c>
      <c r="D61" s="352">
        <f t="shared" ref="D61:L61" si="10">C72</f>
        <v>87.775992359582915</v>
      </c>
      <c r="E61" s="352">
        <f t="shared" si="10"/>
        <v>45.327442347939268</v>
      </c>
      <c r="F61" s="352">
        <f t="shared" si="10"/>
        <v>41.21685692505207</v>
      </c>
      <c r="G61" s="352">
        <f t="shared" si="10"/>
        <v>53.773146788485974</v>
      </c>
      <c r="H61" s="352">
        <f t="shared" si="10"/>
        <v>60.734354888519647</v>
      </c>
      <c r="I61" s="352">
        <f t="shared" si="10"/>
        <v>97.221031315636537</v>
      </c>
      <c r="J61" s="352">
        <f t="shared" si="10"/>
        <v>184.38643588197851</v>
      </c>
      <c r="K61" s="352">
        <f t="shared" si="10"/>
        <v>141.39374124639357</v>
      </c>
      <c r="L61" s="352">
        <f t="shared" si="10"/>
        <v>-625.40887932542046</v>
      </c>
    </row>
    <row r="62" spans="1:12">
      <c r="A62" s="407" t="s">
        <v>161</v>
      </c>
      <c r="B62" s="453">
        <v>1347</v>
      </c>
      <c r="C62" s="491">
        <v>1412.1087348159399</v>
      </c>
      <c r="D62" s="354">
        <v>1424.2434908763321</v>
      </c>
      <c r="E62" s="354">
        <v>1441.810290455596</v>
      </c>
      <c r="F62" s="354">
        <v>1463.5040590774991</v>
      </c>
      <c r="G62" s="354">
        <v>1460.4368226742029</v>
      </c>
      <c r="H62" s="354">
        <v>1463.7875255872841</v>
      </c>
      <c r="I62" s="354">
        <v>1474.5328345093139</v>
      </c>
      <c r="J62" s="354">
        <v>1480.3108584651416</v>
      </c>
      <c r="K62" s="354">
        <v>1466.5374544225699</v>
      </c>
      <c r="L62" s="354">
        <v>1470.3429970252357</v>
      </c>
    </row>
    <row r="63" spans="1:12">
      <c r="A63" s="407" t="s">
        <v>162</v>
      </c>
      <c r="B63" s="453">
        <v>46</v>
      </c>
      <c r="C63" s="491">
        <v>50</v>
      </c>
      <c r="D63" s="354">
        <v>54</v>
      </c>
      <c r="E63" s="354">
        <v>58</v>
      </c>
      <c r="F63" s="354">
        <v>62</v>
      </c>
      <c r="G63" s="354">
        <v>66</v>
      </c>
      <c r="H63" s="354">
        <v>70</v>
      </c>
      <c r="I63" s="354">
        <v>74</v>
      </c>
      <c r="J63" s="354">
        <v>78</v>
      </c>
      <c r="K63" s="354">
        <v>80</v>
      </c>
      <c r="L63" s="354">
        <v>82</v>
      </c>
    </row>
    <row r="64" spans="1:12">
      <c r="A64" s="429" t="s">
        <v>180</v>
      </c>
      <c r="B64" s="492">
        <f>SUM(B61:B63)</f>
        <v>1403</v>
      </c>
      <c r="C64" s="493">
        <f t="shared" ref="C64:L64" si="11">SUM(C61:C63)</f>
        <v>1470.7167150339787</v>
      </c>
      <c r="D64" s="356">
        <f t="shared" si="11"/>
        <v>1566.019483235915</v>
      </c>
      <c r="E64" s="356">
        <f t="shared" si="11"/>
        <v>1545.1377328035353</v>
      </c>
      <c r="F64" s="356">
        <f t="shared" si="11"/>
        <v>1566.7209160025511</v>
      </c>
      <c r="G64" s="356">
        <f t="shared" si="11"/>
        <v>1580.2099694626888</v>
      </c>
      <c r="H64" s="356">
        <f t="shared" si="11"/>
        <v>1594.5218804758038</v>
      </c>
      <c r="I64" s="356">
        <f t="shared" si="11"/>
        <v>1645.7538658249505</v>
      </c>
      <c r="J64" s="356">
        <f t="shared" si="11"/>
        <v>1742.6972943471201</v>
      </c>
      <c r="K64" s="356">
        <f t="shared" si="11"/>
        <v>1687.9311956689635</v>
      </c>
      <c r="L64" s="356">
        <f t="shared" si="11"/>
        <v>926.93411769981526</v>
      </c>
    </row>
    <row r="65" spans="1:12" ht="9" customHeight="1">
      <c r="A65" s="407"/>
      <c r="B65" s="453"/>
      <c r="C65" s="491"/>
      <c r="D65" s="354"/>
      <c r="E65" s="354"/>
      <c r="F65" s="354"/>
      <c r="G65" s="354"/>
      <c r="H65" s="354"/>
      <c r="I65" s="354"/>
      <c r="J65" s="354"/>
      <c r="K65" s="354"/>
      <c r="L65" s="354"/>
    </row>
    <row r="66" spans="1:12">
      <c r="A66" s="407" t="s">
        <v>163</v>
      </c>
      <c r="B66" s="453">
        <f>SUM(B67+B68)</f>
        <v>536</v>
      </c>
      <c r="C66" s="491">
        <f t="shared" ref="C66:L66" si="12">SUM(C67+C68)</f>
        <v>581</v>
      </c>
      <c r="D66" s="354">
        <f t="shared" si="12"/>
        <v>768.74546290470903</v>
      </c>
      <c r="E66" s="354">
        <f t="shared" si="12"/>
        <v>801.86456468083065</v>
      </c>
      <c r="F66" s="354">
        <f t="shared" si="12"/>
        <v>860.92593040700785</v>
      </c>
      <c r="G66" s="354">
        <f t="shared" si="12"/>
        <v>917.49364806659241</v>
      </c>
      <c r="H66" s="354">
        <f t="shared" si="12"/>
        <v>945.31136572617743</v>
      </c>
      <c r="I66" s="354">
        <f t="shared" si="12"/>
        <v>959.36819435706343</v>
      </c>
      <c r="J66" s="354">
        <f t="shared" si="12"/>
        <v>1099.2937859942895</v>
      </c>
      <c r="K66" s="354">
        <f t="shared" si="12"/>
        <v>1811.3396167061899</v>
      </c>
      <c r="L66" s="354">
        <f t="shared" si="12"/>
        <v>2200</v>
      </c>
    </row>
    <row r="67" spans="1:12">
      <c r="A67" s="431" t="s">
        <v>164</v>
      </c>
      <c r="B67" s="453">
        <v>536</v>
      </c>
      <c r="C67" s="491">
        <v>581</v>
      </c>
      <c r="D67" s="354">
        <v>759.37726854764571</v>
      </c>
      <c r="E67" s="354">
        <v>761.24183322847614</v>
      </c>
      <c r="F67" s="354">
        <v>806.24183322847614</v>
      </c>
      <c r="G67" s="354">
        <v>842.4981851618835</v>
      </c>
      <c r="H67" s="354">
        <v>840.63180564293691</v>
      </c>
      <c r="I67" s="354">
        <v>818.74546290470892</v>
      </c>
      <c r="J67" s="354">
        <v>939.92559163722603</v>
      </c>
      <c r="K67" s="354">
        <v>1640.3396167061899</v>
      </c>
      <c r="L67" s="354">
        <v>2000</v>
      </c>
    </row>
    <row r="68" spans="1:12">
      <c r="A68" s="431" t="s">
        <v>165</v>
      </c>
      <c r="B68" s="453">
        <v>0</v>
      </c>
      <c r="C68" s="491">
        <v>0</v>
      </c>
      <c r="D68" s="354">
        <v>9.3681943570633504</v>
      </c>
      <c r="E68" s="354">
        <v>40.622731452354458</v>
      </c>
      <c r="F68" s="354">
        <v>54.684097178531673</v>
      </c>
      <c r="G68" s="354">
        <v>74.995462904708901</v>
      </c>
      <c r="H68" s="354">
        <v>104.67956008324057</v>
      </c>
      <c r="I68" s="354">
        <v>140.62273145235446</v>
      </c>
      <c r="J68" s="354">
        <v>159.36819435706337</v>
      </c>
      <c r="K68" s="354">
        <v>171</v>
      </c>
      <c r="L68" s="354">
        <v>200</v>
      </c>
    </row>
    <row r="69" spans="1:12">
      <c r="A69" s="407" t="s">
        <v>166</v>
      </c>
      <c r="B69" s="453">
        <v>856</v>
      </c>
      <c r="C69" s="491">
        <v>800</v>
      </c>
      <c r="D69" s="354">
        <v>750</v>
      </c>
      <c r="E69" s="354">
        <v>700</v>
      </c>
      <c r="F69" s="354">
        <v>650</v>
      </c>
      <c r="G69" s="354">
        <v>600</v>
      </c>
      <c r="H69" s="354">
        <v>550</v>
      </c>
      <c r="I69" s="354">
        <v>500</v>
      </c>
      <c r="J69" s="354">
        <v>500</v>
      </c>
      <c r="K69" s="354">
        <v>500</v>
      </c>
      <c r="L69" s="354">
        <v>500</v>
      </c>
    </row>
    <row r="70" spans="1:12">
      <c r="A70" s="407" t="s">
        <v>167</v>
      </c>
      <c r="B70" s="453">
        <v>2.3920197819610536</v>
      </c>
      <c r="C70" s="491">
        <v>1.9407226743959107</v>
      </c>
      <c r="D70" s="354">
        <v>1.9465779832666288</v>
      </c>
      <c r="E70" s="354">
        <v>2.0563111976526063</v>
      </c>
      <c r="F70" s="354">
        <v>2.0218388070573576</v>
      </c>
      <c r="G70" s="354">
        <v>1.9819665075767161</v>
      </c>
      <c r="H70" s="354">
        <v>1.989483433989844</v>
      </c>
      <c r="I70" s="354">
        <v>1.9992355859086306</v>
      </c>
      <c r="J70" s="354">
        <v>2.0097671064370313</v>
      </c>
      <c r="K70" s="354">
        <v>2.0004582881939159</v>
      </c>
      <c r="L70" s="354">
        <v>1.9961821844212275</v>
      </c>
    </row>
    <row r="71" spans="1:12">
      <c r="A71" s="429" t="s">
        <v>181</v>
      </c>
      <c r="B71" s="492">
        <f>SUM(B66+B69+B70)</f>
        <v>1394.3920197819612</v>
      </c>
      <c r="C71" s="493">
        <f t="shared" ref="C71:L71" si="13">SUM(C66+C69+C70)</f>
        <v>1382.9407226743958</v>
      </c>
      <c r="D71" s="356">
        <f t="shared" si="13"/>
        <v>1520.6920408879757</v>
      </c>
      <c r="E71" s="356">
        <f t="shared" si="13"/>
        <v>1503.9208758784832</v>
      </c>
      <c r="F71" s="356">
        <f t="shared" si="13"/>
        <v>1512.9477692140651</v>
      </c>
      <c r="G71" s="356">
        <f t="shared" si="13"/>
        <v>1519.4756145741692</v>
      </c>
      <c r="H71" s="356">
        <f t="shared" si="13"/>
        <v>1497.3008491601672</v>
      </c>
      <c r="I71" s="356">
        <f t="shared" si="13"/>
        <v>1461.367429942972</v>
      </c>
      <c r="J71" s="356">
        <f t="shared" si="13"/>
        <v>1601.3035531007265</v>
      </c>
      <c r="K71" s="356">
        <f t="shared" si="13"/>
        <v>2313.3400749943839</v>
      </c>
      <c r="L71" s="356">
        <f t="shared" si="13"/>
        <v>2701.9961821844213</v>
      </c>
    </row>
    <row r="72" spans="1:12" ht="15.75" thickBot="1">
      <c r="A72" s="407" t="s">
        <v>169</v>
      </c>
      <c r="B72" s="453">
        <f>SUM(B64-B71)</f>
        <v>8.6079802180388469</v>
      </c>
      <c r="C72" s="491">
        <f t="shared" ref="C72:L72" si="14">SUM(C64-C71)</f>
        <v>87.775992359582915</v>
      </c>
      <c r="D72" s="354">
        <f t="shared" si="14"/>
        <v>45.327442347939268</v>
      </c>
      <c r="E72" s="354">
        <f t="shared" si="14"/>
        <v>41.21685692505207</v>
      </c>
      <c r="F72" s="354">
        <f t="shared" si="14"/>
        <v>53.773146788485974</v>
      </c>
      <c r="G72" s="354">
        <f t="shared" si="14"/>
        <v>60.734354888519647</v>
      </c>
      <c r="H72" s="354">
        <f t="shared" si="14"/>
        <v>97.221031315636537</v>
      </c>
      <c r="I72" s="354">
        <f t="shared" si="14"/>
        <v>184.38643588197851</v>
      </c>
      <c r="J72" s="354">
        <f t="shared" si="14"/>
        <v>141.39374124639357</v>
      </c>
      <c r="K72" s="354">
        <f t="shared" si="14"/>
        <v>-625.40887932542046</v>
      </c>
      <c r="L72" s="354">
        <f t="shared" si="14"/>
        <v>-1775.062064484606</v>
      </c>
    </row>
    <row r="73" spans="1:12" ht="15.75" thickBot="1">
      <c r="A73" s="333" t="s">
        <v>172</v>
      </c>
      <c r="B73" s="295">
        <v>25.43</v>
      </c>
      <c r="C73" s="494">
        <v>26</v>
      </c>
      <c r="D73" s="494">
        <v>28</v>
      </c>
      <c r="E73" s="494">
        <v>30</v>
      </c>
      <c r="F73" s="494">
        <v>32</v>
      </c>
      <c r="G73" s="494">
        <v>34</v>
      </c>
      <c r="H73" s="494">
        <v>36</v>
      </c>
      <c r="I73" s="494">
        <v>38</v>
      </c>
      <c r="J73" s="494">
        <v>40</v>
      </c>
      <c r="K73" s="494">
        <v>42</v>
      </c>
      <c r="L73" s="494">
        <v>44</v>
      </c>
    </row>
    <row r="74" spans="1:12" ht="15.75" thickBot="1">
      <c r="A74" s="359" t="s">
        <v>173</v>
      </c>
      <c r="B74" s="495"/>
      <c r="C74" s="348"/>
      <c r="D74" s="348"/>
      <c r="E74" s="348"/>
      <c r="F74" s="495"/>
      <c r="G74" s="348"/>
      <c r="H74" s="348"/>
      <c r="I74" s="348"/>
      <c r="J74" s="348"/>
      <c r="K74" s="348"/>
      <c r="L74" s="348"/>
    </row>
    <row r="75" spans="1:12" ht="15.75" thickBot="1">
      <c r="A75" s="496" t="s">
        <v>174</v>
      </c>
      <c r="B75" s="497">
        <v>2019</v>
      </c>
      <c r="C75" s="498">
        <v>2020</v>
      </c>
      <c r="D75" s="498">
        <v>2021</v>
      </c>
      <c r="E75" s="498">
        <v>2022</v>
      </c>
      <c r="F75" s="497">
        <v>2023</v>
      </c>
      <c r="G75" s="498">
        <v>2024</v>
      </c>
      <c r="H75" s="498">
        <v>2025</v>
      </c>
      <c r="I75" s="498">
        <v>2026</v>
      </c>
      <c r="J75" s="498">
        <v>2027</v>
      </c>
      <c r="K75" s="498">
        <v>2028</v>
      </c>
      <c r="L75" s="499">
        <v>2029</v>
      </c>
    </row>
    <row r="76" spans="1:12" ht="15.75" thickBot="1">
      <c r="A76" s="500" t="s">
        <v>172</v>
      </c>
      <c r="B76" s="501">
        <v>25.43</v>
      </c>
      <c r="C76" s="383">
        <v>25</v>
      </c>
      <c r="D76" s="383">
        <v>26</v>
      </c>
      <c r="E76" s="383">
        <v>28</v>
      </c>
      <c r="F76" s="383">
        <v>30</v>
      </c>
      <c r="G76" s="383">
        <v>32</v>
      </c>
      <c r="H76" s="383">
        <v>34</v>
      </c>
      <c r="I76" s="383">
        <v>36</v>
      </c>
      <c r="J76" s="383">
        <v>38</v>
      </c>
      <c r="K76" s="383">
        <v>40</v>
      </c>
      <c r="L76" s="383">
        <v>42</v>
      </c>
    </row>
    <row r="77" spans="1:12">
      <c r="A77" s="348"/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5.75" thickBot="1">
      <c r="A78" s="348" t="s">
        <v>197</v>
      </c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</row>
    <row r="79" spans="1:12" ht="15.75" thickBot="1">
      <c r="A79" s="349"/>
      <c r="B79" s="350">
        <v>2019</v>
      </c>
      <c r="C79" s="350">
        <v>2020</v>
      </c>
      <c r="D79" s="350">
        <v>2021</v>
      </c>
      <c r="E79" s="350">
        <v>2022</v>
      </c>
      <c r="F79" s="350">
        <v>2023</v>
      </c>
      <c r="G79" s="350">
        <v>2024</v>
      </c>
      <c r="H79" s="350">
        <v>2025</v>
      </c>
      <c r="I79" s="350">
        <v>2026</v>
      </c>
      <c r="J79" s="350">
        <v>2027</v>
      </c>
      <c r="K79" s="350">
        <v>2028</v>
      </c>
      <c r="L79" s="350">
        <v>2029</v>
      </c>
    </row>
    <row r="80" spans="1:12">
      <c r="A80" s="425" t="s">
        <v>160</v>
      </c>
      <c r="B80" s="444">
        <v>43</v>
      </c>
      <c r="C80" s="445">
        <f>B92</f>
        <v>401</v>
      </c>
      <c r="D80" s="445">
        <f t="shared" ref="D80:L80" si="15">C92</f>
        <v>488</v>
      </c>
      <c r="E80" s="445">
        <f t="shared" si="15"/>
        <v>539</v>
      </c>
      <c r="F80" s="445">
        <f t="shared" si="15"/>
        <v>680</v>
      </c>
      <c r="G80" s="445">
        <f t="shared" si="15"/>
        <v>904</v>
      </c>
      <c r="H80" s="445">
        <f t="shared" si="15"/>
        <v>870</v>
      </c>
      <c r="I80" s="445">
        <f t="shared" si="15"/>
        <v>660</v>
      </c>
      <c r="J80" s="445">
        <f t="shared" si="15"/>
        <v>573</v>
      </c>
      <c r="K80" s="445">
        <f t="shared" si="15"/>
        <v>337</v>
      </c>
      <c r="L80" s="445">
        <f t="shared" si="15"/>
        <v>161</v>
      </c>
    </row>
    <row r="81" spans="1:12">
      <c r="A81" s="407" t="s">
        <v>161</v>
      </c>
      <c r="B81" s="314">
        <v>3162</v>
      </c>
      <c r="C81" s="322">
        <v>3219</v>
      </c>
      <c r="D81" s="322">
        <v>3294</v>
      </c>
      <c r="E81" s="322">
        <v>3362</v>
      </c>
      <c r="F81" s="322">
        <v>3412</v>
      </c>
      <c r="G81" s="322">
        <v>3462</v>
      </c>
      <c r="H81" s="322">
        <v>3519</v>
      </c>
      <c r="I81" s="322">
        <v>3587</v>
      </c>
      <c r="J81" s="322">
        <v>3650</v>
      </c>
      <c r="K81" s="322">
        <v>3750</v>
      </c>
      <c r="L81" s="319">
        <v>3844</v>
      </c>
    </row>
    <row r="82" spans="1:12">
      <c r="A82" s="407" t="s">
        <v>162</v>
      </c>
      <c r="B82" s="317">
        <v>40</v>
      </c>
      <c r="C82" s="318">
        <v>208</v>
      </c>
      <c r="D82" s="318">
        <v>225</v>
      </c>
      <c r="E82" s="318">
        <v>250</v>
      </c>
      <c r="F82" s="318">
        <v>275</v>
      </c>
      <c r="G82" s="318">
        <v>300</v>
      </c>
      <c r="H82" s="318">
        <v>325</v>
      </c>
      <c r="I82" s="318">
        <v>350</v>
      </c>
      <c r="J82" s="318">
        <v>500</v>
      </c>
      <c r="K82" s="318">
        <v>650</v>
      </c>
      <c r="L82" s="319">
        <v>800</v>
      </c>
    </row>
    <row r="83" spans="1:12">
      <c r="A83" s="429" t="s">
        <v>180</v>
      </c>
      <c r="B83" s="321">
        <f>SUM(B80:B82)</f>
        <v>3245</v>
      </c>
      <c r="C83" s="321">
        <f t="shared" ref="C83:L83" si="16">SUM(C80:C82)</f>
        <v>3828</v>
      </c>
      <c r="D83" s="321">
        <f t="shared" si="16"/>
        <v>4007</v>
      </c>
      <c r="E83" s="321">
        <f t="shared" si="16"/>
        <v>4151</v>
      </c>
      <c r="F83" s="321">
        <f t="shared" si="16"/>
        <v>4367</v>
      </c>
      <c r="G83" s="321">
        <f t="shared" si="16"/>
        <v>4666</v>
      </c>
      <c r="H83" s="321">
        <f t="shared" si="16"/>
        <v>4714</v>
      </c>
      <c r="I83" s="321">
        <f t="shared" si="16"/>
        <v>4597</v>
      </c>
      <c r="J83" s="321">
        <f t="shared" si="16"/>
        <v>4723</v>
      </c>
      <c r="K83" s="321">
        <f t="shared" si="16"/>
        <v>4737</v>
      </c>
      <c r="L83" s="321">
        <f t="shared" si="16"/>
        <v>4805</v>
      </c>
    </row>
    <row r="84" spans="1:12" ht="8.1" customHeight="1">
      <c r="A84" s="407"/>
      <c r="B84" s="314"/>
      <c r="C84" s="322"/>
      <c r="D84" s="322"/>
      <c r="E84" s="322"/>
      <c r="F84" s="322"/>
      <c r="G84" s="322"/>
      <c r="H84" s="322"/>
      <c r="I84" s="322"/>
      <c r="J84" s="322"/>
      <c r="K84" s="322"/>
      <c r="L84" s="319"/>
    </row>
    <row r="85" spans="1:12">
      <c r="A85" s="407" t="s">
        <v>163</v>
      </c>
      <c r="B85" s="314">
        <f>SUM(B86+B87+B88)</f>
        <v>2365</v>
      </c>
      <c r="C85" s="451">
        <f t="shared" ref="C85:L85" si="17">SUM(C86+C87+C88)</f>
        <v>2718</v>
      </c>
      <c r="D85" s="451">
        <f t="shared" si="17"/>
        <v>3144</v>
      </c>
      <c r="E85" s="451">
        <f t="shared" si="17"/>
        <v>3289</v>
      </c>
      <c r="F85" s="451">
        <f t="shared" si="17"/>
        <v>3298</v>
      </c>
      <c r="G85" s="451">
        <f t="shared" si="17"/>
        <v>3659</v>
      </c>
      <c r="H85" s="451">
        <f t="shared" si="17"/>
        <v>3935</v>
      </c>
      <c r="I85" s="451">
        <f t="shared" si="17"/>
        <v>3923</v>
      </c>
      <c r="J85" s="451">
        <f t="shared" si="17"/>
        <v>4308</v>
      </c>
      <c r="K85" s="451">
        <f t="shared" si="17"/>
        <v>4507</v>
      </c>
      <c r="L85" s="451">
        <f t="shared" si="17"/>
        <v>4688</v>
      </c>
    </row>
    <row r="86" spans="1:12">
      <c r="A86" s="431" t="s">
        <v>176</v>
      </c>
      <c r="B86" s="326">
        <v>589</v>
      </c>
      <c r="C86" s="329">
        <v>814</v>
      </c>
      <c r="D86" s="322">
        <v>1242</v>
      </c>
      <c r="E86" s="322">
        <v>1359</v>
      </c>
      <c r="F86" s="322">
        <v>1528</v>
      </c>
      <c r="G86" s="322">
        <v>1621</v>
      </c>
      <c r="H86" s="322">
        <v>1749</v>
      </c>
      <c r="I86" s="322">
        <v>1858</v>
      </c>
      <c r="J86" s="322">
        <v>2185</v>
      </c>
      <c r="K86" s="322">
        <v>2355</v>
      </c>
      <c r="L86" s="319">
        <v>2532</v>
      </c>
    </row>
    <row r="87" spans="1:12">
      <c r="A87" s="431" t="s">
        <v>178</v>
      </c>
      <c r="B87" s="314">
        <v>1761</v>
      </c>
      <c r="C87" s="322">
        <v>1869</v>
      </c>
      <c r="D87" s="322">
        <v>1804</v>
      </c>
      <c r="E87" s="322">
        <v>1783</v>
      </c>
      <c r="F87" s="322">
        <v>1514</v>
      </c>
      <c r="G87" s="322">
        <v>1393</v>
      </c>
      <c r="H87" s="322">
        <v>1201</v>
      </c>
      <c r="I87" s="322">
        <v>1044</v>
      </c>
      <c r="J87" s="322">
        <v>989</v>
      </c>
      <c r="K87" s="322">
        <v>867</v>
      </c>
      <c r="L87" s="328">
        <v>763</v>
      </c>
    </row>
    <row r="88" spans="1:12">
      <c r="A88" s="431" t="s">
        <v>165</v>
      </c>
      <c r="B88" s="326">
        <v>15</v>
      </c>
      <c r="C88" s="329">
        <v>35</v>
      </c>
      <c r="D88" s="329">
        <v>98</v>
      </c>
      <c r="E88" s="329">
        <v>147</v>
      </c>
      <c r="F88" s="329">
        <v>256</v>
      </c>
      <c r="G88" s="329">
        <v>645</v>
      </c>
      <c r="H88" s="329">
        <v>985</v>
      </c>
      <c r="I88" s="329">
        <v>1021</v>
      </c>
      <c r="J88" s="329">
        <v>1134</v>
      </c>
      <c r="K88" s="329">
        <v>1285</v>
      </c>
      <c r="L88" s="319">
        <v>1393</v>
      </c>
    </row>
    <row r="89" spans="1:12">
      <c r="A89" s="407" t="s">
        <v>166</v>
      </c>
      <c r="B89" s="326">
        <v>300</v>
      </c>
      <c r="C89" s="329">
        <v>253</v>
      </c>
      <c r="D89" s="329">
        <v>245</v>
      </c>
      <c r="E89" s="329">
        <v>172</v>
      </c>
      <c r="F89" s="329">
        <v>155</v>
      </c>
      <c r="G89" s="329">
        <v>127</v>
      </c>
      <c r="H89" s="329">
        <v>109</v>
      </c>
      <c r="I89" s="329">
        <v>96</v>
      </c>
      <c r="J89" s="329">
        <v>73</v>
      </c>
      <c r="K89" s="329">
        <v>64</v>
      </c>
      <c r="L89" s="328">
        <v>49</v>
      </c>
    </row>
    <row r="90" spans="1:12">
      <c r="A90" s="407" t="s">
        <v>167</v>
      </c>
      <c r="B90" s="317">
        <v>179</v>
      </c>
      <c r="C90" s="454">
        <v>369</v>
      </c>
      <c r="D90" s="454">
        <v>79</v>
      </c>
      <c r="E90" s="454">
        <v>10</v>
      </c>
      <c r="F90" s="454">
        <v>10</v>
      </c>
      <c r="G90" s="454">
        <v>10</v>
      </c>
      <c r="H90" s="454">
        <v>10</v>
      </c>
      <c r="I90" s="454">
        <v>5</v>
      </c>
      <c r="J90" s="454">
        <v>5</v>
      </c>
      <c r="K90" s="454">
        <v>5</v>
      </c>
      <c r="L90" s="481">
        <v>5</v>
      </c>
    </row>
    <row r="91" spans="1:12">
      <c r="A91" s="429" t="s">
        <v>181</v>
      </c>
      <c r="B91" s="321">
        <f>SUM(B86:B90)</f>
        <v>2844</v>
      </c>
      <c r="C91" s="458">
        <f t="shared" ref="C91:L91" si="18">SUM(C86:C90)</f>
        <v>3340</v>
      </c>
      <c r="D91" s="458">
        <f t="shared" si="18"/>
        <v>3468</v>
      </c>
      <c r="E91" s="458">
        <f t="shared" si="18"/>
        <v>3471</v>
      </c>
      <c r="F91" s="458">
        <f t="shared" si="18"/>
        <v>3463</v>
      </c>
      <c r="G91" s="458">
        <f t="shared" si="18"/>
        <v>3796</v>
      </c>
      <c r="H91" s="458">
        <f t="shared" si="18"/>
        <v>4054</v>
      </c>
      <c r="I91" s="458">
        <f t="shared" si="18"/>
        <v>4024</v>
      </c>
      <c r="J91" s="458">
        <f t="shared" si="18"/>
        <v>4386</v>
      </c>
      <c r="K91" s="458">
        <f t="shared" si="18"/>
        <v>4576</v>
      </c>
      <c r="L91" s="458">
        <f t="shared" si="18"/>
        <v>4742</v>
      </c>
    </row>
    <row r="92" spans="1:12" ht="15.75" thickBot="1">
      <c r="A92" s="407" t="s">
        <v>169</v>
      </c>
      <c r="B92" s="460">
        <f>SUM(B83-B91)</f>
        <v>401</v>
      </c>
      <c r="C92" s="461">
        <f t="shared" ref="C92:L92" si="19">SUM(C83-C91)</f>
        <v>488</v>
      </c>
      <c r="D92" s="461">
        <f t="shared" si="19"/>
        <v>539</v>
      </c>
      <c r="E92" s="461">
        <f t="shared" si="19"/>
        <v>680</v>
      </c>
      <c r="F92" s="461">
        <f t="shared" si="19"/>
        <v>904</v>
      </c>
      <c r="G92" s="461">
        <f t="shared" si="19"/>
        <v>870</v>
      </c>
      <c r="H92" s="461">
        <f t="shared" si="19"/>
        <v>660</v>
      </c>
      <c r="I92" s="461">
        <f t="shared" si="19"/>
        <v>573</v>
      </c>
      <c r="J92" s="461">
        <f t="shared" si="19"/>
        <v>337</v>
      </c>
      <c r="K92" s="461">
        <f t="shared" si="19"/>
        <v>161</v>
      </c>
      <c r="L92" s="461">
        <f t="shared" si="19"/>
        <v>63</v>
      </c>
    </row>
    <row r="93" spans="1:12" ht="15.75" thickBot="1">
      <c r="A93" s="333" t="s">
        <v>172</v>
      </c>
      <c r="B93" s="295">
        <v>30</v>
      </c>
      <c r="C93" s="296">
        <v>32</v>
      </c>
      <c r="D93" s="296">
        <v>33</v>
      </c>
      <c r="E93" s="296">
        <v>34</v>
      </c>
      <c r="F93" s="296">
        <v>35</v>
      </c>
      <c r="G93" s="296">
        <v>36</v>
      </c>
      <c r="H93" s="296">
        <v>38</v>
      </c>
      <c r="I93" s="296">
        <v>41</v>
      </c>
      <c r="J93" s="296">
        <v>44</v>
      </c>
      <c r="K93" s="296">
        <v>46</v>
      </c>
      <c r="L93" s="296">
        <v>48</v>
      </c>
    </row>
    <row r="94" spans="1:12" ht="15.75" thickBot="1">
      <c r="A94" s="359" t="s">
        <v>173</v>
      </c>
      <c r="B94" s="348"/>
      <c r="C94" s="348"/>
      <c r="D94" s="486"/>
      <c r="E94" s="486"/>
      <c r="F94" s="486"/>
      <c r="G94" s="486"/>
      <c r="H94" s="486"/>
      <c r="I94" s="486"/>
      <c r="J94" s="486"/>
      <c r="K94" s="486"/>
      <c r="L94" s="486"/>
    </row>
    <row r="95" spans="1:12" ht="15.75" thickBot="1">
      <c r="A95" s="502" t="s">
        <v>174</v>
      </c>
      <c r="B95" s="467">
        <v>2019</v>
      </c>
      <c r="C95" s="503">
        <v>2020</v>
      </c>
      <c r="D95" s="503">
        <v>2021</v>
      </c>
      <c r="E95" s="503">
        <v>2022</v>
      </c>
      <c r="F95" s="503">
        <v>2023</v>
      </c>
      <c r="G95" s="503">
        <v>2024</v>
      </c>
      <c r="H95" s="503">
        <v>2025</v>
      </c>
      <c r="I95" s="503">
        <v>2026</v>
      </c>
      <c r="J95" s="503">
        <v>2027</v>
      </c>
      <c r="K95" s="503">
        <v>2028</v>
      </c>
      <c r="L95" s="381">
        <v>2029</v>
      </c>
    </row>
    <row r="96" spans="1:12" ht="15.75" thickBot="1">
      <c r="A96" s="342" t="s">
        <v>172</v>
      </c>
      <c r="B96" s="488">
        <v>30.5</v>
      </c>
      <c r="C96" s="504">
        <v>27</v>
      </c>
      <c r="D96" s="302">
        <v>32</v>
      </c>
      <c r="E96" s="302">
        <v>33</v>
      </c>
      <c r="F96" s="302">
        <v>34</v>
      </c>
      <c r="G96" s="302">
        <v>35</v>
      </c>
      <c r="H96" s="302">
        <v>36</v>
      </c>
      <c r="I96" s="302">
        <v>38</v>
      </c>
      <c r="J96" s="302">
        <v>41</v>
      </c>
      <c r="K96" s="302">
        <v>44</v>
      </c>
      <c r="L96" s="302">
        <v>46</v>
      </c>
    </row>
    <row r="97" spans="1:12">
      <c r="A97" s="348"/>
      <c r="B97" s="348"/>
      <c r="C97" s="348"/>
      <c r="D97" s="348"/>
      <c r="E97" s="348"/>
      <c r="F97" s="348"/>
      <c r="G97" s="348"/>
      <c r="H97" s="348"/>
      <c r="I97" s="348"/>
      <c r="J97" s="348"/>
      <c r="K97" s="348"/>
      <c r="L97" s="348"/>
    </row>
    <row r="98" spans="1:12" ht="15.75" thickBot="1">
      <c r="A98" s="348" t="s">
        <v>198</v>
      </c>
      <c r="B98" s="348"/>
      <c r="C98" s="348"/>
      <c r="D98" s="348"/>
      <c r="E98" s="348"/>
      <c r="F98" s="348"/>
      <c r="G98" s="348"/>
      <c r="H98" s="348"/>
      <c r="I98" s="348"/>
      <c r="J98" s="348"/>
      <c r="K98" s="348"/>
      <c r="L98" s="348"/>
    </row>
    <row r="99" spans="1:12" ht="15.75" thickBot="1">
      <c r="A99" s="349"/>
      <c r="B99" s="350">
        <v>2019</v>
      </c>
      <c r="C99" s="350">
        <v>2020</v>
      </c>
      <c r="D99" s="350">
        <v>2021</v>
      </c>
      <c r="E99" s="350">
        <v>2022</v>
      </c>
      <c r="F99" s="350">
        <v>2023</v>
      </c>
      <c r="G99" s="350">
        <v>2024</v>
      </c>
      <c r="H99" s="350">
        <v>2025</v>
      </c>
      <c r="I99" s="350">
        <v>2026</v>
      </c>
      <c r="J99" s="350">
        <v>2027</v>
      </c>
      <c r="K99" s="350">
        <v>2028</v>
      </c>
      <c r="L99" s="350">
        <v>2029</v>
      </c>
    </row>
    <row r="100" spans="1:12">
      <c r="A100" s="348" t="s">
        <v>184</v>
      </c>
      <c r="B100" s="351">
        <v>67.226513898868944</v>
      </c>
      <c r="C100" s="352">
        <v>71.951252154019357</v>
      </c>
      <c r="D100" s="352">
        <v>157.61626147115419</v>
      </c>
      <c r="E100" s="352">
        <v>284.0037012681878</v>
      </c>
      <c r="F100" s="352">
        <v>367.91651102471928</v>
      </c>
      <c r="G100" s="352">
        <v>391.1325861507604</v>
      </c>
      <c r="H100" s="352">
        <v>417.17840787499119</v>
      </c>
      <c r="I100" s="352">
        <v>424.81648365474848</v>
      </c>
      <c r="J100" s="352">
        <v>418.53814142990336</v>
      </c>
      <c r="K100" s="352">
        <v>463.24526445592267</v>
      </c>
      <c r="L100" s="352">
        <v>474.12863274224731</v>
      </c>
    </row>
    <row r="101" spans="1:12">
      <c r="A101" s="348" t="s">
        <v>161</v>
      </c>
      <c r="B101" s="353">
        <v>2285.1833676365204</v>
      </c>
      <c r="C101" s="354">
        <v>2412.4371705660787</v>
      </c>
      <c r="D101" s="354">
        <v>2508.2037874901498</v>
      </c>
      <c r="E101" s="354">
        <v>2539.8901334150578</v>
      </c>
      <c r="F101" s="354">
        <v>2564.8718223175674</v>
      </c>
      <c r="G101" s="354">
        <v>2632.6442064518992</v>
      </c>
      <c r="H101" s="354">
        <v>2793.4874009847176</v>
      </c>
      <c r="I101" s="354">
        <v>2874.6504049052464</v>
      </c>
      <c r="J101" s="354">
        <v>2956.1587739571432</v>
      </c>
      <c r="K101" s="354">
        <v>2999.6553230303716</v>
      </c>
      <c r="L101" s="354">
        <v>3099.6621664599666</v>
      </c>
    </row>
    <row r="102" spans="1:12">
      <c r="A102" s="348" t="s">
        <v>162</v>
      </c>
      <c r="B102" s="353">
        <v>5.170601682652828</v>
      </c>
      <c r="C102" s="354">
        <v>4.9311569534387809</v>
      </c>
      <c r="D102" s="354">
        <v>4.9869966824573773</v>
      </c>
      <c r="E102" s="354">
        <v>5.0011255275399531</v>
      </c>
      <c r="F102" s="354">
        <v>5.0890801036573814</v>
      </c>
      <c r="G102" s="354">
        <v>4.9470305368794181</v>
      </c>
      <c r="H102" s="354">
        <v>4.9910779607945823</v>
      </c>
      <c r="I102" s="354">
        <v>5.0030621622657421</v>
      </c>
      <c r="J102" s="354">
        <v>5.006275258227415</v>
      </c>
      <c r="K102" s="354">
        <v>5.0073052043649078</v>
      </c>
      <c r="L102" s="354">
        <v>4.9909502245064132</v>
      </c>
    </row>
    <row r="103" spans="1:12">
      <c r="A103" s="355" t="s">
        <v>180</v>
      </c>
      <c r="B103" s="356">
        <v>2357.5804832180424</v>
      </c>
      <c r="C103" s="356">
        <v>2489.3195796735367</v>
      </c>
      <c r="D103" s="356">
        <v>2670.8070456437613</v>
      </c>
      <c r="E103" s="356">
        <v>2828.8949602107855</v>
      </c>
      <c r="F103" s="356">
        <v>2937.8774134459445</v>
      </c>
      <c r="G103" s="356">
        <v>3028.723823139539</v>
      </c>
      <c r="H103" s="356">
        <v>3215.6568868205031</v>
      </c>
      <c r="I103" s="356">
        <v>3304.4699507222608</v>
      </c>
      <c r="J103" s="356">
        <v>3379.7031906452744</v>
      </c>
      <c r="K103" s="356">
        <v>3467.9078926906591</v>
      </c>
      <c r="L103" s="356">
        <v>3578.7817494267201</v>
      </c>
    </row>
    <row r="104" spans="1:12" ht="6.95" customHeight="1">
      <c r="A104" s="348"/>
      <c r="B104" s="353"/>
      <c r="C104" s="354"/>
      <c r="D104" s="354"/>
      <c r="E104" s="354"/>
      <c r="F104" s="354"/>
      <c r="G104" s="354"/>
      <c r="H104" s="354"/>
      <c r="I104" s="354"/>
      <c r="J104" s="354"/>
      <c r="K104" s="354"/>
      <c r="L104" s="354"/>
    </row>
    <row r="105" spans="1:12">
      <c r="A105" s="348" t="s">
        <v>163</v>
      </c>
      <c r="B105" s="353">
        <v>247.53555632984796</v>
      </c>
      <c r="C105" s="354">
        <v>347.13823875450157</v>
      </c>
      <c r="D105" s="354">
        <v>502.29965466255146</v>
      </c>
      <c r="E105" s="354">
        <v>676.30859518421721</v>
      </c>
      <c r="F105" s="354">
        <v>862.34316029278034</v>
      </c>
      <c r="G105" s="354">
        <v>1008.6881734427207</v>
      </c>
      <c r="H105" s="354">
        <v>1198.2411404992804</v>
      </c>
      <c r="I105" s="354">
        <v>1255.9711406015704</v>
      </c>
      <c r="J105" s="354">
        <v>1286.4525433724584</v>
      </c>
      <c r="K105" s="354">
        <v>1363.7870599129885</v>
      </c>
      <c r="L105" s="354">
        <v>1469.9083374541997</v>
      </c>
    </row>
    <row r="106" spans="1:12">
      <c r="A106" s="357" t="s">
        <v>178</v>
      </c>
      <c r="B106" s="353">
        <v>247.53555632984796</v>
      </c>
      <c r="C106" s="354">
        <v>347.13823875450157</v>
      </c>
      <c r="D106" s="354">
        <v>502.29965466255146</v>
      </c>
      <c r="E106" s="354">
        <v>676.30859518421721</v>
      </c>
      <c r="F106" s="354">
        <v>862.34316029278034</v>
      </c>
      <c r="G106" s="354">
        <v>1008.6881734427207</v>
      </c>
      <c r="H106" s="354">
        <v>1198.2411404992804</v>
      </c>
      <c r="I106" s="354">
        <v>1255.9711406015704</v>
      </c>
      <c r="J106" s="354">
        <v>1286.4525433724584</v>
      </c>
      <c r="K106" s="354">
        <v>1363.7870599129885</v>
      </c>
      <c r="L106" s="354">
        <v>1469.9083374541997</v>
      </c>
    </row>
    <row r="107" spans="1:12">
      <c r="A107" s="357" t="s">
        <v>165</v>
      </c>
      <c r="B107" s="353">
        <v>0</v>
      </c>
      <c r="C107" s="354">
        <v>0</v>
      </c>
      <c r="D107" s="354">
        <v>0</v>
      </c>
      <c r="E107" s="354">
        <v>0</v>
      </c>
      <c r="F107" s="354">
        <v>0</v>
      </c>
      <c r="G107" s="354">
        <v>0</v>
      </c>
      <c r="H107" s="354">
        <v>0</v>
      </c>
      <c r="I107" s="354">
        <v>0</v>
      </c>
      <c r="J107" s="354">
        <v>0</v>
      </c>
      <c r="K107" s="354">
        <v>0</v>
      </c>
      <c r="L107" s="354">
        <v>0</v>
      </c>
    </row>
    <row r="108" spans="1:12">
      <c r="A108" s="348" t="s">
        <v>166</v>
      </c>
      <c r="B108" s="353">
        <v>2000</v>
      </c>
      <c r="C108" s="354">
        <v>1974.6195121409553</v>
      </c>
      <c r="D108" s="354">
        <v>1874.6195121409555</v>
      </c>
      <c r="E108" s="354">
        <v>1774.6195121409555</v>
      </c>
      <c r="F108" s="354">
        <v>1674.6195121409551</v>
      </c>
      <c r="G108" s="354">
        <v>1574.6195121409553</v>
      </c>
      <c r="H108" s="354">
        <v>1512.6902439295227</v>
      </c>
      <c r="I108" s="354">
        <v>1550</v>
      </c>
      <c r="J108" s="354">
        <v>1549.9999999999998</v>
      </c>
      <c r="K108" s="354">
        <v>1550</v>
      </c>
      <c r="L108" s="354">
        <v>1550</v>
      </c>
    </row>
    <row r="109" spans="1:12">
      <c r="A109" s="348" t="s">
        <v>167</v>
      </c>
      <c r="B109" s="353">
        <v>38.093674734175046</v>
      </c>
      <c r="C109" s="354">
        <v>9.9455673069263337</v>
      </c>
      <c r="D109" s="354">
        <v>9.8841775720662906</v>
      </c>
      <c r="E109" s="354">
        <v>10.05034186089414</v>
      </c>
      <c r="F109" s="354">
        <v>9.782154861447987</v>
      </c>
      <c r="G109" s="354">
        <v>28.237729680872455</v>
      </c>
      <c r="H109" s="354">
        <v>79.909018736952078</v>
      </c>
      <c r="I109" s="354">
        <v>79.960668690787699</v>
      </c>
      <c r="J109" s="354">
        <v>80.005382816893217</v>
      </c>
      <c r="K109" s="354">
        <v>79.992200035423153</v>
      </c>
      <c r="L109" s="354">
        <v>81.319269511207267</v>
      </c>
    </row>
    <row r="110" spans="1:12">
      <c r="A110" s="355" t="s">
        <v>181</v>
      </c>
      <c r="B110" s="356">
        <v>2285.6292310640233</v>
      </c>
      <c r="C110" s="356">
        <v>2331.7033182023833</v>
      </c>
      <c r="D110" s="356">
        <v>2386.803344375573</v>
      </c>
      <c r="E110" s="356">
        <v>2460.9784491860669</v>
      </c>
      <c r="F110" s="356">
        <v>2546.7448272951833</v>
      </c>
      <c r="G110" s="356">
        <v>2611.5454152645484</v>
      </c>
      <c r="H110" s="356">
        <v>2790.8404031657551</v>
      </c>
      <c r="I110" s="356">
        <v>2885.9318092923581</v>
      </c>
      <c r="J110" s="356">
        <v>2916.4579261893518</v>
      </c>
      <c r="K110" s="356">
        <v>2993.7792599484114</v>
      </c>
      <c r="L110" s="356">
        <v>3101.2276069654072</v>
      </c>
    </row>
    <row r="111" spans="1:12" ht="15.75" thickBot="1">
      <c r="A111" s="348" t="s">
        <v>199</v>
      </c>
      <c r="B111" s="353">
        <v>71.95125215401913</v>
      </c>
      <c r="C111" s="354">
        <v>157.61626147115339</v>
      </c>
      <c r="D111" s="354">
        <v>284.00370126818825</v>
      </c>
      <c r="E111" s="354">
        <v>367.9165110247186</v>
      </c>
      <c r="F111" s="354">
        <v>391.1325861507612</v>
      </c>
      <c r="G111" s="354">
        <v>417.17840787499063</v>
      </c>
      <c r="H111" s="354">
        <v>424.81648365474803</v>
      </c>
      <c r="I111" s="354">
        <v>418.53814142990268</v>
      </c>
      <c r="J111" s="354">
        <v>463.24526445592255</v>
      </c>
      <c r="K111" s="354">
        <v>474.12863274224765</v>
      </c>
      <c r="L111" s="354">
        <v>477.55414246131295</v>
      </c>
    </row>
    <row r="112" spans="1:12" ht="15.75" thickBot="1">
      <c r="A112" s="505" t="s">
        <v>172</v>
      </c>
      <c r="B112" s="506">
        <v>30</v>
      </c>
      <c r="C112" s="507">
        <v>32</v>
      </c>
      <c r="D112" s="507">
        <v>34</v>
      </c>
      <c r="E112" s="507">
        <v>36</v>
      </c>
      <c r="F112" s="507">
        <v>38</v>
      </c>
      <c r="G112" s="507">
        <v>40</v>
      </c>
      <c r="H112" s="507">
        <v>42</v>
      </c>
      <c r="I112" s="507">
        <v>43</v>
      </c>
      <c r="J112" s="507">
        <v>44</v>
      </c>
      <c r="K112" s="507">
        <v>45</v>
      </c>
      <c r="L112" s="508">
        <v>46</v>
      </c>
    </row>
    <row r="113" spans="1:12" ht="15.75" thickBot="1">
      <c r="A113" s="359" t="s">
        <v>173</v>
      </c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</row>
    <row r="114" spans="1:12" ht="15.75" thickBot="1">
      <c r="A114" s="386" t="s">
        <v>174</v>
      </c>
      <c r="B114" s="387">
        <v>2019</v>
      </c>
      <c r="C114" s="388">
        <v>2020</v>
      </c>
      <c r="D114" s="388">
        <v>2021</v>
      </c>
      <c r="E114" s="388">
        <v>2022</v>
      </c>
      <c r="F114" s="388">
        <v>2023</v>
      </c>
      <c r="G114" s="388">
        <v>2024</v>
      </c>
      <c r="H114" s="388">
        <v>2025</v>
      </c>
      <c r="I114" s="388">
        <v>2026</v>
      </c>
      <c r="J114" s="388">
        <v>2027</v>
      </c>
      <c r="K114" s="388">
        <v>2028</v>
      </c>
      <c r="L114" s="387">
        <v>2029</v>
      </c>
    </row>
    <row r="115" spans="1:12" ht="15.75" thickBot="1">
      <c r="A115" s="333" t="s">
        <v>172</v>
      </c>
      <c r="B115" s="295">
        <v>28</v>
      </c>
      <c r="C115" s="296">
        <v>25</v>
      </c>
      <c r="D115" s="296">
        <v>26</v>
      </c>
      <c r="E115" s="296">
        <v>27</v>
      </c>
      <c r="F115" s="296">
        <v>28</v>
      </c>
      <c r="G115" s="296">
        <v>29</v>
      </c>
      <c r="H115" s="296">
        <v>30</v>
      </c>
      <c r="I115" s="296">
        <v>32</v>
      </c>
      <c r="J115" s="296">
        <v>33</v>
      </c>
      <c r="K115" s="296">
        <v>34</v>
      </c>
      <c r="L115" s="296">
        <v>35</v>
      </c>
    </row>
    <row r="116" spans="1:12">
      <c r="A116" s="416"/>
      <c r="B116" s="416"/>
      <c r="C116" s="416"/>
      <c r="D116" s="416"/>
      <c r="E116" s="416"/>
      <c r="F116" s="416"/>
      <c r="G116" s="416"/>
      <c r="H116" s="416"/>
      <c r="I116" s="416"/>
      <c r="J116" s="416"/>
      <c r="K116" s="416"/>
      <c r="L116" s="416"/>
    </row>
    <row r="117" spans="1:12" ht="15.75" thickBot="1">
      <c r="A117" s="348" t="s">
        <v>200</v>
      </c>
      <c r="B117" s="348"/>
      <c r="C117" s="348"/>
      <c r="D117" s="348"/>
      <c r="E117" s="348"/>
      <c r="F117" s="348"/>
      <c r="G117" s="348"/>
      <c r="H117" s="348"/>
      <c r="I117" s="348"/>
      <c r="J117" s="348"/>
      <c r="K117" s="348"/>
      <c r="L117" s="348"/>
    </row>
    <row r="118" spans="1:12" ht="15.75" thickBot="1">
      <c r="A118" s="349"/>
      <c r="B118" s="350">
        <v>2019</v>
      </c>
      <c r="C118" s="350">
        <v>2020</v>
      </c>
      <c r="D118" s="350">
        <v>2021</v>
      </c>
      <c r="E118" s="350">
        <v>2022</v>
      </c>
      <c r="F118" s="350">
        <v>2023</v>
      </c>
      <c r="G118" s="350">
        <v>2024</v>
      </c>
      <c r="H118" s="350">
        <v>2025</v>
      </c>
      <c r="I118" s="350">
        <v>2026</v>
      </c>
      <c r="J118" s="350">
        <v>2027</v>
      </c>
      <c r="K118" s="350">
        <v>2028</v>
      </c>
      <c r="L118" s="350">
        <v>2029</v>
      </c>
    </row>
    <row r="119" spans="1:12">
      <c r="A119" s="348" t="s">
        <v>160</v>
      </c>
      <c r="B119" s="509">
        <v>77</v>
      </c>
      <c r="C119" s="510">
        <f>B131</f>
        <v>-8</v>
      </c>
      <c r="D119" s="510">
        <f t="shared" ref="D119:L119" si="20">C131</f>
        <v>-1506.0936938423611</v>
      </c>
      <c r="E119" s="510">
        <f t="shared" si="20"/>
        <v>-2727.8695523037422</v>
      </c>
      <c r="F119" s="510">
        <f t="shared" si="20"/>
        <v>-3014.0936247153177</v>
      </c>
      <c r="G119" s="510">
        <f t="shared" si="20"/>
        <v>-3568.096312457671</v>
      </c>
      <c r="H119" s="510">
        <f t="shared" si="20"/>
        <v>-3545.0954232644353</v>
      </c>
      <c r="I119" s="510">
        <f t="shared" si="20"/>
        <v>-3480.7354006798187</v>
      </c>
      <c r="J119" s="510">
        <f t="shared" si="20"/>
        <v>-2931.8910064033953</v>
      </c>
      <c r="K119" s="510">
        <f t="shared" si="20"/>
        <v>-2562.4867914484439</v>
      </c>
      <c r="L119" s="510">
        <f t="shared" si="20"/>
        <v>-2242.2331558547794</v>
      </c>
    </row>
    <row r="120" spans="1:12">
      <c r="A120" s="407" t="s">
        <v>161</v>
      </c>
      <c r="B120" s="511">
        <v>5303</v>
      </c>
      <c r="C120" s="315">
        <f>SUM(B120*1.05)</f>
        <v>5568.1500000000005</v>
      </c>
      <c r="D120" s="315">
        <f>SUM(C120*1.05)</f>
        <v>5846.5575000000008</v>
      </c>
      <c r="E120" s="315">
        <f>SUM(D120*1.05)</f>
        <v>6138.8853750000007</v>
      </c>
      <c r="F120" s="315">
        <f>SUM(E120*1.05)</f>
        <v>6445.8296437500012</v>
      </c>
      <c r="G120" s="315">
        <f>SUM(F120*1.05)</f>
        <v>6768.1211259375013</v>
      </c>
      <c r="H120" s="315">
        <f>SUM(G120*1.025)</f>
        <v>6937.3241540859381</v>
      </c>
      <c r="I120" s="315">
        <f>SUM(H120*1.025)</f>
        <v>7110.7572579380858</v>
      </c>
      <c r="J120" s="315">
        <f>SUM(I120*1.025)</f>
        <v>7288.5261893865372</v>
      </c>
      <c r="K120" s="315">
        <f>SUM(J120*1.025)</f>
        <v>7470.7393441211998</v>
      </c>
      <c r="L120" s="315">
        <f>SUM(K120*1.025)</f>
        <v>7657.5078277242292</v>
      </c>
    </row>
    <row r="121" spans="1:12">
      <c r="A121" s="348" t="s">
        <v>162</v>
      </c>
      <c r="B121" s="353">
        <v>0</v>
      </c>
      <c r="C121" s="354">
        <v>0</v>
      </c>
      <c r="D121" s="354">
        <v>0</v>
      </c>
      <c r="E121" s="354">
        <v>0</v>
      </c>
      <c r="F121" s="354">
        <v>0</v>
      </c>
      <c r="G121" s="354">
        <v>0</v>
      </c>
      <c r="H121" s="354">
        <v>0</v>
      </c>
      <c r="I121" s="354">
        <v>0</v>
      </c>
      <c r="J121" s="354">
        <v>0</v>
      </c>
      <c r="K121" s="354">
        <v>0</v>
      </c>
      <c r="L121" s="354">
        <v>0</v>
      </c>
    </row>
    <row r="122" spans="1:12">
      <c r="A122" s="355" t="s">
        <v>180</v>
      </c>
      <c r="B122" s="356">
        <f>SUM(B119:B121)</f>
        <v>5380</v>
      </c>
      <c r="C122" s="356">
        <f t="shared" ref="C122:L122" si="21">SUM(C119:C121)</f>
        <v>5560.1500000000005</v>
      </c>
      <c r="D122" s="356">
        <f t="shared" si="21"/>
        <v>4340.4638061576397</v>
      </c>
      <c r="E122" s="356">
        <f t="shared" si="21"/>
        <v>3411.0158226962585</v>
      </c>
      <c r="F122" s="356">
        <f t="shared" si="21"/>
        <v>3431.7360190346835</v>
      </c>
      <c r="G122" s="356">
        <f t="shared" si="21"/>
        <v>3200.0248134798303</v>
      </c>
      <c r="H122" s="356">
        <f t="shared" si="21"/>
        <v>3392.2287308215027</v>
      </c>
      <c r="I122" s="356">
        <f t="shared" si="21"/>
        <v>3630.0218572582671</v>
      </c>
      <c r="J122" s="356">
        <f t="shared" si="21"/>
        <v>4356.6351829831419</v>
      </c>
      <c r="K122" s="356">
        <f t="shared" si="21"/>
        <v>4908.2525526727559</v>
      </c>
      <c r="L122" s="356">
        <f t="shared" si="21"/>
        <v>5415.2746718694498</v>
      </c>
    </row>
    <row r="123" spans="1:12" ht="6.95" customHeight="1">
      <c r="A123" s="348"/>
      <c r="B123" s="353"/>
      <c r="C123" s="354"/>
      <c r="D123" s="354"/>
      <c r="E123" s="354"/>
      <c r="F123" s="354"/>
      <c r="G123" s="354"/>
      <c r="H123" s="354"/>
      <c r="I123" s="354"/>
      <c r="J123" s="354"/>
      <c r="K123" s="354"/>
      <c r="L123" s="354"/>
    </row>
    <row r="124" spans="1:12">
      <c r="A124" s="348" t="s">
        <v>163</v>
      </c>
      <c r="B124" s="353">
        <f>SUM(B127+B126+B125)</f>
        <v>1760</v>
      </c>
      <c r="C124" s="358">
        <f t="shared" ref="C124:L124" si="22">SUM(C127+C126+C125)</f>
        <v>3516.2436938423616</v>
      </c>
      <c r="D124" s="358">
        <f t="shared" si="22"/>
        <v>3568.333358461382</v>
      </c>
      <c r="E124" s="358">
        <f t="shared" si="22"/>
        <v>3475.1094474115766</v>
      </c>
      <c r="F124" s="358">
        <f t="shared" si="22"/>
        <v>4099.8323314923546</v>
      </c>
      <c r="G124" s="358">
        <f t="shared" si="22"/>
        <v>4145.1202367442656</v>
      </c>
      <c r="H124" s="358">
        <f t="shared" si="22"/>
        <v>4322.9641315013214</v>
      </c>
      <c r="I124" s="358">
        <f t="shared" si="22"/>
        <v>4286.9128636616624</v>
      </c>
      <c r="J124" s="358">
        <f t="shared" si="22"/>
        <v>4669.1219744315858</v>
      </c>
      <c r="K124" s="358">
        <f t="shared" si="22"/>
        <v>5175.4857085275353</v>
      </c>
      <c r="L124" s="358">
        <f t="shared" si="22"/>
        <v>5637.2462386905845</v>
      </c>
    </row>
    <row r="125" spans="1:12">
      <c r="A125" s="357" t="s">
        <v>176</v>
      </c>
      <c r="B125" s="353">
        <v>400</v>
      </c>
      <c r="C125" s="354">
        <v>1448.83484054715</v>
      </c>
      <c r="D125" s="354">
        <v>1497.0748135190718</v>
      </c>
      <c r="E125" s="354">
        <v>1809.9793777098387</v>
      </c>
      <c r="F125" s="354">
        <v>2093</v>
      </c>
      <c r="G125" s="354">
        <v>2147</v>
      </c>
      <c r="H125" s="354">
        <v>2247</v>
      </c>
      <c r="I125" s="354">
        <v>2237</v>
      </c>
      <c r="J125" s="354">
        <v>2679</v>
      </c>
      <c r="K125" s="354">
        <v>3213</v>
      </c>
      <c r="L125" s="354">
        <v>3599.7989172206776</v>
      </c>
    </row>
    <row r="126" spans="1:12">
      <c r="A126" s="357" t="s">
        <v>178</v>
      </c>
      <c r="B126" s="353">
        <v>1360</v>
      </c>
      <c r="C126" s="354">
        <v>2052</v>
      </c>
      <c r="D126" s="354">
        <v>1890</v>
      </c>
      <c r="E126" s="354">
        <v>1665.130069701738</v>
      </c>
      <c r="F126" s="354">
        <v>1217.1786752234445</v>
      </c>
      <c r="G126" s="354">
        <v>1042.6137754112979</v>
      </c>
      <c r="H126" s="354">
        <v>1050</v>
      </c>
      <c r="I126" s="354">
        <v>985</v>
      </c>
      <c r="J126" s="354">
        <v>894</v>
      </c>
      <c r="K126" s="354">
        <v>825</v>
      </c>
      <c r="L126" s="354">
        <v>779.4012620290988</v>
      </c>
    </row>
    <row r="127" spans="1:12">
      <c r="A127" s="357" t="s">
        <v>165</v>
      </c>
      <c r="B127" s="353">
        <v>0</v>
      </c>
      <c r="C127" s="354">
        <v>15.408853295211951</v>
      </c>
      <c r="D127" s="354">
        <v>181.25854494231018</v>
      </c>
      <c r="E127" s="354">
        <v>0</v>
      </c>
      <c r="F127" s="354">
        <v>789.65365626891037</v>
      </c>
      <c r="G127" s="354">
        <v>955.50646133296732</v>
      </c>
      <c r="H127" s="354">
        <v>1025.9641315013214</v>
      </c>
      <c r="I127" s="354">
        <v>1064.9128636616622</v>
      </c>
      <c r="J127" s="354">
        <v>1096.1219744315856</v>
      </c>
      <c r="K127" s="354">
        <v>1137.4857085275355</v>
      </c>
      <c r="L127" s="354">
        <v>1258.046059440808</v>
      </c>
    </row>
    <row r="128" spans="1:12">
      <c r="A128" s="348" t="s">
        <v>166</v>
      </c>
      <c r="B128" s="353">
        <v>3046</v>
      </c>
      <c r="C128" s="354">
        <v>3000</v>
      </c>
      <c r="D128" s="354">
        <v>3000</v>
      </c>
      <c r="E128" s="354">
        <v>2500</v>
      </c>
      <c r="F128" s="354">
        <v>2500</v>
      </c>
      <c r="G128" s="354">
        <v>2250</v>
      </c>
      <c r="H128" s="354">
        <v>2250</v>
      </c>
      <c r="I128" s="354">
        <v>2000</v>
      </c>
      <c r="J128" s="354">
        <v>2000</v>
      </c>
      <c r="K128" s="354">
        <v>1750</v>
      </c>
      <c r="L128" s="354">
        <v>1750</v>
      </c>
    </row>
    <row r="129" spans="1:12">
      <c r="A129" s="348" t="s">
        <v>167</v>
      </c>
      <c r="B129" s="353">
        <v>582</v>
      </c>
      <c r="C129" s="354">
        <v>550</v>
      </c>
      <c r="D129" s="354">
        <v>500</v>
      </c>
      <c r="E129" s="354">
        <v>450</v>
      </c>
      <c r="F129" s="354">
        <v>400</v>
      </c>
      <c r="G129" s="354">
        <v>350</v>
      </c>
      <c r="H129" s="354">
        <v>300</v>
      </c>
      <c r="I129" s="354">
        <v>275</v>
      </c>
      <c r="J129" s="354">
        <v>250</v>
      </c>
      <c r="K129" s="354">
        <v>225</v>
      </c>
      <c r="L129" s="354">
        <v>200</v>
      </c>
    </row>
    <row r="130" spans="1:12">
      <c r="A130" s="355" t="s">
        <v>181</v>
      </c>
      <c r="B130" s="356">
        <f>SUM(B124+B128+B129)</f>
        <v>5388</v>
      </c>
      <c r="C130" s="356">
        <f t="shared" ref="C130:L130" si="23">SUM(C124+C128+C129)</f>
        <v>7066.2436938423616</v>
      </c>
      <c r="D130" s="356">
        <f t="shared" si="23"/>
        <v>7068.333358461382</v>
      </c>
      <c r="E130" s="356">
        <f t="shared" si="23"/>
        <v>6425.1094474115762</v>
      </c>
      <c r="F130" s="356">
        <f t="shared" si="23"/>
        <v>6999.8323314923546</v>
      </c>
      <c r="G130" s="356">
        <f t="shared" si="23"/>
        <v>6745.1202367442656</v>
      </c>
      <c r="H130" s="356">
        <f t="shared" si="23"/>
        <v>6872.9641315013214</v>
      </c>
      <c r="I130" s="356">
        <f t="shared" si="23"/>
        <v>6561.9128636616624</v>
      </c>
      <c r="J130" s="356">
        <f t="shared" si="23"/>
        <v>6919.1219744315858</v>
      </c>
      <c r="K130" s="356">
        <f t="shared" si="23"/>
        <v>7150.4857085275353</v>
      </c>
      <c r="L130" s="356">
        <f t="shared" si="23"/>
        <v>7587.2462386905845</v>
      </c>
    </row>
    <row r="131" spans="1:12" ht="15.75" thickBot="1">
      <c r="A131" s="407" t="s">
        <v>169</v>
      </c>
      <c r="B131" s="512">
        <f>SUM(B122-B130)</f>
        <v>-8</v>
      </c>
      <c r="C131" s="354">
        <f t="shared" ref="C131:L131" si="24">SUM(C122-C130)</f>
        <v>-1506.0936938423611</v>
      </c>
      <c r="D131" s="354">
        <f t="shared" si="24"/>
        <v>-2727.8695523037422</v>
      </c>
      <c r="E131" s="354">
        <f t="shared" si="24"/>
        <v>-3014.0936247153177</v>
      </c>
      <c r="F131" s="354">
        <f t="shared" si="24"/>
        <v>-3568.096312457671</v>
      </c>
      <c r="G131" s="354">
        <f t="shared" si="24"/>
        <v>-3545.0954232644353</v>
      </c>
      <c r="H131" s="354">
        <f t="shared" si="24"/>
        <v>-3480.7354006798187</v>
      </c>
      <c r="I131" s="354">
        <f t="shared" si="24"/>
        <v>-2931.8910064033953</v>
      </c>
      <c r="J131" s="354">
        <f t="shared" si="24"/>
        <v>-2562.4867914484439</v>
      </c>
      <c r="K131" s="354">
        <f t="shared" si="24"/>
        <v>-2242.2331558547794</v>
      </c>
      <c r="L131" s="354">
        <f t="shared" si="24"/>
        <v>-2171.9715668211347</v>
      </c>
    </row>
    <row r="132" spans="1:12" ht="15.75" thickBot="1">
      <c r="A132" s="513" t="s">
        <v>172</v>
      </c>
      <c r="B132" s="514">
        <v>24.25</v>
      </c>
      <c r="C132" s="515">
        <v>25</v>
      </c>
      <c r="D132" s="515">
        <v>26</v>
      </c>
      <c r="E132" s="515">
        <v>28</v>
      </c>
      <c r="F132" s="515">
        <v>30</v>
      </c>
      <c r="G132" s="515">
        <v>32</v>
      </c>
      <c r="H132" s="515">
        <v>34</v>
      </c>
      <c r="I132" s="515">
        <v>35</v>
      </c>
      <c r="J132" s="515">
        <v>36</v>
      </c>
      <c r="K132" s="515">
        <v>37</v>
      </c>
      <c r="L132" s="515">
        <v>38</v>
      </c>
    </row>
    <row r="133" spans="1:12" ht="15.75" thickBot="1">
      <c r="A133" s="516" t="s">
        <v>173</v>
      </c>
      <c r="B133" s="517"/>
      <c r="C133" s="517"/>
      <c r="D133" s="518"/>
      <c r="E133" s="517"/>
      <c r="F133" s="518"/>
      <c r="G133" s="519"/>
      <c r="H133" s="517"/>
      <c r="I133" s="518"/>
      <c r="J133" s="517"/>
      <c r="K133" s="348"/>
      <c r="L133" s="348"/>
    </row>
    <row r="134" spans="1:12" ht="15.75" thickBot="1">
      <c r="A134" s="520" t="s">
        <v>174</v>
      </c>
      <c r="B134" s="521">
        <v>2019</v>
      </c>
      <c r="C134" s="413">
        <v>2020</v>
      </c>
      <c r="D134" s="413">
        <v>2021</v>
      </c>
      <c r="E134" s="413">
        <v>2022</v>
      </c>
      <c r="F134" s="413">
        <v>2023</v>
      </c>
      <c r="G134" s="413">
        <v>2024</v>
      </c>
      <c r="H134" s="522">
        <v>2025</v>
      </c>
      <c r="I134" s="522">
        <v>2026</v>
      </c>
      <c r="J134" s="522">
        <v>2027</v>
      </c>
      <c r="K134" s="522">
        <v>2028</v>
      </c>
      <c r="L134" s="523">
        <v>2029</v>
      </c>
    </row>
    <row r="135" spans="1:12" ht="15.75" thickBot="1">
      <c r="A135" s="342" t="s">
        <v>172</v>
      </c>
      <c r="B135" s="524">
        <v>24.25</v>
      </c>
      <c r="C135" s="296">
        <v>23</v>
      </c>
      <c r="D135" s="296">
        <v>25</v>
      </c>
      <c r="E135" s="296">
        <v>27</v>
      </c>
      <c r="F135" s="296">
        <v>30</v>
      </c>
      <c r="G135" s="296">
        <v>32</v>
      </c>
      <c r="H135" s="302">
        <v>34</v>
      </c>
      <c r="I135" s="302">
        <v>35</v>
      </c>
      <c r="J135" s="302">
        <v>36</v>
      </c>
      <c r="K135" s="302">
        <v>37</v>
      </c>
      <c r="L135" s="303">
        <v>38</v>
      </c>
    </row>
    <row r="136" spans="1:12">
      <c r="A136" s="416"/>
      <c r="B136" s="416"/>
      <c r="C136" s="416"/>
      <c r="D136" s="416"/>
      <c r="E136" s="416"/>
      <c r="F136" s="416"/>
      <c r="G136" s="416"/>
      <c r="H136" s="416"/>
      <c r="I136" s="416"/>
      <c r="J136" s="416"/>
      <c r="K136" s="416"/>
      <c r="L136" s="416"/>
    </row>
    <row r="137" spans="1:12" ht="15.75" thickBot="1">
      <c r="A137" s="416"/>
      <c r="B137" s="416"/>
      <c r="C137" s="416"/>
      <c r="D137" s="416"/>
      <c r="E137" s="416"/>
      <c r="F137" s="416"/>
      <c r="G137" s="416"/>
      <c r="H137" s="416"/>
      <c r="I137" s="416"/>
      <c r="J137" s="416"/>
      <c r="K137" s="416"/>
      <c r="L137" s="416"/>
    </row>
    <row r="138" spans="1:12" ht="15.75" thickBot="1">
      <c r="A138" s="416" t="s">
        <v>189</v>
      </c>
      <c r="B138" s="525">
        <v>5303</v>
      </c>
      <c r="C138" s="418">
        <f>SUM(B138*1.05)</f>
        <v>5568.1500000000005</v>
      </c>
      <c r="D138" s="418">
        <f>SUM(C138*1.05)</f>
        <v>5846.5575000000008</v>
      </c>
      <c r="E138" s="418">
        <f>SUM(D138*1.05)</f>
        <v>6138.8853750000007</v>
      </c>
      <c r="F138" s="418">
        <f>SUM(E138*1.05)</f>
        <v>6445.8296437500012</v>
      </c>
      <c r="G138" s="418">
        <f>SUM(F138*1.05)</f>
        <v>6768.1211259375013</v>
      </c>
      <c r="H138" s="418">
        <f>SUM(G138*1.025)</f>
        <v>6937.3241540859381</v>
      </c>
      <c r="I138" s="418">
        <f>SUM(H138*1.025)</f>
        <v>7110.7572579380858</v>
      </c>
      <c r="J138" s="418">
        <f>SUM(I138*1.025)</f>
        <v>7288.5261893865372</v>
      </c>
      <c r="K138" s="418">
        <f>SUM(J138*1.025)</f>
        <v>7470.7393441211998</v>
      </c>
      <c r="L138" s="418">
        <f>SUM(K138*1.025)</f>
        <v>7657.5078277242292</v>
      </c>
    </row>
    <row r="139" spans="1:12">
      <c r="A139" s="416"/>
      <c r="B139" s="416"/>
      <c r="C139" s="416" t="s">
        <v>190</v>
      </c>
      <c r="D139" s="416" t="s">
        <v>190</v>
      </c>
      <c r="E139" s="416" t="s">
        <v>190</v>
      </c>
      <c r="F139" s="416" t="s">
        <v>190</v>
      </c>
      <c r="G139" s="416" t="s">
        <v>190</v>
      </c>
      <c r="H139" s="416" t="s">
        <v>190</v>
      </c>
      <c r="I139" s="416" t="s">
        <v>191</v>
      </c>
      <c r="J139" s="416" t="s">
        <v>191</v>
      </c>
      <c r="K139" s="416" t="s">
        <v>191</v>
      </c>
      <c r="L139" s="416" t="s">
        <v>191</v>
      </c>
    </row>
    <row r="140" spans="1:12" ht="15.75" thickBot="1">
      <c r="A140" s="416"/>
      <c r="B140" s="416"/>
      <c r="C140" s="416"/>
      <c r="D140" s="416"/>
      <c r="E140" s="416"/>
      <c r="F140" s="416"/>
      <c r="G140" s="416"/>
      <c r="H140" s="416"/>
      <c r="I140" s="416"/>
      <c r="J140" s="416"/>
      <c r="K140" s="416"/>
      <c r="L140" s="416"/>
    </row>
    <row r="141" spans="1:12" ht="15.75" thickBot="1">
      <c r="A141" s="416" t="s">
        <v>163</v>
      </c>
      <c r="B141" s="526">
        <v>1760</v>
      </c>
      <c r="C141" s="423">
        <v>3616</v>
      </c>
      <c r="D141" s="423">
        <v>3790</v>
      </c>
      <c r="E141" s="423">
        <v>3475</v>
      </c>
      <c r="F141" s="423">
        <v>4180</v>
      </c>
      <c r="G141" s="423">
        <v>4319</v>
      </c>
      <c r="H141" s="423">
        <v>4323</v>
      </c>
      <c r="I141" s="423">
        <v>4288</v>
      </c>
      <c r="J141" s="423">
        <v>4669</v>
      </c>
      <c r="K141" s="423">
        <v>6175</v>
      </c>
      <c r="L141" s="423">
        <v>5637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AAFE-E89F-4706-928A-C7DBF562A517}">
  <dimension ref="A1:Q144"/>
  <sheetViews>
    <sheetView zoomScale="120" zoomScaleNormal="120" workbookViewId="0">
      <selection activeCell="D78" sqref="D78"/>
    </sheetView>
  </sheetViews>
  <sheetFormatPr defaultColWidth="8.85546875" defaultRowHeight="15"/>
  <cols>
    <col min="1" max="1" width="30.42578125" customWidth="1"/>
  </cols>
  <sheetData>
    <row r="1" spans="1:12" ht="15.75" thickBot="1">
      <c r="A1" s="424" t="s">
        <v>201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2" spans="1:12" ht="15.75" thickBot="1">
      <c r="A2" s="350"/>
      <c r="B2" s="350">
        <v>2019</v>
      </c>
      <c r="C2" s="350">
        <v>2020</v>
      </c>
      <c r="D2" s="350">
        <v>2021</v>
      </c>
      <c r="E2" s="350">
        <v>2022</v>
      </c>
      <c r="F2" s="350">
        <v>2023</v>
      </c>
      <c r="G2" s="350">
        <v>2024</v>
      </c>
      <c r="H2" s="350">
        <v>2025</v>
      </c>
      <c r="I2" s="350">
        <v>2026</v>
      </c>
      <c r="J2" s="350">
        <v>2027</v>
      </c>
      <c r="K2" s="350">
        <v>2028</v>
      </c>
      <c r="L2" s="350">
        <v>2029</v>
      </c>
    </row>
    <row r="3" spans="1:12">
      <c r="A3" s="425" t="s">
        <v>160</v>
      </c>
      <c r="B3" s="426">
        <v>2391</v>
      </c>
      <c r="C3" s="427">
        <v>2966</v>
      </c>
      <c r="D3" s="427">
        <v>4112</v>
      </c>
      <c r="E3" s="427">
        <v>5640</v>
      </c>
      <c r="F3" s="427">
        <v>7686</v>
      </c>
      <c r="G3" s="427">
        <v>10962</v>
      </c>
      <c r="H3" s="427">
        <v>15049</v>
      </c>
      <c r="I3" s="427">
        <v>19767</v>
      </c>
      <c r="J3" s="427">
        <v>24674</v>
      </c>
      <c r="K3" s="527">
        <v>29452</v>
      </c>
      <c r="L3" s="428">
        <v>34749</v>
      </c>
    </row>
    <row r="4" spans="1:12">
      <c r="A4" s="407" t="s">
        <v>161</v>
      </c>
      <c r="B4" s="314">
        <v>24259</v>
      </c>
      <c r="C4" s="322">
        <v>23936</v>
      </c>
      <c r="D4" s="322">
        <v>23602</v>
      </c>
      <c r="E4" s="322">
        <v>23471</v>
      </c>
      <c r="F4" s="322">
        <v>23887</v>
      </c>
      <c r="G4" s="322">
        <v>23471</v>
      </c>
      <c r="H4" s="322">
        <v>23528</v>
      </c>
      <c r="I4" s="322">
        <v>23603</v>
      </c>
      <c r="J4" s="322">
        <v>23527</v>
      </c>
      <c r="K4" s="479">
        <v>23759</v>
      </c>
      <c r="L4" s="319">
        <v>23849</v>
      </c>
    </row>
    <row r="5" spans="1:12">
      <c r="A5" s="407" t="s">
        <v>162</v>
      </c>
      <c r="B5" s="317">
        <v>341</v>
      </c>
      <c r="C5" s="318">
        <v>449</v>
      </c>
      <c r="D5" s="318">
        <v>459</v>
      </c>
      <c r="E5" s="318">
        <v>446</v>
      </c>
      <c r="F5" s="318">
        <v>447</v>
      </c>
      <c r="G5" s="318">
        <v>451</v>
      </c>
      <c r="H5" s="318">
        <v>451</v>
      </c>
      <c r="I5" s="318">
        <v>450</v>
      </c>
      <c r="J5" s="318">
        <v>451</v>
      </c>
      <c r="K5" s="478">
        <v>449</v>
      </c>
      <c r="L5" s="328">
        <v>450</v>
      </c>
    </row>
    <row r="6" spans="1:12">
      <c r="A6" s="429" t="s">
        <v>180</v>
      </c>
      <c r="B6" s="321">
        <v>26990</v>
      </c>
      <c r="C6" s="321">
        <v>27351</v>
      </c>
      <c r="D6" s="321">
        <v>28172</v>
      </c>
      <c r="E6" s="321">
        <v>29557</v>
      </c>
      <c r="F6" s="321">
        <v>32020</v>
      </c>
      <c r="G6" s="321">
        <v>34884</v>
      </c>
      <c r="H6" s="321">
        <v>39027</v>
      </c>
      <c r="I6" s="321">
        <v>43821</v>
      </c>
      <c r="J6" s="321">
        <v>48652</v>
      </c>
      <c r="K6" s="449">
        <v>53660</v>
      </c>
      <c r="L6" s="528">
        <v>59048</v>
      </c>
    </row>
    <row r="7" spans="1:12" ht="8.1" customHeight="1">
      <c r="A7" s="407"/>
      <c r="B7" s="314"/>
      <c r="C7" s="322"/>
      <c r="D7" s="322"/>
      <c r="E7" s="322"/>
      <c r="F7" s="322"/>
      <c r="G7" s="322"/>
      <c r="H7" s="322"/>
      <c r="I7" s="322"/>
      <c r="J7" s="322"/>
      <c r="K7" s="479"/>
      <c r="L7" s="319"/>
    </row>
    <row r="8" spans="1:12">
      <c r="A8" s="407" t="s">
        <v>163</v>
      </c>
      <c r="B8" s="314">
        <v>7150</v>
      </c>
      <c r="C8" s="322">
        <v>6792</v>
      </c>
      <c r="D8" s="322">
        <v>6398</v>
      </c>
      <c r="E8" s="322">
        <v>6237</v>
      </c>
      <c r="F8" s="322">
        <v>6102</v>
      </c>
      <c r="G8" s="322">
        <v>5941</v>
      </c>
      <c r="H8" s="322">
        <v>5760</v>
      </c>
      <c r="I8" s="322">
        <v>5647</v>
      </c>
      <c r="J8" s="322">
        <v>5700</v>
      </c>
      <c r="K8" s="479">
        <v>5411</v>
      </c>
      <c r="L8" s="319">
        <v>4186</v>
      </c>
    </row>
    <row r="9" spans="1:12">
      <c r="A9" s="431" t="s">
        <v>193</v>
      </c>
      <c r="B9" s="314">
        <v>7025</v>
      </c>
      <c r="C9" s="322">
        <v>6502</v>
      </c>
      <c r="D9" s="322">
        <v>5883</v>
      </c>
      <c r="E9" s="322">
        <v>5344</v>
      </c>
      <c r="F9" s="322">
        <v>4934</v>
      </c>
      <c r="G9" s="322">
        <v>4511</v>
      </c>
      <c r="H9" s="322">
        <v>4110</v>
      </c>
      <c r="I9" s="322">
        <v>3788</v>
      </c>
      <c r="J9" s="322">
        <v>3610</v>
      </c>
      <c r="K9" s="479">
        <v>3093</v>
      </c>
      <c r="L9" s="319">
        <v>1633</v>
      </c>
    </row>
    <row r="10" spans="1:12">
      <c r="A10" s="431" t="s">
        <v>165</v>
      </c>
      <c r="B10" s="326">
        <v>125</v>
      </c>
      <c r="C10" s="329">
        <v>290</v>
      </c>
      <c r="D10" s="329">
        <v>514</v>
      </c>
      <c r="E10" s="329">
        <v>893</v>
      </c>
      <c r="F10" s="322">
        <v>1168</v>
      </c>
      <c r="G10" s="322">
        <v>1431</v>
      </c>
      <c r="H10" s="322">
        <v>1649</v>
      </c>
      <c r="I10" s="322">
        <v>1859</v>
      </c>
      <c r="J10" s="322">
        <v>2090</v>
      </c>
      <c r="K10" s="479">
        <v>2318</v>
      </c>
      <c r="L10" s="319">
        <v>2553</v>
      </c>
    </row>
    <row r="11" spans="1:12">
      <c r="A11" s="407" t="s">
        <v>166</v>
      </c>
      <c r="B11" s="314">
        <v>14125</v>
      </c>
      <c r="C11" s="322">
        <v>13750</v>
      </c>
      <c r="D11" s="322">
        <v>13687</v>
      </c>
      <c r="E11" s="322">
        <v>13437</v>
      </c>
      <c r="F11" s="322">
        <v>13062</v>
      </c>
      <c r="G11" s="322">
        <v>12500</v>
      </c>
      <c r="H11" s="322">
        <v>12500</v>
      </c>
      <c r="I11" s="322">
        <v>12500</v>
      </c>
      <c r="J11" s="322">
        <v>12500</v>
      </c>
      <c r="K11" s="479">
        <v>12500</v>
      </c>
      <c r="L11" s="319">
        <v>12500</v>
      </c>
    </row>
    <row r="12" spans="1:12">
      <c r="A12" s="407" t="s">
        <v>167</v>
      </c>
      <c r="B12" s="432">
        <v>2750</v>
      </c>
      <c r="C12" s="433">
        <v>2697</v>
      </c>
      <c r="D12" s="433">
        <v>2447</v>
      </c>
      <c r="E12" s="433">
        <v>2197</v>
      </c>
      <c r="F12" s="433">
        <v>1894</v>
      </c>
      <c r="G12" s="433">
        <v>1394</v>
      </c>
      <c r="H12" s="433">
        <v>1000</v>
      </c>
      <c r="I12" s="433">
        <v>1000</v>
      </c>
      <c r="J12" s="433">
        <v>1000</v>
      </c>
      <c r="K12" s="529">
        <v>1000</v>
      </c>
      <c r="L12" s="319">
        <v>1000</v>
      </c>
    </row>
    <row r="13" spans="1:12">
      <c r="A13" s="429" t="s">
        <v>181</v>
      </c>
      <c r="B13" s="321">
        <v>24025</v>
      </c>
      <c r="C13" s="321">
        <v>23239</v>
      </c>
      <c r="D13" s="321">
        <v>22532</v>
      </c>
      <c r="E13" s="321">
        <v>21871</v>
      </c>
      <c r="F13" s="321">
        <v>21058</v>
      </c>
      <c r="G13" s="321">
        <v>19835</v>
      </c>
      <c r="H13" s="321">
        <v>19260</v>
      </c>
      <c r="I13" s="321">
        <v>19147</v>
      </c>
      <c r="J13" s="321">
        <v>19200</v>
      </c>
      <c r="K13" s="449">
        <v>18911</v>
      </c>
      <c r="L13" s="528">
        <v>17686</v>
      </c>
    </row>
    <row r="14" spans="1:12" ht="15.75" thickBot="1">
      <c r="A14" s="530" t="s">
        <v>169</v>
      </c>
      <c r="B14" s="531">
        <v>2966</v>
      </c>
      <c r="C14" s="532">
        <v>4112</v>
      </c>
      <c r="D14" s="532">
        <v>5640</v>
      </c>
      <c r="E14" s="532">
        <v>7686</v>
      </c>
      <c r="F14" s="532">
        <v>10962</v>
      </c>
      <c r="G14" s="533">
        <v>15049</v>
      </c>
      <c r="H14" s="533">
        <v>19767</v>
      </c>
      <c r="I14" s="533">
        <v>24674</v>
      </c>
      <c r="J14" s="534">
        <v>29452</v>
      </c>
      <c r="K14" s="535">
        <v>34749</v>
      </c>
      <c r="L14" s="532">
        <v>41362</v>
      </c>
    </row>
    <row r="15" spans="1:12" ht="15.75" thickBot="1">
      <c r="A15" s="505" t="s">
        <v>172</v>
      </c>
      <c r="B15" s="536">
        <v>30.5</v>
      </c>
      <c r="C15" s="537">
        <v>31.8</v>
      </c>
      <c r="D15" s="537">
        <v>30.599999999999994</v>
      </c>
      <c r="E15" s="537">
        <v>31.400000000000002</v>
      </c>
      <c r="F15" s="537">
        <v>31.999999999999996</v>
      </c>
      <c r="G15" s="537">
        <v>28.700000000000003</v>
      </c>
      <c r="H15" s="537">
        <v>28.6</v>
      </c>
      <c r="I15" s="537">
        <v>27.400000000000002</v>
      </c>
      <c r="J15" s="537">
        <v>27.200000000000003</v>
      </c>
      <c r="K15" s="537">
        <v>26.8</v>
      </c>
      <c r="L15" s="538">
        <v>26.5</v>
      </c>
    </row>
    <row r="16" spans="1:12" ht="15.75" thickBot="1">
      <c r="A16" s="359" t="s">
        <v>173</v>
      </c>
      <c r="B16" s="439"/>
      <c r="C16" s="439"/>
      <c r="D16" s="439"/>
      <c r="E16" s="439"/>
      <c r="F16" s="439"/>
      <c r="G16" s="439"/>
      <c r="H16" s="439"/>
      <c r="I16" s="439"/>
      <c r="J16" s="439"/>
      <c r="K16" s="439"/>
      <c r="L16" s="439"/>
    </row>
    <row r="17" spans="1:17" ht="15.75" thickBot="1">
      <c r="A17" s="502" t="s">
        <v>174</v>
      </c>
      <c r="B17" s="467">
        <v>2019</v>
      </c>
      <c r="C17" s="364">
        <v>2020</v>
      </c>
      <c r="D17" s="364">
        <v>2021</v>
      </c>
      <c r="E17" s="364">
        <v>2022</v>
      </c>
      <c r="F17" s="364">
        <v>2023</v>
      </c>
      <c r="G17" s="364">
        <v>2024</v>
      </c>
      <c r="H17" s="364">
        <v>2025</v>
      </c>
      <c r="I17" s="503">
        <v>2026</v>
      </c>
      <c r="J17" s="503">
        <v>2027</v>
      </c>
      <c r="K17" s="503">
        <v>2028</v>
      </c>
      <c r="L17" s="381">
        <v>2029</v>
      </c>
    </row>
    <row r="18" spans="1:17" ht="15.75" thickBot="1">
      <c r="A18" s="539" t="s">
        <v>172</v>
      </c>
      <c r="B18" s="540">
        <v>30.5</v>
      </c>
      <c r="C18" s="383">
        <v>26</v>
      </c>
      <c r="D18" s="383">
        <v>28</v>
      </c>
      <c r="E18" s="383">
        <v>30</v>
      </c>
      <c r="F18" s="541">
        <v>31.999999999999996</v>
      </c>
      <c r="G18" s="541">
        <v>28.700000000000003</v>
      </c>
      <c r="H18" s="541">
        <v>28.6</v>
      </c>
      <c r="I18" s="542">
        <v>27.400000000000002</v>
      </c>
      <c r="J18" s="542">
        <v>27.200000000000003</v>
      </c>
      <c r="K18" s="542">
        <v>26.8</v>
      </c>
      <c r="L18" s="543">
        <v>26.5</v>
      </c>
    </row>
    <row r="19" spans="1:17">
      <c r="A19" s="348"/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</row>
    <row r="20" spans="1:17" ht="15.75" thickBot="1">
      <c r="A20" s="424" t="s">
        <v>202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</row>
    <row r="21" spans="1:17" ht="15.75" thickBot="1">
      <c r="A21" s="350"/>
      <c r="B21" s="350">
        <v>2019</v>
      </c>
      <c r="C21" s="350">
        <v>2020</v>
      </c>
      <c r="D21" s="350">
        <v>2021</v>
      </c>
      <c r="E21" s="350">
        <v>2022</v>
      </c>
      <c r="F21" s="350">
        <v>2023</v>
      </c>
      <c r="G21" s="350">
        <v>2024</v>
      </c>
      <c r="H21" s="350">
        <v>2025</v>
      </c>
      <c r="I21" s="350">
        <v>2026</v>
      </c>
      <c r="J21" s="350">
        <v>2027</v>
      </c>
      <c r="K21" s="350">
        <v>2028</v>
      </c>
      <c r="L21" s="350">
        <v>2029</v>
      </c>
    </row>
    <row r="22" spans="1:17">
      <c r="A22" s="425" t="s">
        <v>160</v>
      </c>
      <c r="B22" s="444">
        <v>209</v>
      </c>
      <c r="C22" s="544">
        <v>191</v>
      </c>
      <c r="D22" s="544">
        <v>504</v>
      </c>
      <c r="E22" s="427">
        <v>1164</v>
      </c>
      <c r="F22" s="427">
        <v>1951</v>
      </c>
      <c r="G22" s="427">
        <v>2777</v>
      </c>
      <c r="H22" s="427">
        <v>3637</v>
      </c>
      <c r="I22" s="427">
        <v>4565</v>
      </c>
      <c r="J22" s="427">
        <v>5566</v>
      </c>
      <c r="K22" s="427">
        <v>6653</v>
      </c>
      <c r="L22" s="428">
        <v>7942</v>
      </c>
    </row>
    <row r="23" spans="1:17">
      <c r="A23" s="407" t="s">
        <v>161</v>
      </c>
      <c r="B23" s="545">
        <v>1548</v>
      </c>
      <c r="C23" s="315">
        <v>1804.9932418267729</v>
      </c>
      <c r="D23" s="315">
        <v>1866.9849592901987</v>
      </c>
      <c r="E23" s="315">
        <v>1841.4905410064468</v>
      </c>
      <c r="F23" s="315">
        <v>1849.0060924403899</v>
      </c>
      <c r="G23" s="315">
        <v>1784.0806521001889</v>
      </c>
      <c r="H23" s="315">
        <v>1881.9633467679753</v>
      </c>
      <c r="I23" s="315">
        <v>1859.0030181662016</v>
      </c>
      <c r="J23" s="315">
        <v>1855.0668313926785</v>
      </c>
      <c r="K23" s="315">
        <v>1850.8479710307192</v>
      </c>
      <c r="L23" s="315">
        <v>1844.9148323067304</v>
      </c>
    </row>
    <row r="24" spans="1:17">
      <c r="A24" s="407" t="s">
        <v>162</v>
      </c>
      <c r="B24" s="317">
        <v>3965</v>
      </c>
      <c r="C24" s="315">
        <v>4000</v>
      </c>
      <c r="D24" s="315">
        <v>4100</v>
      </c>
      <c r="E24" s="315">
        <v>4200</v>
      </c>
      <c r="F24" s="315">
        <v>4300</v>
      </c>
      <c r="G24" s="315">
        <v>4400</v>
      </c>
      <c r="H24" s="315">
        <v>4500</v>
      </c>
      <c r="I24" s="315">
        <v>4600</v>
      </c>
      <c r="J24" s="315">
        <v>4700</v>
      </c>
      <c r="K24" s="315">
        <v>4800</v>
      </c>
      <c r="L24" s="315">
        <v>4900</v>
      </c>
    </row>
    <row r="25" spans="1:17">
      <c r="A25" s="429" t="s">
        <v>180</v>
      </c>
      <c r="B25" s="321">
        <f>SUM(B22:B24)</f>
        <v>5722</v>
      </c>
      <c r="C25" s="321">
        <f t="shared" ref="C25:L25" si="0">SUM(C22:C24)</f>
        <v>5995.9932418267726</v>
      </c>
      <c r="D25" s="321">
        <f t="shared" si="0"/>
        <v>6470.9849592901992</v>
      </c>
      <c r="E25" s="321">
        <f t="shared" si="0"/>
        <v>7205.4905410064466</v>
      </c>
      <c r="F25" s="321">
        <f t="shared" si="0"/>
        <v>8100.0060924403897</v>
      </c>
      <c r="G25" s="321">
        <f t="shared" si="0"/>
        <v>8961.0806521001887</v>
      </c>
      <c r="H25" s="321">
        <f t="shared" si="0"/>
        <v>10018.963346767974</v>
      </c>
      <c r="I25" s="321">
        <f t="shared" si="0"/>
        <v>11024.0030181662</v>
      </c>
      <c r="J25" s="321">
        <f t="shared" si="0"/>
        <v>12121.066831392678</v>
      </c>
      <c r="K25" s="321">
        <f t="shared" si="0"/>
        <v>13303.847971030718</v>
      </c>
      <c r="L25" s="321">
        <f t="shared" si="0"/>
        <v>14686.914832306731</v>
      </c>
    </row>
    <row r="26" spans="1:17" ht="6.95" customHeight="1">
      <c r="A26" s="407"/>
      <c r="B26" s="314"/>
      <c r="C26" s="322"/>
      <c r="D26" s="322"/>
      <c r="E26" s="322"/>
      <c r="F26" s="322"/>
      <c r="G26" s="322"/>
      <c r="H26" s="322"/>
      <c r="I26" s="322"/>
      <c r="J26" s="322"/>
      <c r="K26" s="322"/>
      <c r="L26" s="319"/>
    </row>
    <row r="27" spans="1:17">
      <c r="A27" s="407" t="s">
        <v>163</v>
      </c>
      <c r="B27" s="314">
        <f>SUM(B28+B29)</f>
        <v>604</v>
      </c>
      <c r="C27" s="451">
        <v>700</v>
      </c>
      <c r="D27" s="451">
        <v>800</v>
      </c>
      <c r="E27" s="451">
        <v>900</v>
      </c>
      <c r="F27" s="451">
        <v>1000</v>
      </c>
      <c r="G27" s="451">
        <v>1200</v>
      </c>
      <c r="H27" s="451">
        <v>1400</v>
      </c>
      <c r="I27" s="451">
        <v>1600</v>
      </c>
      <c r="J27" s="451">
        <v>1800</v>
      </c>
      <c r="K27" s="451">
        <v>2000</v>
      </c>
      <c r="L27" s="451">
        <v>2200</v>
      </c>
      <c r="Q27" s="546"/>
    </row>
    <row r="28" spans="1:17">
      <c r="A28" s="431" t="s">
        <v>193</v>
      </c>
      <c r="B28" s="326">
        <v>589</v>
      </c>
      <c r="C28" s="329">
        <v>675</v>
      </c>
      <c r="D28" s="329">
        <v>750</v>
      </c>
      <c r="E28" s="329">
        <v>825</v>
      </c>
      <c r="F28" s="322">
        <v>850</v>
      </c>
      <c r="G28" s="322">
        <v>975</v>
      </c>
      <c r="H28" s="322">
        <v>1100</v>
      </c>
      <c r="I28" s="322">
        <v>1100</v>
      </c>
      <c r="J28" s="322">
        <v>1200</v>
      </c>
      <c r="K28" s="322">
        <v>1300</v>
      </c>
      <c r="L28" s="319">
        <v>1400</v>
      </c>
    </row>
    <row r="29" spans="1:17">
      <c r="A29" s="431" t="s">
        <v>165</v>
      </c>
      <c r="B29" s="326">
        <v>15</v>
      </c>
      <c r="C29" s="329">
        <v>25</v>
      </c>
      <c r="D29" s="329">
        <v>50</v>
      </c>
      <c r="E29" s="329">
        <v>75</v>
      </c>
      <c r="F29" s="329">
        <v>150</v>
      </c>
      <c r="G29" s="329">
        <v>225</v>
      </c>
      <c r="H29" s="329">
        <v>300</v>
      </c>
      <c r="I29" s="329">
        <v>500</v>
      </c>
      <c r="J29" s="329">
        <v>600</v>
      </c>
      <c r="K29" s="329">
        <v>700</v>
      </c>
      <c r="L29" s="328">
        <v>800</v>
      </c>
    </row>
    <row r="30" spans="1:17">
      <c r="A30" s="407" t="s">
        <v>166</v>
      </c>
      <c r="B30" s="326">
        <v>4562</v>
      </c>
      <c r="C30" s="329">
        <v>4605</v>
      </c>
      <c r="D30" s="329">
        <v>4700</v>
      </c>
      <c r="E30" s="329">
        <v>4890</v>
      </c>
      <c r="F30" s="329">
        <v>4938</v>
      </c>
      <c r="G30" s="329">
        <v>5126</v>
      </c>
      <c r="H30" s="329">
        <v>4750</v>
      </c>
      <c r="I30" s="329">
        <v>4500</v>
      </c>
      <c r="J30" s="329">
        <v>4250</v>
      </c>
      <c r="K30" s="329">
        <v>4500</v>
      </c>
      <c r="L30" s="329">
        <v>4500</v>
      </c>
    </row>
    <row r="31" spans="1:17">
      <c r="A31" s="407" t="s">
        <v>167</v>
      </c>
      <c r="B31" s="317">
        <v>179</v>
      </c>
      <c r="C31" s="454">
        <v>336</v>
      </c>
      <c r="D31" s="454">
        <v>100</v>
      </c>
      <c r="E31" s="454">
        <v>81</v>
      </c>
      <c r="F31" s="454">
        <v>10</v>
      </c>
      <c r="G31" s="454">
        <v>10</v>
      </c>
      <c r="H31" s="454">
        <v>10</v>
      </c>
      <c r="I31" s="454">
        <v>10</v>
      </c>
      <c r="J31" s="454">
        <v>10</v>
      </c>
      <c r="K31" s="454">
        <v>10</v>
      </c>
      <c r="L31" s="481">
        <v>10</v>
      </c>
    </row>
    <row r="32" spans="1:17">
      <c r="A32" s="429" t="s">
        <v>181</v>
      </c>
      <c r="B32" s="321">
        <f>SUM(B28:B31)</f>
        <v>5345</v>
      </c>
      <c r="C32" s="457">
        <f t="shared" ref="C32:L32" si="1">SUM(C28:C31)</f>
        <v>5641</v>
      </c>
      <c r="D32" s="457">
        <f t="shared" si="1"/>
        <v>5600</v>
      </c>
      <c r="E32" s="457">
        <f t="shared" si="1"/>
        <v>5871</v>
      </c>
      <c r="F32" s="457">
        <f t="shared" si="1"/>
        <v>5948</v>
      </c>
      <c r="G32" s="457">
        <f t="shared" si="1"/>
        <v>6336</v>
      </c>
      <c r="H32" s="457">
        <f t="shared" si="1"/>
        <v>6160</v>
      </c>
      <c r="I32" s="457">
        <f t="shared" si="1"/>
        <v>6110</v>
      </c>
      <c r="J32" s="457">
        <f t="shared" si="1"/>
        <v>6060</v>
      </c>
      <c r="K32" s="457">
        <f t="shared" si="1"/>
        <v>6510</v>
      </c>
      <c r="L32" s="457">
        <f t="shared" si="1"/>
        <v>6710</v>
      </c>
    </row>
    <row r="33" spans="1:12" ht="15.75" thickBot="1">
      <c r="A33" s="547" t="s">
        <v>169</v>
      </c>
      <c r="B33" s="548">
        <f>SUM(B25-B32)</f>
        <v>377</v>
      </c>
      <c r="C33" s="319">
        <f t="shared" ref="C33:L33" si="2">SUM(C25-C32)</f>
        <v>354.99324182677265</v>
      </c>
      <c r="D33" s="319">
        <f t="shared" si="2"/>
        <v>870.98495929019919</v>
      </c>
      <c r="E33" s="319">
        <f t="shared" si="2"/>
        <v>1334.4905410064466</v>
      </c>
      <c r="F33" s="319">
        <f t="shared" si="2"/>
        <v>2152.0060924403897</v>
      </c>
      <c r="G33" s="319">
        <f t="shared" si="2"/>
        <v>2625.0806521001887</v>
      </c>
      <c r="H33" s="319">
        <f t="shared" si="2"/>
        <v>3858.9633467679741</v>
      </c>
      <c r="I33" s="319">
        <f t="shared" si="2"/>
        <v>4914.0030181662005</v>
      </c>
      <c r="J33" s="319">
        <f t="shared" si="2"/>
        <v>6061.0668313926781</v>
      </c>
      <c r="K33" s="319">
        <f t="shared" si="2"/>
        <v>6793.8479710307183</v>
      </c>
      <c r="L33" s="319">
        <f t="shared" si="2"/>
        <v>7976.9148323067311</v>
      </c>
    </row>
    <row r="34" spans="1:12" ht="15.75" thickBot="1">
      <c r="A34" s="333" t="s">
        <v>172</v>
      </c>
      <c r="B34" s="295">
        <v>33</v>
      </c>
      <c r="C34" s="296">
        <v>34.799999999999997</v>
      </c>
      <c r="D34" s="296">
        <v>39</v>
      </c>
      <c r="E34" s="296">
        <v>39.800000000000004</v>
      </c>
      <c r="F34" s="296">
        <v>40.400000000000006</v>
      </c>
      <c r="G34" s="296">
        <v>36.1</v>
      </c>
      <c r="H34" s="296">
        <v>34</v>
      </c>
      <c r="I34" s="296">
        <v>34.300000000000004</v>
      </c>
      <c r="J34" s="296">
        <v>33.6</v>
      </c>
      <c r="K34" s="296">
        <v>34.800000000000004</v>
      </c>
      <c r="L34" s="442">
        <v>32.5</v>
      </c>
    </row>
    <row r="35" spans="1:12" ht="12.95" customHeight="1" thickBot="1">
      <c r="A35" s="359" t="s">
        <v>173</v>
      </c>
      <c r="B35" s="439"/>
      <c r="C35" s="439"/>
      <c r="D35" s="439"/>
      <c r="E35" s="439"/>
      <c r="F35" s="439"/>
      <c r="G35" s="439"/>
      <c r="H35" s="439"/>
      <c r="I35" s="440"/>
      <c r="J35" s="439"/>
      <c r="K35" s="439"/>
      <c r="L35" s="439"/>
    </row>
    <row r="36" spans="1:12" ht="15.75" thickBot="1">
      <c r="A36" s="502" t="s">
        <v>174</v>
      </c>
      <c r="B36" s="549">
        <v>2019</v>
      </c>
      <c r="C36" s="550">
        <v>2020</v>
      </c>
      <c r="D36" s="550">
        <v>2021</v>
      </c>
      <c r="E36" s="550">
        <v>2022</v>
      </c>
      <c r="F36" s="550">
        <v>2023</v>
      </c>
      <c r="G36" s="550">
        <v>2024</v>
      </c>
      <c r="H36" s="550">
        <v>2025</v>
      </c>
      <c r="I36" s="550">
        <v>2026</v>
      </c>
      <c r="J36" s="550">
        <v>2027</v>
      </c>
      <c r="K36" s="550">
        <v>2028</v>
      </c>
      <c r="L36" s="381">
        <v>2029</v>
      </c>
    </row>
    <row r="37" spans="1:12" ht="15.75" thickBot="1">
      <c r="A37" s="539" t="s">
        <v>172</v>
      </c>
      <c r="B37" s="551">
        <v>33</v>
      </c>
      <c r="C37" s="345">
        <v>30.8</v>
      </c>
      <c r="D37" s="345">
        <v>34</v>
      </c>
      <c r="E37" s="345">
        <v>38.9</v>
      </c>
      <c r="F37" s="345">
        <v>40.400000000000006</v>
      </c>
      <c r="G37" s="345">
        <v>36.1</v>
      </c>
      <c r="H37" s="345">
        <v>34</v>
      </c>
      <c r="I37" s="345">
        <v>34.300000000000004</v>
      </c>
      <c r="J37" s="345">
        <v>33.6</v>
      </c>
      <c r="K37" s="345">
        <v>34.800000000000004</v>
      </c>
      <c r="L37" s="345">
        <v>32.5</v>
      </c>
    </row>
    <row r="38" spans="1:12">
      <c r="A38" s="348"/>
      <c r="B38" s="348"/>
      <c r="C38" s="552"/>
      <c r="D38" s="552"/>
      <c r="E38" s="552"/>
      <c r="F38" s="552"/>
      <c r="G38" s="552"/>
      <c r="H38" s="552"/>
      <c r="I38" s="552"/>
      <c r="J38" s="552"/>
      <c r="K38" s="552"/>
      <c r="L38" s="552"/>
    </row>
    <row r="39" spans="1:12" ht="15.75" thickBot="1">
      <c r="A39" s="348" t="s">
        <v>203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</row>
    <row r="40" spans="1:12" ht="15.75" thickBot="1">
      <c r="A40" s="470"/>
      <c r="B40" s="471">
        <v>2019</v>
      </c>
      <c r="C40" s="471">
        <v>2020</v>
      </c>
      <c r="D40" s="471">
        <v>2021</v>
      </c>
      <c r="E40" s="471">
        <v>2022</v>
      </c>
      <c r="F40" s="471">
        <v>2023</v>
      </c>
      <c r="G40" s="471">
        <v>2024</v>
      </c>
      <c r="H40" s="471">
        <v>2025</v>
      </c>
      <c r="I40" s="471">
        <v>2026</v>
      </c>
      <c r="J40" s="471">
        <v>2027</v>
      </c>
      <c r="K40" s="471">
        <v>2028</v>
      </c>
      <c r="L40" s="474">
        <v>2029</v>
      </c>
    </row>
    <row r="41" spans="1:12">
      <c r="A41" s="425" t="s">
        <v>160</v>
      </c>
      <c r="B41" s="444">
        <v>3271</v>
      </c>
      <c r="C41" s="544">
        <f>B53</f>
        <v>2316</v>
      </c>
      <c r="D41" s="544">
        <f t="shared" ref="D41:L41" si="3">C53</f>
        <v>2105.3359999999993</v>
      </c>
      <c r="E41" s="544">
        <f t="shared" si="3"/>
        <v>1987.900999999998</v>
      </c>
      <c r="F41" s="544">
        <f t="shared" si="3"/>
        <v>2036.8509999999969</v>
      </c>
      <c r="G41" s="544">
        <f t="shared" si="3"/>
        <v>2036.8509999999969</v>
      </c>
      <c r="H41" s="544">
        <f t="shared" si="3"/>
        <v>2006.8509999999969</v>
      </c>
      <c r="I41" s="553">
        <f t="shared" si="3"/>
        <v>2026.8509999999969</v>
      </c>
      <c r="J41" s="544">
        <f t="shared" si="3"/>
        <v>2192.8509999999969</v>
      </c>
      <c r="K41" s="544">
        <f t="shared" si="3"/>
        <v>2437.8509999999969</v>
      </c>
      <c r="L41" s="544">
        <f t="shared" si="3"/>
        <v>2820.8509999999969</v>
      </c>
    </row>
    <row r="42" spans="1:12">
      <c r="A42" s="407" t="s">
        <v>161</v>
      </c>
      <c r="B42" s="314">
        <v>5146</v>
      </c>
      <c r="C42" s="315">
        <v>5080.3359999999993</v>
      </c>
      <c r="D42" s="315">
        <v>5047.5649999999987</v>
      </c>
      <c r="E42" s="315">
        <v>5073.9499999999989</v>
      </c>
      <c r="F42" s="315">
        <v>5048</v>
      </c>
      <c r="G42" s="448">
        <v>5000</v>
      </c>
      <c r="H42" s="315">
        <v>5000</v>
      </c>
      <c r="I42" s="448">
        <v>5000</v>
      </c>
      <c r="J42" s="315">
        <v>5000</v>
      </c>
      <c r="K42" s="315">
        <v>5000</v>
      </c>
      <c r="L42" s="315">
        <v>5000</v>
      </c>
    </row>
    <row r="43" spans="1:12">
      <c r="A43" s="407" t="s">
        <v>162</v>
      </c>
      <c r="B43" s="317">
        <v>15</v>
      </c>
      <c r="C43" s="318">
        <v>15</v>
      </c>
      <c r="D43" s="318">
        <v>15</v>
      </c>
      <c r="E43" s="318">
        <v>15</v>
      </c>
      <c r="F43" s="318">
        <v>30</v>
      </c>
      <c r="G43" s="478">
        <v>45</v>
      </c>
      <c r="H43" s="318">
        <v>60</v>
      </c>
      <c r="I43" s="478">
        <v>90</v>
      </c>
      <c r="J43" s="318">
        <v>120</v>
      </c>
      <c r="K43" s="318">
        <v>150</v>
      </c>
      <c r="L43" s="328">
        <v>180</v>
      </c>
    </row>
    <row r="44" spans="1:12">
      <c r="A44" s="429" t="s">
        <v>180</v>
      </c>
      <c r="B44" s="321">
        <f>SUM(B41:B43)</f>
        <v>8432</v>
      </c>
      <c r="C44" s="321">
        <f t="shared" ref="C44:L44" si="4">SUM(C41:C43)</f>
        <v>7411.3359999999993</v>
      </c>
      <c r="D44" s="321">
        <f t="shared" si="4"/>
        <v>7167.900999999998</v>
      </c>
      <c r="E44" s="321">
        <f t="shared" si="4"/>
        <v>7076.8509999999969</v>
      </c>
      <c r="F44" s="321">
        <f t="shared" si="4"/>
        <v>7114.8509999999969</v>
      </c>
      <c r="G44" s="449">
        <f t="shared" si="4"/>
        <v>7081.8509999999969</v>
      </c>
      <c r="H44" s="321">
        <f t="shared" si="4"/>
        <v>7066.8509999999969</v>
      </c>
      <c r="I44" s="449">
        <f t="shared" si="4"/>
        <v>7116.8509999999969</v>
      </c>
      <c r="J44" s="321">
        <f t="shared" si="4"/>
        <v>7312.8509999999969</v>
      </c>
      <c r="K44" s="321">
        <f t="shared" si="4"/>
        <v>7587.8509999999969</v>
      </c>
      <c r="L44" s="321">
        <f t="shared" si="4"/>
        <v>8000.8509999999969</v>
      </c>
    </row>
    <row r="45" spans="1:12" ht="8.1" customHeight="1">
      <c r="A45" s="407"/>
      <c r="B45" s="314"/>
      <c r="C45" s="322"/>
      <c r="D45" s="322"/>
      <c r="E45" s="322"/>
      <c r="F45" s="322"/>
      <c r="G45" s="479"/>
      <c r="H45" s="322"/>
      <c r="I45" s="479"/>
      <c r="J45" s="322"/>
      <c r="K45" s="322"/>
      <c r="L45" s="319"/>
    </row>
    <row r="46" spans="1:12">
      <c r="A46" s="407" t="s">
        <v>163</v>
      </c>
      <c r="B46" s="314">
        <f>SUM(B47+B48+B49)</f>
        <v>2347</v>
      </c>
      <c r="C46" s="451">
        <f t="shared" ref="C46:L46" si="5">SUM(C47+C48+C49)</f>
        <v>2319</v>
      </c>
      <c r="D46" s="451">
        <f t="shared" si="5"/>
        <v>2291</v>
      </c>
      <c r="E46" s="451">
        <f t="shared" si="5"/>
        <v>2230</v>
      </c>
      <c r="F46" s="451">
        <f t="shared" si="5"/>
        <v>2318</v>
      </c>
      <c r="G46" s="452">
        <f t="shared" si="5"/>
        <v>2365</v>
      </c>
      <c r="H46" s="451">
        <f t="shared" si="5"/>
        <v>2380</v>
      </c>
      <c r="I46" s="452">
        <f t="shared" si="5"/>
        <v>2414</v>
      </c>
      <c r="J46" s="451">
        <f t="shared" si="5"/>
        <v>2415</v>
      </c>
      <c r="K46" s="451">
        <f t="shared" si="5"/>
        <v>2357</v>
      </c>
      <c r="L46" s="451">
        <f t="shared" si="5"/>
        <v>2366</v>
      </c>
    </row>
    <row r="47" spans="1:12">
      <c r="A47" s="431" t="s">
        <v>176</v>
      </c>
      <c r="B47" s="326">
        <v>589</v>
      </c>
      <c r="C47" s="329">
        <v>676</v>
      </c>
      <c r="D47" s="329">
        <v>768</v>
      </c>
      <c r="E47" s="329">
        <v>827</v>
      </c>
      <c r="F47" s="322">
        <v>1007</v>
      </c>
      <c r="G47" s="479">
        <v>1139</v>
      </c>
      <c r="H47" s="322">
        <v>1239</v>
      </c>
      <c r="I47" s="479">
        <v>1329</v>
      </c>
      <c r="J47" s="322">
        <v>1345</v>
      </c>
      <c r="K47" s="322">
        <v>1477</v>
      </c>
      <c r="L47" s="319">
        <v>1810</v>
      </c>
    </row>
    <row r="48" spans="1:12">
      <c r="A48" s="431" t="s">
        <v>178</v>
      </c>
      <c r="B48" s="314">
        <v>1749</v>
      </c>
      <c r="C48" s="322">
        <v>1613</v>
      </c>
      <c r="D48" s="322">
        <v>1478</v>
      </c>
      <c r="E48" s="322">
        <v>1343</v>
      </c>
      <c r="F48" s="322">
        <v>1236</v>
      </c>
      <c r="G48" s="479">
        <v>1136</v>
      </c>
      <c r="H48" s="322">
        <v>1036</v>
      </c>
      <c r="I48" s="480">
        <v>965</v>
      </c>
      <c r="J48" s="329">
        <v>935</v>
      </c>
      <c r="K48" s="329">
        <v>730</v>
      </c>
      <c r="L48" s="328">
        <v>391</v>
      </c>
    </row>
    <row r="49" spans="1:12">
      <c r="A49" s="431" t="s">
        <v>165</v>
      </c>
      <c r="B49" s="326">
        <v>9</v>
      </c>
      <c r="C49" s="329">
        <v>30</v>
      </c>
      <c r="D49" s="329">
        <v>45</v>
      </c>
      <c r="E49" s="329">
        <v>60</v>
      </c>
      <c r="F49" s="329">
        <v>75</v>
      </c>
      <c r="G49" s="480">
        <v>90</v>
      </c>
      <c r="H49" s="329">
        <v>105</v>
      </c>
      <c r="I49" s="480">
        <v>120</v>
      </c>
      <c r="J49" s="329">
        <v>135</v>
      </c>
      <c r="K49" s="329">
        <v>150</v>
      </c>
      <c r="L49" s="328">
        <v>165</v>
      </c>
    </row>
    <row r="50" spans="1:12">
      <c r="A50" s="407" t="s">
        <v>166</v>
      </c>
      <c r="B50" s="326">
        <v>3019</v>
      </c>
      <c r="C50" s="315">
        <v>2900</v>
      </c>
      <c r="D50" s="315">
        <v>2850</v>
      </c>
      <c r="E50" s="315">
        <v>2800</v>
      </c>
      <c r="F50" s="315">
        <v>2750</v>
      </c>
      <c r="G50" s="448">
        <v>2700</v>
      </c>
      <c r="H50" s="315">
        <v>2650</v>
      </c>
      <c r="I50" s="448">
        <v>2500</v>
      </c>
      <c r="J50" s="315">
        <v>2450</v>
      </c>
      <c r="K50" s="315">
        <v>2400</v>
      </c>
      <c r="L50" s="315">
        <v>2350</v>
      </c>
    </row>
    <row r="51" spans="1:12">
      <c r="A51" s="407" t="s">
        <v>167</v>
      </c>
      <c r="B51" s="317">
        <v>750</v>
      </c>
      <c r="C51" s="318">
        <v>87</v>
      </c>
      <c r="D51" s="318">
        <v>39</v>
      </c>
      <c r="E51" s="318">
        <v>10</v>
      </c>
      <c r="F51" s="318">
        <v>10</v>
      </c>
      <c r="G51" s="478">
        <v>10</v>
      </c>
      <c r="H51" s="318">
        <v>10</v>
      </c>
      <c r="I51" s="478">
        <v>10</v>
      </c>
      <c r="J51" s="318">
        <v>10</v>
      </c>
      <c r="K51" s="318">
        <v>10</v>
      </c>
      <c r="L51" s="328">
        <v>10</v>
      </c>
    </row>
    <row r="52" spans="1:12">
      <c r="A52" s="429" t="s">
        <v>181</v>
      </c>
      <c r="B52" s="321">
        <f>SUM(B47:B51)</f>
        <v>6116</v>
      </c>
      <c r="C52" s="321">
        <f t="shared" ref="C52:L52" si="6">SUM(C47:C51)</f>
        <v>5306</v>
      </c>
      <c r="D52" s="321">
        <f t="shared" si="6"/>
        <v>5180</v>
      </c>
      <c r="E52" s="321">
        <f t="shared" si="6"/>
        <v>5040</v>
      </c>
      <c r="F52" s="321">
        <f t="shared" si="6"/>
        <v>5078</v>
      </c>
      <c r="G52" s="449">
        <f t="shared" si="6"/>
        <v>5075</v>
      </c>
      <c r="H52" s="321">
        <f t="shared" si="6"/>
        <v>5040</v>
      </c>
      <c r="I52" s="449">
        <f t="shared" si="6"/>
        <v>4924</v>
      </c>
      <c r="J52" s="321">
        <f t="shared" si="6"/>
        <v>4875</v>
      </c>
      <c r="K52" s="321">
        <f t="shared" si="6"/>
        <v>4767</v>
      </c>
      <c r="L52" s="321">
        <f t="shared" si="6"/>
        <v>4726</v>
      </c>
    </row>
    <row r="53" spans="1:12" ht="15.75" thickBot="1">
      <c r="A53" s="530" t="s">
        <v>169</v>
      </c>
      <c r="B53" s="531">
        <f>SUM(B44-B52)</f>
        <v>2316</v>
      </c>
      <c r="C53" s="532">
        <f t="shared" ref="C53:L53" si="7">SUM(C44-C52)</f>
        <v>2105.3359999999993</v>
      </c>
      <c r="D53" s="532">
        <f t="shared" si="7"/>
        <v>1987.900999999998</v>
      </c>
      <c r="E53" s="532">
        <f t="shared" si="7"/>
        <v>2036.8509999999969</v>
      </c>
      <c r="F53" s="532">
        <f t="shared" si="7"/>
        <v>2036.8509999999969</v>
      </c>
      <c r="G53" s="554">
        <f t="shared" si="7"/>
        <v>2006.8509999999969</v>
      </c>
      <c r="H53" s="555">
        <f t="shared" si="7"/>
        <v>2026.8509999999969</v>
      </c>
      <c r="I53" s="535">
        <f t="shared" si="7"/>
        <v>2192.8509999999969</v>
      </c>
      <c r="J53" s="532">
        <f t="shared" si="7"/>
        <v>2437.8509999999969</v>
      </c>
      <c r="K53" s="532">
        <f t="shared" si="7"/>
        <v>2820.8509999999969</v>
      </c>
      <c r="L53" s="532">
        <f t="shared" si="7"/>
        <v>3274.8509999999969</v>
      </c>
    </row>
    <row r="54" spans="1:12" ht="15.75" thickBot="1">
      <c r="A54" s="505" t="s">
        <v>172</v>
      </c>
      <c r="B54" s="506">
        <v>36.5</v>
      </c>
      <c r="C54" s="507">
        <v>36</v>
      </c>
      <c r="D54" s="507">
        <v>36</v>
      </c>
      <c r="E54" s="507">
        <v>35</v>
      </c>
      <c r="F54" s="507">
        <v>35</v>
      </c>
      <c r="G54" s="556">
        <v>34</v>
      </c>
      <c r="H54" s="556">
        <v>34</v>
      </c>
      <c r="I54" s="507">
        <v>33</v>
      </c>
      <c r="J54" s="507">
        <v>33</v>
      </c>
      <c r="K54" s="507">
        <v>32</v>
      </c>
      <c r="L54" s="508">
        <v>32</v>
      </c>
    </row>
    <row r="55" spans="1:12" ht="15.75" thickBot="1">
      <c r="A55" s="359" t="s">
        <v>173</v>
      </c>
      <c r="B55" s="557"/>
      <c r="C55" s="558"/>
      <c r="D55" s="559"/>
      <c r="E55" s="559"/>
      <c r="F55" s="559"/>
      <c r="G55" s="559"/>
      <c r="H55" s="486"/>
      <c r="I55" s="486"/>
      <c r="J55" s="486"/>
      <c r="K55" s="486"/>
      <c r="L55" s="486"/>
    </row>
    <row r="56" spans="1:12" ht="15.75" thickBot="1">
      <c r="A56" s="502" t="s">
        <v>174</v>
      </c>
      <c r="B56" s="467">
        <v>2019</v>
      </c>
      <c r="C56" s="503">
        <v>2020</v>
      </c>
      <c r="D56" s="503">
        <v>2021</v>
      </c>
      <c r="E56" s="503">
        <v>2022</v>
      </c>
      <c r="F56" s="503">
        <v>2023</v>
      </c>
      <c r="G56" s="503">
        <v>2024</v>
      </c>
      <c r="H56" s="503">
        <v>2025</v>
      </c>
      <c r="I56" s="503">
        <v>2026</v>
      </c>
      <c r="J56" s="503">
        <v>2027</v>
      </c>
      <c r="K56" s="503">
        <v>2028</v>
      </c>
      <c r="L56" s="381">
        <v>2029</v>
      </c>
    </row>
    <row r="57" spans="1:12" ht="15.75" thickBot="1">
      <c r="A57" s="342" t="s">
        <v>172</v>
      </c>
      <c r="B57" s="295">
        <v>36.5</v>
      </c>
      <c r="C57" s="302">
        <v>30</v>
      </c>
      <c r="D57" s="302">
        <v>31</v>
      </c>
      <c r="E57" s="302">
        <v>32</v>
      </c>
      <c r="F57" s="302">
        <v>33</v>
      </c>
      <c r="G57" s="302">
        <v>34</v>
      </c>
      <c r="H57" s="302">
        <v>36</v>
      </c>
      <c r="I57" s="302">
        <v>38</v>
      </c>
      <c r="J57" s="302">
        <v>40</v>
      </c>
      <c r="K57" s="560">
        <v>39</v>
      </c>
      <c r="L57" s="303">
        <v>38</v>
      </c>
    </row>
    <row r="58" spans="1:12">
      <c r="A58" s="439"/>
      <c r="B58" s="348"/>
      <c r="C58" s="348"/>
      <c r="D58" s="486"/>
      <c r="E58" s="486"/>
      <c r="F58" s="486"/>
      <c r="G58" s="486"/>
      <c r="H58" s="486"/>
      <c r="I58" s="486"/>
      <c r="J58" s="486"/>
      <c r="K58" s="486"/>
      <c r="L58" s="486"/>
    </row>
    <row r="59" spans="1:12">
      <c r="A59" s="348"/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</row>
    <row r="60" spans="1:12" ht="15.75" thickBot="1">
      <c r="A60" s="348" t="s">
        <v>204</v>
      </c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</row>
    <row r="61" spans="1:12" ht="15.75" thickBot="1">
      <c r="A61" s="349"/>
      <c r="B61" s="350">
        <v>2019</v>
      </c>
      <c r="C61" s="350">
        <v>2020</v>
      </c>
      <c r="D61" s="350">
        <v>2021</v>
      </c>
      <c r="E61" s="350">
        <v>2022</v>
      </c>
      <c r="F61" s="350">
        <v>2023</v>
      </c>
      <c r="G61" s="350">
        <v>2024</v>
      </c>
      <c r="H61" s="350">
        <v>2025</v>
      </c>
      <c r="I61" s="350">
        <v>2026</v>
      </c>
      <c r="J61" s="350">
        <v>2027</v>
      </c>
      <c r="K61" s="350">
        <v>2028</v>
      </c>
      <c r="L61" s="350">
        <v>2029</v>
      </c>
    </row>
    <row r="62" spans="1:12">
      <c r="A62" s="348" t="s">
        <v>160</v>
      </c>
      <c r="B62" s="351">
        <v>10</v>
      </c>
      <c r="C62" s="561">
        <f>B73</f>
        <v>8.6079802180388469</v>
      </c>
      <c r="D62" s="490">
        <f t="shared" ref="D62:L62" si="8">C73</f>
        <v>87.775992359582915</v>
      </c>
      <c r="E62" s="352">
        <f t="shared" si="8"/>
        <v>215.0729052526483</v>
      </c>
      <c r="F62" s="352">
        <f t="shared" si="8"/>
        <v>314.82688451059175</v>
      </c>
      <c r="G62" s="352">
        <f t="shared" si="8"/>
        <v>391.30910478103351</v>
      </c>
      <c r="H62" s="352">
        <f t="shared" si="8"/>
        <v>419.7639609476596</v>
      </c>
      <c r="I62" s="352">
        <f t="shared" si="8"/>
        <v>411.56200310095392</v>
      </c>
      <c r="J62" s="352">
        <f t="shared" si="8"/>
        <v>374.09560202435932</v>
      </c>
      <c r="K62" s="352">
        <f t="shared" si="8"/>
        <v>252.39669338306385</v>
      </c>
      <c r="L62" s="352">
        <f t="shared" si="8"/>
        <v>26.933689517439916</v>
      </c>
    </row>
    <row r="63" spans="1:12">
      <c r="A63" s="348" t="s">
        <v>161</v>
      </c>
      <c r="B63" s="353">
        <v>1347</v>
      </c>
      <c r="C63" s="562">
        <v>1412.1087348159399</v>
      </c>
      <c r="D63" s="491">
        <v>1424.2434908763321</v>
      </c>
      <c r="E63" s="354">
        <v>1441.810290455596</v>
      </c>
      <c r="F63" s="354">
        <v>1463.5040590774991</v>
      </c>
      <c r="G63" s="354">
        <v>1460.4368226742029</v>
      </c>
      <c r="H63" s="354">
        <v>1463.7875255872841</v>
      </c>
      <c r="I63" s="354">
        <v>1474.5328345093139</v>
      </c>
      <c r="J63" s="354">
        <v>1480.3108584651416</v>
      </c>
      <c r="K63" s="354">
        <v>1466.5374544225699</v>
      </c>
      <c r="L63" s="354">
        <v>1470.3429970252357</v>
      </c>
    </row>
    <row r="64" spans="1:12">
      <c r="A64" s="348" t="s">
        <v>162</v>
      </c>
      <c r="B64" s="353">
        <v>46</v>
      </c>
      <c r="C64" s="562">
        <v>50</v>
      </c>
      <c r="D64" s="491">
        <v>55</v>
      </c>
      <c r="E64" s="354">
        <v>60</v>
      </c>
      <c r="F64" s="354">
        <v>65</v>
      </c>
      <c r="G64" s="354">
        <v>70</v>
      </c>
      <c r="H64" s="354">
        <v>80</v>
      </c>
      <c r="I64" s="354">
        <v>90</v>
      </c>
      <c r="J64" s="354">
        <v>100</v>
      </c>
      <c r="K64" s="354">
        <v>110</v>
      </c>
      <c r="L64" s="354">
        <v>120</v>
      </c>
    </row>
    <row r="65" spans="1:12">
      <c r="A65" s="355" t="s">
        <v>180</v>
      </c>
      <c r="B65" s="356">
        <f>SUM(B62:B64)</f>
        <v>1403</v>
      </c>
      <c r="C65" s="563">
        <f t="shared" ref="C65:L65" si="9">SUM(C62:C64)</f>
        <v>1470.7167150339787</v>
      </c>
      <c r="D65" s="493">
        <f t="shared" si="9"/>
        <v>1567.019483235915</v>
      </c>
      <c r="E65" s="356">
        <f t="shared" si="9"/>
        <v>1716.8831957082443</v>
      </c>
      <c r="F65" s="356">
        <f t="shared" si="9"/>
        <v>1843.3309435880908</v>
      </c>
      <c r="G65" s="356">
        <f t="shared" si="9"/>
        <v>1921.7459274552364</v>
      </c>
      <c r="H65" s="356">
        <f t="shared" si="9"/>
        <v>1963.5514865349437</v>
      </c>
      <c r="I65" s="356">
        <f t="shared" si="9"/>
        <v>1976.0948376102679</v>
      </c>
      <c r="J65" s="356">
        <f t="shared" si="9"/>
        <v>1954.4064604895009</v>
      </c>
      <c r="K65" s="356">
        <f t="shared" si="9"/>
        <v>1828.9341478056338</v>
      </c>
      <c r="L65" s="356">
        <f t="shared" si="9"/>
        <v>1617.2766865426756</v>
      </c>
    </row>
    <row r="66" spans="1:12">
      <c r="A66" s="348"/>
      <c r="B66" s="353"/>
      <c r="C66" s="562"/>
      <c r="D66" s="491"/>
      <c r="E66" s="354"/>
      <c r="F66" s="354"/>
      <c r="G66" s="354"/>
      <c r="H66" s="354"/>
      <c r="I66" s="354"/>
      <c r="J66" s="354"/>
      <c r="K66" s="354"/>
      <c r="L66" s="354"/>
    </row>
    <row r="67" spans="1:12">
      <c r="A67" s="348" t="s">
        <v>163</v>
      </c>
      <c r="B67" s="353">
        <f>SUM(B68+B69)</f>
        <v>536</v>
      </c>
      <c r="C67" s="562">
        <f>SUM(C68+C69)</f>
        <v>581</v>
      </c>
      <c r="D67" s="491">
        <v>600</v>
      </c>
      <c r="E67" s="354">
        <v>700</v>
      </c>
      <c r="F67" s="354">
        <v>800</v>
      </c>
      <c r="G67" s="354">
        <v>900</v>
      </c>
      <c r="H67" s="354">
        <v>1000</v>
      </c>
      <c r="I67" s="354">
        <v>1100</v>
      </c>
      <c r="J67" s="354">
        <v>1200</v>
      </c>
      <c r="K67" s="354">
        <v>1300</v>
      </c>
      <c r="L67" s="354">
        <v>1400</v>
      </c>
    </row>
    <row r="68" spans="1:12">
      <c r="A68" s="357" t="s">
        <v>164</v>
      </c>
      <c r="B68" s="353">
        <v>536</v>
      </c>
      <c r="C68" s="562">
        <v>581</v>
      </c>
      <c r="D68" s="491">
        <v>759.37726854764571</v>
      </c>
      <c r="E68" s="354">
        <v>761.24183322847614</v>
      </c>
      <c r="F68" s="354">
        <v>806.24183322847614</v>
      </c>
      <c r="G68" s="354">
        <v>842.4981851618835</v>
      </c>
      <c r="H68" s="354">
        <v>840.63180564293691</v>
      </c>
      <c r="I68" s="354">
        <v>818.74546290470892</v>
      </c>
      <c r="J68" s="354">
        <v>939.92559163722603</v>
      </c>
      <c r="K68" s="354">
        <v>1640.3396167061899</v>
      </c>
      <c r="L68" s="354">
        <v>2000</v>
      </c>
    </row>
    <row r="69" spans="1:12">
      <c r="A69" s="357" t="s">
        <v>165</v>
      </c>
      <c r="B69" s="353">
        <v>0</v>
      </c>
      <c r="C69" s="562">
        <v>0</v>
      </c>
      <c r="D69" s="491">
        <v>9.3681943570633504</v>
      </c>
      <c r="E69" s="354">
        <v>40.622731452354458</v>
      </c>
      <c r="F69" s="354">
        <v>54.684097178531673</v>
      </c>
      <c r="G69" s="354">
        <v>74.995462904708901</v>
      </c>
      <c r="H69" s="354">
        <v>104.67956008324057</v>
      </c>
      <c r="I69" s="354">
        <v>140.62273145235446</v>
      </c>
      <c r="J69" s="354">
        <v>159.36819435706337</v>
      </c>
      <c r="K69" s="354">
        <v>171</v>
      </c>
      <c r="L69" s="354">
        <v>200</v>
      </c>
    </row>
    <row r="70" spans="1:12">
      <c r="A70" s="348" t="s">
        <v>166</v>
      </c>
      <c r="B70" s="353">
        <v>856</v>
      </c>
      <c r="C70" s="562">
        <v>800</v>
      </c>
      <c r="D70" s="491">
        <v>750</v>
      </c>
      <c r="E70" s="354">
        <v>700</v>
      </c>
      <c r="F70" s="354">
        <v>650</v>
      </c>
      <c r="G70" s="354">
        <v>600</v>
      </c>
      <c r="H70" s="354">
        <v>550</v>
      </c>
      <c r="I70" s="354">
        <v>500</v>
      </c>
      <c r="J70" s="354">
        <v>500</v>
      </c>
      <c r="K70" s="354">
        <v>500</v>
      </c>
      <c r="L70" s="354">
        <v>500</v>
      </c>
    </row>
    <row r="71" spans="1:12">
      <c r="A71" s="348" t="s">
        <v>167</v>
      </c>
      <c r="B71" s="353">
        <v>2.3920197819610536</v>
      </c>
      <c r="C71" s="562">
        <v>1.9407226743959107</v>
      </c>
      <c r="D71" s="491">
        <v>1.9465779832666288</v>
      </c>
      <c r="E71" s="354">
        <v>2.0563111976526063</v>
      </c>
      <c r="F71" s="354">
        <v>2.0218388070573576</v>
      </c>
      <c r="G71" s="354">
        <v>1.9819665075767161</v>
      </c>
      <c r="H71" s="354">
        <v>1.989483433989844</v>
      </c>
      <c r="I71" s="354">
        <v>1.9992355859086306</v>
      </c>
      <c r="J71" s="354">
        <v>2.0097671064370313</v>
      </c>
      <c r="K71" s="354">
        <v>2.0004582881939159</v>
      </c>
      <c r="L71" s="354">
        <v>1.9961821844212275</v>
      </c>
    </row>
    <row r="72" spans="1:12">
      <c r="A72" s="355" t="s">
        <v>181</v>
      </c>
      <c r="B72" s="356">
        <f>SUM(B67+B70+B71)</f>
        <v>1394.3920197819612</v>
      </c>
      <c r="C72" s="563">
        <f t="shared" ref="C72:L72" si="10">SUM(C67+C70+C71)</f>
        <v>1382.9407226743958</v>
      </c>
      <c r="D72" s="493">
        <f t="shared" si="10"/>
        <v>1351.9465779832667</v>
      </c>
      <c r="E72" s="356">
        <f t="shared" si="10"/>
        <v>1402.0563111976526</v>
      </c>
      <c r="F72" s="356">
        <f t="shared" si="10"/>
        <v>1452.0218388070573</v>
      </c>
      <c r="G72" s="356">
        <f t="shared" si="10"/>
        <v>1501.9819665075768</v>
      </c>
      <c r="H72" s="356">
        <f t="shared" si="10"/>
        <v>1551.9894834339898</v>
      </c>
      <c r="I72" s="356">
        <f t="shared" si="10"/>
        <v>1601.9992355859085</v>
      </c>
      <c r="J72" s="356">
        <f t="shared" si="10"/>
        <v>1702.009767106437</v>
      </c>
      <c r="K72" s="356">
        <f t="shared" si="10"/>
        <v>1802.0004582881938</v>
      </c>
      <c r="L72" s="356">
        <f t="shared" si="10"/>
        <v>1901.9961821844213</v>
      </c>
    </row>
    <row r="73" spans="1:12" ht="15.75" thickBot="1">
      <c r="A73" s="407" t="s">
        <v>169</v>
      </c>
      <c r="B73" s="512">
        <f>SUM(B65-B72)</f>
        <v>8.6079802180388469</v>
      </c>
      <c r="C73" s="354">
        <f t="shared" ref="C73:L73" si="11">SUM(C65-C72)</f>
        <v>87.775992359582915</v>
      </c>
      <c r="D73" s="354">
        <f t="shared" si="11"/>
        <v>215.0729052526483</v>
      </c>
      <c r="E73" s="354">
        <f t="shared" si="11"/>
        <v>314.82688451059175</v>
      </c>
      <c r="F73" s="354">
        <f t="shared" si="11"/>
        <v>391.30910478103351</v>
      </c>
      <c r="G73" s="354">
        <f t="shared" si="11"/>
        <v>419.7639609476596</v>
      </c>
      <c r="H73" s="354">
        <f t="shared" si="11"/>
        <v>411.56200310095392</v>
      </c>
      <c r="I73" s="354">
        <f t="shared" si="11"/>
        <v>374.09560202435932</v>
      </c>
      <c r="J73" s="354">
        <f t="shared" si="11"/>
        <v>252.39669338306385</v>
      </c>
      <c r="K73" s="354">
        <f t="shared" si="11"/>
        <v>26.933689517439916</v>
      </c>
      <c r="L73" s="354">
        <f t="shared" si="11"/>
        <v>-284.71949564174565</v>
      </c>
    </row>
    <row r="74" spans="1:12" ht="15.75" thickBot="1">
      <c r="A74" s="505" t="s">
        <v>172</v>
      </c>
      <c r="B74" s="506">
        <v>24.53</v>
      </c>
      <c r="C74" s="564">
        <v>25</v>
      </c>
      <c r="D74" s="564">
        <v>25.5</v>
      </c>
      <c r="E74" s="564">
        <v>26</v>
      </c>
      <c r="F74" s="564">
        <v>27</v>
      </c>
      <c r="G74" s="564">
        <v>28</v>
      </c>
      <c r="H74" s="504">
        <v>29</v>
      </c>
      <c r="I74" s="564">
        <v>30</v>
      </c>
      <c r="J74" s="564">
        <v>31</v>
      </c>
      <c r="K74" s="564">
        <v>32</v>
      </c>
      <c r="L74" s="565">
        <v>32</v>
      </c>
    </row>
    <row r="75" spans="1:12" ht="15.75" thickBot="1">
      <c r="A75" s="359" t="s">
        <v>173</v>
      </c>
      <c r="B75" s="348"/>
      <c r="C75" s="348"/>
      <c r="D75" s="348"/>
      <c r="E75" s="348"/>
      <c r="F75" s="348"/>
      <c r="G75" s="348"/>
      <c r="H75" s="348"/>
      <c r="I75" s="348"/>
      <c r="J75" s="348"/>
      <c r="K75" s="348"/>
      <c r="L75" s="348"/>
    </row>
    <row r="76" spans="1:12" ht="15.75" thickBot="1">
      <c r="A76" s="502" t="s">
        <v>174</v>
      </c>
      <c r="B76" s="549">
        <v>2019</v>
      </c>
      <c r="C76" s="503">
        <v>2020</v>
      </c>
      <c r="D76" s="503">
        <v>2021</v>
      </c>
      <c r="E76" s="503">
        <v>2022</v>
      </c>
      <c r="F76" s="503">
        <v>2023</v>
      </c>
      <c r="G76" s="503">
        <v>2024</v>
      </c>
      <c r="H76" s="503">
        <v>2025</v>
      </c>
      <c r="I76" s="503">
        <v>2026</v>
      </c>
      <c r="J76" s="503">
        <v>2027</v>
      </c>
      <c r="K76" s="503">
        <v>2028</v>
      </c>
      <c r="L76" s="381">
        <v>2029</v>
      </c>
    </row>
    <row r="77" spans="1:12" ht="15.75" thickBot="1">
      <c r="A77" s="539" t="s">
        <v>172</v>
      </c>
      <c r="B77" s="551">
        <v>24.53</v>
      </c>
      <c r="C77" s="504">
        <v>24</v>
      </c>
      <c r="D77" s="504">
        <v>25</v>
      </c>
      <c r="E77" s="504">
        <v>25.5</v>
      </c>
      <c r="F77" s="504">
        <v>26</v>
      </c>
      <c r="G77" s="504">
        <v>27</v>
      </c>
      <c r="H77" s="504">
        <v>28</v>
      </c>
      <c r="I77" s="504">
        <v>30</v>
      </c>
      <c r="J77" s="504">
        <v>31</v>
      </c>
      <c r="K77" s="504">
        <v>32</v>
      </c>
      <c r="L77" s="566">
        <v>32</v>
      </c>
    </row>
    <row r="78" spans="1:12">
      <c r="A78" s="439"/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</row>
    <row r="79" spans="1:12" ht="15.75" thickBot="1">
      <c r="A79" s="348" t="s">
        <v>205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</row>
    <row r="80" spans="1:12" ht="15.75" thickBot="1">
      <c r="A80" s="349"/>
      <c r="B80" s="350">
        <v>2019</v>
      </c>
      <c r="C80" s="350">
        <v>2020</v>
      </c>
      <c r="D80" s="350">
        <v>2021</v>
      </c>
      <c r="E80" s="350">
        <v>2022</v>
      </c>
      <c r="F80" s="350">
        <v>2023</v>
      </c>
      <c r="G80" s="350">
        <v>2024</v>
      </c>
      <c r="H80" s="350">
        <v>2025</v>
      </c>
      <c r="I80" s="350">
        <v>2026</v>
      </c>
      <c r="J80" s="350">
        <v>2027</v>
      </c>
      <c r="K80" s="350">
        <v>2028</v>
      </c>
      <c r="L80" s="350">
        <v>2029</v>
      </c>
    </row>
    <row r="81" spans="1:12">
      <c r="A81" s="425" t="s">
        <v>160</v>
      </c>
      <c r="B81" s="444">
        <v>43</v>
      </c>
      <c r="C81" s="544">
        <v>191</v>
      </c>
      <c r="D81" s="544">
        <v>504</v>
      </c>
      <c r="E81" s="427">
        <v>1164</v>
      </c>
      <c r="F81" s="427">
        <v>1951</v>
      </c>
      <c r="G81" s="427">
        <v>2777</v>
      </c>
      <c r="H81" s="427">
        <v>3637</v>
      </c>
      <c r="I81" s="427">
        <v>4565</v>
      </c>
      <c r="J81" s="427">
        <v>5566</v>
      </c>
      <c r="K81" s="427">
        <v>6653</v>
      </c>
      <c r="L81" s="428">
        <v>7942</v>
      </c>
    </row>
    <row r="82" spans="1:12">
      <c r="A82" s="407" t="s">
        <v>161</v>
      </c>
      <c r="B82" s="567">
        <v>3162</v>
      </c>
      <c r="C82" s="568">
        <v>3195.1</v>
      </c>
      <c r="D82" s="568">
        <v>2964.6</v>
      </c>
      <c r="E82" s="568">
        <v>3025.8</v>
      </c>
      <c r="F82" s="568">
        <v>3070.8</v>
      </c>
      <c r="G82" s="568">
        <v>3115.8</v>
      </c>
      <c r="H82" s="568">
        <v>2967.1</v>
      </c>
      <c r="I82" s="568">
        <v>3228.3</v>
      </c>
      <c r="J82" s="568">
        <v>3285</v>
      </c>
      <c r="K82" s="568">
        <v>3375</v>
      </c>
      <c r="L82" s="568">
        <v>3459.6</v>
      </c>
    </row>
    <row r="83" spans="1:12">
      <c r="A83" s="407" t="s">
        <v>162</v>
      </c>
      <c r="B83" s="317">
        <v>40</v>
      </c>
      <c r="C83" s="318">
        <v>177</v>
      </c>
      <c r="D83" s="318">
        <v>235</v>
      </c>
      <c r="E83" s="318">
        <v>275</v>
      </c>
      <c r="F83" s="318">
        <v>324</v>
      </c>
      <c r="G83" s="318">
        <v>390</v>
      </c>
      <c r="H83" s="318">
        <v>451</v>
      </c>
      <c r="I83" s="318">
        <v>524</v>
      </c>
      <c r="J83" s="318">
        <v>584</v>
      </c>
      <c r="K83" s="318">
        <v>664</v>
      </c>
      <c r="L83" s="328">
        <v>748</v>
      </c>
    </row>
    <row r="84" spans="1:12">
      <c r="A84" s="429" t="s">
        <v>180</v>
      </c>
      <c r="B84" s="321">
        <f>SUM(B81:B83)</f>
        <v>3245</v>
      </c>
      <c r="C84" s="321">
        <f t="shared" ref="C84:L84" si="12">SUM(C81:C83)</f>
        <v>3563.1</v>
      </c>
      <c r="D84" s="321">
        <f t="shared" si="12"/>
        <v>3703.6</v>
      </c>
      <c r="E84" s="321">
        <f t="shared" si="12"/>
        <v>4464.8</v>
      </c>
      <c r="F84" s="321">
        <f t="shared" si="12"/>
        <v>5345.8</v>
      </c>
      <c r="G84" s="321">
        <f t="shared" si="12"/>
        <v>6282.8</v>
      </c>
      <c r="H84" s="321">
        <f t="shared" si="12"/>
        <v>7055.1</v>
      </c>
      <c r="I84" s="321">
        <f t="shared" si="12"/>
        <v>8317.2999999999993</v>
      </c>
      <c r="J84" s="321">
        <f t="shared" si="12"/>
        <v>9435</v>
      </c>
      <c r="K84" s="321">
        <f t="shared" si="12"/>
        <v>10692</v>
      </c>
      <c r="L84" s="321">
        <f t="shared" si="12"/>
        <v>12149.6</v>
      </c>
    </row>
    <row r="85" spans="1:12">
      <c r="A85" s="407"/>
      <c r="B85" s="314"/>
      <c r="C85" s="322"/>
      <c r="D85" s="322"/>
      <c r="E85" s="322"/>
      <c r="F85" s="322"/>
      <c r="G85" s="322"/>
      <c r="H85" s="322"/>
      <c r="I85" s="322"/>
      <c r="J85" s="322"/>
      <c r="K85" s="322"/>
      <c r="L85" s="319"/>
    </row>
    <row r="86" spans="1:12">
      <c r="A86" s="407" t="s">
        <v>163</v>
      </c>
      <c r="B86" s="314">
        <f>SUM(B87+B88+B89)</f>
        <v>2365</v>
      </c>
      <c r="C86" s="451">
        <f t="shared" ref="C86:L86" si="13">SUM(C87+C88+C89)</f>
        <v>2346</v>
      </c>
      <c r="D86" s="451">
        <f t="shared" si="13"/>
        <v>2368</v>
      </c>
      <c r="E86" s="451">
        <f t="shared" si="13"/>
        <v>2370</v>
      </c>
      <c r="F86" s="451">
        <f t="shared" si="13"/>
        <v>2500</v>
      </c>
      <c r="G86" s="451">
        <f t="shared" si="13"/>
        <v>2582</v>
      </c>
      <c r="H86" s="451">
        <f t="shared" si="13"/>
        <v>2632</v>
      </c>
      <c r="I86" s="451">
        <f t="shared" si="13"/>
        <v>2701</v>
      </c>
      <c r="J86" s="451">
        <f t="shared" si="13"/>
        <v>2737</v>
      </c>
      <c r="K86" s="451">
        <f t="shared" si="13"/>
        <v>2714</v>
      </c>
      <c r="L86" s="451">
        <f t="shared" si="13"/>
        <v>2743</v>
      </c>
    </row>
    <row r="87" spans="1:12">
      <c r="A87" s="431" t="s">
        <v>176</v>
      </c>
      <c r="B87" s="326">
        <v>589</v>
      </c>
      <c r="C87" s="329">
        <v>676</v>
      </c>
      <c r="D87" s="329">
        <v>768</v>
      </c>
      <c r="E87" s="329">
        <v>827</v>
      </c>
      <c r="F87" s="322">
        <v>1007</v>
      </c>
      <c r="G87" s="322">
        <v>1139</v>
      </c>
      <c r="H87" s="322">
        <v>1239</v>
      </c>
      <c r="I87" s="322">
        <v>1329</v>
      </c>
      <c r="J87" s="322">
        <v>1345</v>
      </c>
      <c r="K87" s="322">
        <v>1477</v>
      </c>
      <c r="L87" s="319">
        <v>1810</v>
      </c>
    </row>
    <row r="88" spans="1:12">
      <c r="A88" s="431" t="s">
        <v>178</v>
      </c>
      <c r="B88" s="314">
        <v>1761</v>
      </c>
      <c r="C88" s="322">
        <v>1613</v>
      </c>
      <c r="D88" s="322">
        <v>1478</v>
      </c>
      <c r="E88" s="322">
        <v>1343</v>
      </c>
      <c r="F88" s="322">
        <v>1236</v>
      </c>
      <c r="G88" s="322">
        <v>1136</v>
      </c>
      <c r="H88" s="322">
        <v>1036</v>
      </c>
      <c r="I88" s="329">
        <v>965</v>
      </c>
      <c r="J88" s="329">
        <v>935</v>
      </c>
      <c r="K88" s="329">
        <v>730</v>
      </c>
      <c r="L88" s="328">
        <v>391</v>
      </c>
    </row>
    <row r="89" spans="1:12">
      <c r="A89" s="431" t="s">
        <v>165</v>
      </c>
      <c r="B89" s="326">
        <v>15</v>
      </c>
      <c r="C89" s="329">
        <v>57</v>
      </c>
      <c r="D89" s="329">
        <v>122</v>
      </c>
      <c r="E89" s="329">
        <v>200</v>
      </c>
      <c r="F89" s="329">
        <v>257</v>
      </c>
      <c r="G89" s="329">
        <v>307</v>
      </c>
      <c r="H89" s="329">
        <v>357</v>
      </c>
      <c r="I89" s="329">
        <v>407</v>
      </c>
      <c r="J89" s="329">
        <v>457</v>
      </c>
      <c r="K89" s="329">
        <v>507</v>
      </c>
      <c r="L89" s="328">
        <v>542</v>
      </c>
    </row>
    <row r="90" spans="1:12">
      <c r="A90" s="407" t="s">
        <v>166</v>
      </c>
      <c r="B90" s="326">
        <v>300</v>
      </c>
      <c r="C90" s="329">
        <v>400</v>
      </c>
      <c r="D90" s="329">
        <v>400</v>
      </c>
      <c r="E90" s="329">
        <v>400</v>
      </c>
      <c r="F90" s="329">
        <v>400</v>
      </c>
      <c r="G90" s="329">
        <v>400</v>
      </c>
      <c r="H90" s="329">
        <v>400</v>
      </c>
      <c r="I90" s="329">
        <v>400</v>
      </c>
      <c r="J90" s="329">
        <v>400</v>
      </c>
      <c r="K90" s="329">
        <v>400</v>
      </c>
      <c r="L90" s="328">
        <v>400</v>
      </c>
    </row>
    <row r="91" spans="1:12">
      <c r="A91" s="407" t="s">
        <v>167</v>
      </c>
      <c r="B91" s="317">
        <v>179</v>
      </c>
      <c r="C91" s="318">
        <v>336</v>
      </c>
      <c r="D91" s="318">
        <v>100</v>
      </c>
      <c r="E91" s="318">
        <v>81</v>
      </c>
      <c r="F91" s="318">
        <v>10</v>
      </c>
      <c r="G91" s="318">
        <v>10</v>
      </c>
      <c r="H91" s="318">
        <v>10</v>
      </c>
      <c r="I91" s="318">
        <v>10</v>
      </c>
      <c r="J91" s="318">
        <v>10</v>
      </c>
      <c r="K91" s="318">
        <v>10</v>
      </c>
      <c r="L91" s="328">
        <v>10</v>
      </c>
    </row>
    <row r="92" spans="1:12">
      <c r="A92" s="429" t="s">
        <v>181</v>
      </c>
      <c r="B92" s="321">
        <f>SUM(B87:B91)</f>
        <v>2844</v>
      </c>
      <c r="C92" s="321">
        <v>3082</v>
      </c>
      <c r="D92" s="321">
        <v>2868</v>
      </c>
      <c r="E92" s="321">
        <v>2850</v>
      </c>
      <c r="F92" s="321">
        <v>2910</v>
      </c>
      <c r="G92" s="321">
        <v>2992</v>
      </c>
      <c r="H92" s="321">
        <v>3042</v>
      </c>
      <c r="I92" s="321">
        <v>3111</v>
      </c>
      <c r="J92" s="321">
        <v>3147</v>
      </c>
      <c r="K92" s="321">
        <v>3124</v>
      </c>
      <c r="L92" s="528">
        <v>3854</v>
      </c>
    </row>
    <row r="93" spans="1:12" ht="15.75" thickBot="1">
      <c r="A93" s="530" t="s">
        <v>169</v>
      </c>
      <c r="B93" s="569">
        <v>191</v>
      </c>
      <c r="C93" s="570">
        <v>504</v>
      </c>
      <c r="D93" s="532">
        <v>1164</v>
      </c>
      <c r="E93" s="532">
        <v>1951</v>
      </c>
      <c r="F93" s="571">
        <v>2777</v>
      </c>
      <c r="G93" s="554">
        <v>3637</v>
      </c>
      <c r="H93" s="532">
        <v>4565</v>
      </c>
      <c r="I93" s="532">
        <v>5566</v>
      </c>
      <c r="J93" s="532">
        <v>6653</v>
      </c>
      <c r="K93" s="532">
        <v>7942</v>
      </c>
      <c r="L93" s="532">
        <v>8680</v>
      </c>
    </row>
    <row r="94" spans="1:12" ht="15.75" thickBot="1">
      <c r="A94" s="505" t="s">
        <v>172</v>
      </c>
      <c r="B94" s="572">
        <v>30</v>
      </c>
      <c r="C94" s="507">
        <v>32</v>
      </c>
      <c r="D94" s="507">
        <v>33</v>
      </c>
      <c r="E94" s="507">
        <v>34</v>
      </c>
      <c r="F94" s="556">
        <v>35</v>
      </c>
      <c r="G94" s="507">
        <v>36</v>
      </c>
      <c r="H94" s="507">
        <v>35</v>
      </c>
      <c r="I94" s="302">
        <v>34</v>
      </c>
      <c r="J94" s="302">
        <v>33</v>
      </c>
      <c r="K94" s="507">
        <v>32</v>
      </c>
      <c r="L94" s="508">
        <v>31</v>
      </c>
    </row>
    <row r="95" spans="1:12" ht="15.75" thickBot="1">
      <c r="A95" s="359" t="s">
        <v>173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</row>
    <row r="96" spans="1:12" ht="15.75" thickBot="1">
      <c r="A96" s="502" t="s">
        <v>174</v>
      </c>
      <c r="B96" s="549">
        <v>2019</v>
      </c>
      <c r="C96" s="503">
        <v>2020</v>
      </c>
      <c r="D96" s="503">
        <v>2021</v>
      </c>
      <c r="E96" s="503">
        <v>2022</v>
      </c>
      <c r="F96" s="503">
        <v>2023</v>
      </c>
      <c r="G96" s="503">
        <v>2024</v>
      </c>
      <c r="H96" s="503">
        <v>2025</v>
      </c>
      <c r="I96" s="503">
        <v>2026</v>
      </c>
      <c r="J96" s="503">
        <v>2027</v>
      </c>
      <c r="K96" s="503">
        <v>2028</v>
      </c>
      <c r="L96" s="381">
        <v>2029</v>
      </c>
    </row>
    <row r="97" spans="1:12" ht="15.75" thickBot="1">
      <c r="A97" s="539" t="s">
        <v>172</v>
      </c>
      <c r="B97" s="551">
        <v>30</v>
      </c>
      <c r="C97" s="302">
        <v>32</v>
      </c>
      <c r="D97" s="302">
        <v>33</v>
      </c>
      <c r="E97" s="302">
        <v>34</v>
      </c>
      <c r="F97" s="302">
        <v>35</v>
      </c>
      <c r="G97" s="302">
        <v>36</v>
      </c>
      <c r="H97" s="302">
        <v>35</v>
      </c>
      <c r="I97" s="302">
        <v>34</v>
      </c>
      <c r="J97" s="302">
        <v>33</v>
      </c>
      <c r="K97" s="302">
        <v>32</v>
      </c>
      <c r="L97" s="303">
        <v>31</v>
      </c>
    </row>
    <row r="98" spans="1:12">
      <c r="A98" s="348"/>
      <c r="B98" s="348"/>
      <c r="C98" s="348"/>
      <c r="D98" s="348"/>
      <c r="E98" s="348"/>
      <c r="F98" s="348"/>
      <c r="G98" s="348"/>
      <c r="H98" s="348"/>
      <c r="I98" s="348"/>
      <c r="J98" s="348"/>
      <c r="K98" s="348"/>
      <c r="L98" s="348"/>
    </row>
    <row r="99" spans="1:12" ht="15.75" thickBot="1">
      <c r="A99" s="348" t="s">
        <v>206</v>
      </c>
      <c r="B99" s="348"/>
      <c r="C99" s="348"/>
      <c r="D99" s="348"/>
      <c r="E99" s="348"/>
      <c r="F99" s="348"/>
      <c r="G99" s="348"/>
      <c r="H99" s="348"/>
      <c r="I99" s="348"/>
      <c r="J99" s="348"/>
      <c r="K99" s="348"/>
      <c r="L99" s="348"/>
    </row>
    <row r="100" spans="1:12" ht="15.75" thickBot="1">
      <c r="A100" s="349"/>
      <c r="B100" s="350">
        <v>2019</v>
      </c>
      <c r="C100" s="350">
        <v>2020</v>
      </c>
      <c r="D100" s="350">
        <v>2021</v>
      </c>
      <c r="E100" s="350">
        <v>2022</v>
      </c>
      <c r="F100" s="350">
        <v>2023</v>
      </c>
      <c r="G100" s="350">
        <v>2024</v>
      </c>
      <c r="H100" s="350">
        <v>2025</v>
      </c>
      <c r="I100" s="350">
        <v>2026</v>
      </c>
      <c r="J100" s="350">
        <v>2027</v>
      </c>
      <c r="K100" s="350">
        <v>2028</v>
      </c>
      <c r="L100" s="350">
        <v>2029</v>
      </c>
    </row>
    <row r="101" spans="1:12">
      <c r="A101" s="348" t="s">
        <v>160</v>
      </c>
      <c r="B101" s="351">
        <v>31.998733974133586</v>
      </c>
      <c r="C101" s="352">
        <v>44.179497068719456</v>
      </c>
      <c r="D101" s="352">
        <v>165.35803418727735</v>
      </c>
      <c r="E101" s="352">
        <v>349.8016610309611</v>
      </c>
      <c r="F101" s="352">
        <v>495.73695553279003</v>
      </c>
      <c r="G101" s="352">
        <v>595.52644570904431</v>
      </c>
      <c r="H101" s="352">
        <v>690.82648980966985</v>
      </c>
      <c r="I101" s="352">
        <v>925.79832806282718</v>
      </c>
      <c r="J101" s="352">
        <v>1176.7046378014168</v>
      </c>
      <c r="K101" s="352">
        <v>1424.5401439115574</v>
      </c>
      <c r="L101" s="352">
        <v>1615.873229041063</v>
      </c>
    </row>
    <row r="102" spans="1:12">
      <c r="A102" s="348" t="s">
        <v>161</v>
      </c>
      <c r="B102" s="353">
        <v>2285.1833676365204</v>
      </c>
      <c r="C102" s="354">
        <v>2412.4371705660787</v>
      </c>
      <c r="D102" s="354">
        <v>2508.2037874901498</v>
      </c>
      <c r="E102" s="354">
        <v>2539.8901334150578</v>
      </c>
      <c r="F102" s="354">
        <v>2564.8718223175674</v>
      </c>
      <c r="G102" s="354">
        <v>2632.6442064518992</v>
      </c>
      <c r="H102" s="354">
        <v>2793.4874009847176</v>
      </c>
      <c r="I102" s="354">
        <v>2874.6504049052464</v>
      </c>
      <c r="J102" s="354">
        <v>2956.1587739571432</v>
      </c>
      <c r="K102" s="354">
        <v>2999.6553230303716</v>
      </c>
      <c r="L102" s="354">
        <v>3099.6621664599666</v>
      </c>
    </row>
    <row r="103" spans="1:12">
      <c r="A103" s="348" t="s">
        <v>162</v>
      </c>
      <c r="B103" s="353">
        <v>5.170601682652828</v>
      </c>
      <c r="C103" s="354">
        <v>4.9311569534387809</v>
      </c>
      <c r="D103" s="354">
        <v>4.9869966824573773</v>
      </c>
      <c r="E103" s="354">
        <v>5.0011255275399531</v>
      </c>
      <c r="F103" s="354">
        <v>5.0890801036573814</v>
      </c>
      <c r="G103" s="354">
        <v>4.9470305368794181</v>
      </c>
      <c r="H103" s="354">
        <v>4.9910779607945823</v>
      </c>
      <c r="I103" s="354">
        <v>5.0030621622657421</v>
      </c>
      <c r="J103" s="354">
        <v>5.006275258227415</v>
      </c>
      <c r="K103" s="354">
        <v>5.0073052043649078</v>
      </c>
      <c r="L103" s="354">
        <v>4.9909502245064132</v>
      </c>
    </row>
    <row r="104" spans="1:12">
      <c r="A104" s="355" t="s">
        <v>180</v>
      </c>
      <c r="B104" s="356">
        <v>2322.3527032933071</v>
      </c>
      <c r="C104" s="356">
        <v>2461.5478245882373</v>
      </c>
      <c r="D104" s="356">
        <v>2678.5488183598845</v>
      </c>
      <c r="E104" s="356">
        <v>2894.6929199735587</v>
      </c>
      <c r="F104" s="356">
        <v>3065.697857954015</v>
      </c>
      <c r="G104" s="356">
        <v>3233.1176826978231</v>
      </c>
      <c r="H104" s="356">
        <v>3489.304968755182</v>
      </c>
      <c r="I104" s="356">
        <v>3805.4517951303396</v>
      </c>
      <c r="J104" s="356">
        <v>4137.8696870167869</v>
      </c>
      <c r="K104" s="356">
        <v>4429.2027721462937</v>
      </c>
      <c r="L104" s="356">
        <v>4720.526345725536</v>
      </c>
    </row>
    <row r="105" spans="1:12" ht="6.95" customHeight="1">
      <c r="A105" s="348"/>
      <c r="B105" s="353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</row>
    <row r="106" spans="1:12">
      <c r="A106" s="348" t="s">
        <v>163</v>
      </c>
      <c r="B106" s="353">
        <v>194.60383502170762</v>
      </c>
      <c r="C106" s="354">
        <v>199.99999999999997</v>
      </c>
      <c r="D106" s="354">
        <v>228.74715732892284</v>
      </c>
      <c r="E106" s="354">
        <v>298.95596444076904</v>
      </c>
      <c r="F106" s="354">
        <v>356.66477155261521</v>
      </c>
      <c r="G106" s="354">
        <v>392.29119288815377</v>
      </c>
      <c r="H106" s="354">
        <v>399.99999999999994</v>
      </c>
      <c r="I106" s="354">
        <v>428.74715732892287</v>
      </c>
      <c r="J106" s="354">
        <v>513.32954310523041</v>
      </c>
      <c r="K106" s="354">
        <v>613.32954310523041</v>
      </c>
      <c r="L106" s="354">
        <v>713.32954310523041</v>
      </c>
    </row>
    <row r="107" spans="1:12">
      <c r="A107" s="357" t="s">
        <v>178</v>
      </c>
      <c r="B107" s="353">
        <v>194.60383502170762</v>
      </c>
      <c r="C107" s="354">
        <v>199.99999999999997</v>
      </c>
      <c r="D107" s="354">
        <v>214.37357866446141</v>
      </c>
      <c r="E107" s="354">
        <v>256.66477155261521</v>
      </c>
      <c r="F107" s="354">
        <v>306.66477155261521</v>
      </c>
      <c r="G107" s="354">
        <v>342.29119288815377</v>
      </c>
      <c r="H107" s="354">
        <v>349.99999999999994</v>
      </c>
      <c r="I107" s="354">
        <v>378.74715732892287</v>
      </c>
      <c r="J107" s="354">
        <v>448.95596444076892</v>
      </c>
      <c r="K107" s="354">
        <v>521.03835021707664</v>
      </c>
      <c r="L107" s="354">
        <v>613.32954310523041</v>
      </c>
    </row>
    <row r="108" spans="1:12">
      <c r="A108" s="357" t="s">
        <v>165</v>
      </c>
      <c r="B108" s="353">
        <v>0</v>
      </c>
      <c r="C108" s="354">
        <v>0</v>
      </c>
      <c r="D108" s="354">
        <v>14.373578664461441</v>
      </c>
      <c r="E108" s="354">
        <v>42.291192888153809</v>
      </c>
      <c r="F108" s="354">
        <v>49.999999999999993</v>
      </c>
      <c r="G108" s="354">
        <v>50</v>
      </c>
      <c r="H108" s="354">
        <v>49.999999999999993</v>
      </c>
      <c r="I108" s="354">
        <v>50</v>
      </c>
      <c r="J108" s="354">
        <v>64.373578664461434</v>
      </c>
      <c r="K108" s="354">
        <v>92.29119288815383</v>
      </c>
      <c r="L108" s="354">
        <v>100</v>
      </c>
    </row>
    <row r="109" spans="1:12">
      <c r="A109" s="348" t="s">
        <v>166</v>
      </c>
      <c r="B109" s="353">
        <v>2000.0000000000002</v>
      </c>
      <c r="C109" s="354">
        <v>2000.0000000000002</v>
      </c>
      <c r="D109" s="354">
        <v>2000.0000000000002</v>
      </c>
      <c r="E109" s="354">
        <v>2000.0000000000002</v>
      </c>
      <c r="F109" s="354">
        <v>2013.5066406923552</v>
      </c>
      <c r="G109" s="354">
        <v>2050</v>
      </c>
      <c r="H109" s="354">
        <v>2063.5066406923552</v>
      </c>
      <c r="I109" s="354">
        <v>2100</v>
      </c>
      <c r="J109" s="354">
        <v>2100.0000000000005</v>
      </c>
      <c r="K109" s="354">
        <v>2100.0000000000005</v>
      </c>
      <c r="L109" s="354">
        <v>2113.5066406923552</v>
      </c>
    </row>
    <row r="110" spans="1:12">
      <c r="A110" s="348" t="s">
        <v>167</v>
      </c>
      <c r="B110" s="353">
        <v>83.569371202879992</v>
      </c>
      <c r="C110" s="354">
        <v>96.189790400959993</v>
      </c>
      <c r="D110" s="354">
        <v>100</v>
      </c>
      <c r="E110" s="354">
        <v>100</v>
      </c>
      <c r="F110" s="354">
        <v>100</v>
      </c>
      <c r="G110" s="354">
        <v>100</v>
      </c>
      <c r="H110" s="354">
        <v>100</v>
      </c>
      <c r="I110" s="354">
        <v>100</v>
      </c>
      <c r="J110" s="354">
        <v>100</v>
      </c>
      <c r="K110" s="354">
        <v>100</v>
      </c>
      <c r="L110" s="354">
        <v>100</v>
      </c>
    </row>
    <row r="111" spans="1:12">
      <c r="A111" s="355" t="s">
        <v>181</v>
      </c>
      <c r="B111" s="356">
        <v>2278.1732062245878</v>
      </c>
      <c r="C111" s="356">
        <v>2296.1897904009602</v>
      </c>
      <c r="D111" s="356">
        <v>2328.7471573289231</v>
      </c>
      <c r="E111" s="356">
        <v>2398.9559644407691</v>
      </c>
      <c r="F111" s="356">
        <v>2470.1714122449703</v>
      </c>
      <c r="G111" s="356">
        <v>2542.291192888154</v>
      </c>
      <c r="H111" s="356">
        <v>2563.5066406923552</v>
      </c>
      <c r="I111" s="356">
        <v>2628.7471573289231</v>
      </c>
      <c r="J111" s="356">
        <v>2713.3295431052311</v>
      </c>
      <c r="K111" s="356">
        <v>2813.3295431052311</v>
      </c>
      <c r="L111" s="356">
        <v>2926.8361837975854</v>
      </c>
    </row>
    <row r="112" spans="1:12" ht="15.75" thickBot="1">
      <c r="A112" s="348" t="s">
        <v>199</v>
      </c>
      <c r="B112" s="353">
        <v>44.179497068719229</v>
      </c>
      <c r="C112" s="354">
        <v>165.3580341872771</v>
      </c>
      <c r="D112" s="354">
        <v>349.80166103096144</v>
      </c>
      <c r="E112" s="354">
        <v>495.73695553278958</v>
      </c>
      <c r="F112" s="354">
        <v>595.52644570904476</v>
      </c>
      <c r="G112" s="354">
        <v>690.82648980966906</v>
      </c>
      <c r="H112" s="354">
        <v>925.79832806282684</v>
      </c>
      <c r="I112" s="354">
        <v>1176.7046378014165</v>
      </c>
      <c r="J112" s="354">
        <v>1424.5401439115558</v>
      </c>
      <c r="K112" s="354">
        <v>1615.8732290410626</v>
      </c>
      <c r="L112" s="354">
        <v>1793.6901619279506</v>
      </c>
    </row>
    <row r="113" spans="1:12" ht="15.75" thickBot="1">
      <c r="A113" s="505" t="s">
        <v>172</v>
      </c>
      <c r="B113" s="506">
        <v>28</v>
      </c>
      <c r="C113" s="507">
        <v>29</v>
      </c>
      <c r="D113" s="507">
        <v>30</v>
      </c>
      <c r="E113" s="507">
        <v>31</v>
      </c>
      <c r="F113" s="507">
        <v>32</v>
      </c>
      <c r="G113" s="507">
        <v>33</v>
      </c>
      <c r="H113" s="507">
        <v>34</v>
      </c>
      <c r="I113" s="507">
        <v>33</v>
      </c>
      <c r="J113" s="507">
        <v>32</v>
      </c>
      <c r="K113" s="507">
        <v>31</v>
      </c>
      <c r="L113" s="508">
        <v>30</v>
      </c>
    </row>
    <row r="114" spans="1:12" ht="15.75" thickBot="1">
      <c r="A114" s="359" t="s">
        <v>173</v>
      </c>
      <c r="B114" s="348"/>
      <c r="C114" s="348"/>
      <c r="D114" s="348"/>
      <c r="E114" s="348"/>
      <c r="F114" s="348"/>
      <c r="G114" s="573"/>
      <c r="H114" s="348"/>
      <c r="I114" s="348"/>
      <c r="J114" s="348"/>
      <c r="K114" s="573"/>
      <c r="L114" s="348"/>
    </row>
    <row r="115" spans="1:12" ht="15.75" thickBot="1">
      <c r="A115" s="386" t="s">
        <v>174</v>
      </c>
      <c r="B115" s="388">
        <v>2019</v>
      </c>
      <c r="C115" s="388">
        <v>2020</v>
      </c>
      <c r="D115" s="388">
        <v>2021</v>
      </c>
      <c r="E115" s="388">
        <v>2022</v>
      </c>
      <c r="F115" s="388">
        <v>2023</v>
      </c>
      <c r="G115" s="388">
        <v>2024</v>
      </c>
      <c r="H115" s="388">
        <v>2025</v>
      </c>
      <c r="I115" s="388">
        <v>2026</v>
      </c>
      <c r="J115" s="388">
        <v>2027</v>
      </c>
      <c r="K115" s="388">
        <v>2028</v>
      </c>
      <c r="L115" s="387">
        <v>2029</v>
      </c>
    </row>
    <row r="116" spans="1:12" ht="15.75" thickBot="1">
      <c r="A116" s="333" t="s">
        <v>172</v>
      </c>
      <c r="B116" s="295">
        <v>28</v>
      </c>
      <c r="C116" s="296">
        <v>24</v>
      </c>
      <c r="D116" s="296">
        <v>25</v>
      </c>
      <c r="E116" s="296">
        <v>26</v>
      </c>
      <c r="F116" s="296">
        <v>27</v>
      </c>
      <c r="G116" s="296">
        <v>28</v>
      </c>
      <c r="H116" s="296">
        <v>30</v>
      </c>
      <c r="I116" s="296">
        <v>32</v>
      </c>
      <c r="J116" s="296">
        <v>30</v>
      </c>
      <c r="K116" s="296">
        <v>29</v>
      </c>
      <c r="L116" s="296">
        <v>28</v>
      </c>
    </row>
    <row r="117" spans="1:12">
      <c r="A117" s="384"/>
      <c r="B117" s="416"/>
      <c r="C117" s="416"/>
      <c r="D117" s="416"/>
      <c r="E117" s="416"/>
      <c r="F117" s="416"/>
      <c r="G117" s="416"/>
      <c r="H117" s="416"/>
      <c r="I117" s="416"/>
      <c r="J117" s="416"/>
      <c r="K117" s="416"/>
      <c r="L117" s="416"/>
    </row>
    <row r="118" spans="1:12" ht="15.75" thickBot="1">
      <c r="A118" s="348" t="s">
        <v>207</v>
      </c>
      <c r="B118" s="348"/>
      <c r="C118" s="348"/>
      <c r="D118" s="348"/>
      <c r="E118" s="348"/>
      <c r="F118" s="348"/>
      <c r="G118" s="348"/>
      <c r="H118" s="348"/>
      <c r="I118" s="348"/>
      <c r="J118" s="348"/>
      <c r="K118" s="348"/>
      <c r="L118" s="348"/>
    </row>
    <row r="119" spans="1:12" ht="15.75" thickBot="1">
      <c r="A119" s="349"/>
      <c r="B119" s="350">
        <v>2019</v>
      </c>
      <c r="C119" s="350">
        <v>2020</v>
      </c>
      <c r="D119" s="350">
        <v>2021</v>
      </c>
      <c r="E119" s="350">
        <v>2022</v>
      </c>
      <c r="F119" s="350">
        <v>2023</v>
      </c>
      <c r="G119" s="350">
        <v>2024</v>
      </c>
      <c r="H119" s="350">
        <v>2025</v>
      </c>
      <c r="I119" s="350">
        <v>2026</v>
      </c>
      <c r="J119" s="350">
        <v>2027</v>
      </c>
      <c r="K119" s="350">
        <v>2028</v>
      </c>
      <c r="L119" s="350">
        <v>2029</v>
      </c>
    </row>
    <row r="120" spans="1:12">
      <c r="A120" s="348" t="s">
        <v>160</v>
      </c>
      <c r="B120" s="351">
        <v>77</v>
      </c>
      <c r="C120" s="352">
        <v>96.359329950728181</v>
      </c>
      <c r="D120" s="352">
        <v>225.32575288603061</v>
      </c>
      <c r="E120" s="352">
        <v>280.56863604204261</v>
      </c>
      <c r="F120" s="352">
        <v>351.75976048303687</v>
      </c>
      <c r="G120" s="352">
        <v>408.63774043346973</v>
      </c>
      <c r="H120" s="352">
        <v>457.31695565432955</v>
      </c>
      <c r="I120" s="352">
        <v>499.22617572280092</v>
      </c>
      <c r="J120" s="352">
        <v>531.81217527032413</v>
      </c>
      <c r="K120" s="352">
        <v>556.98728515175799</v>
      </c>
      <c r="L120" s="352">
        <v>577.7119120769969</v>
      </c>
    </row>
    <row r="121" spans="1:12">
      <c r="A121" s="348" t="s">
        <v>161</v>
      </c>
      <c r="B121" s="353">
        <v>5303</v>
      </c>
      <c r="C121" s="354">
        <v>5369</v>
      </c>
      <c r="D121" s="354">
        <v>5371</v>
      </c>
      <c r="E121" s="354">
        <v>5387</v>
      </c>
      <c r="F121" s="354">
        <v>5395</v>
      </c>
      <c r="G121" s="354">
        <v>5407</v>
      </c>
      <c r="H121" s="354">
        <v>5410</v>
      </c>
      <c r="I121" s="354">
        <v>5429</v>
      </c>
      <c r="J121" s="354">
        <v>5437</v>
      </c>
      <c r="K121" s="354">
        <v>5447</v>
      </c>
      <c r="L121" s="354">
        <v>5450.0266401884346</v>
      </c>
    </row>
    <row r="122" spans="1:12">
      <c r="A122" s="348" t="s">
        <v>162</v>
      </c>
      <c r="B122" s="353">
        <v>0</v>
      </c>
      <c r="C122" s="354">
        <v>0</v>
      </c>
      <c r="D122" s="354">
        <v>0</v>
      </c>
      <c r="E122" s="354">
        <v>0</v>
      </c>
      <c r="F122" s="354">
        <v>0</v>
      </c>
      <c r="G122" s="354">
        <v>0</v>
      </c>
      <c r="H122" s="354">
        <v>0</v>
      </c>
      <c r="I122" s="354">
        <v>0</v>
      </c>
      <c r="J122" s="354">
        <v>0</v>
      </c>
      <c r="K122" s="354">
        <v>0</v>
      </c>
      <c r="L122" s="354">
        <v>0</v>
      </c>
    </row>
    <row r="123" spans="1:12">
      <c r="A123" s="355" t="s">
        <v>180</v>
      </c>
      <c r="B123" s="356">
        <f t="shared" ref="B123:L123" si="14">SUM(B120:B122)</f>
        <v>5380</v>
      </c>
      <c r="C123" s="356">
        <f t="shared" si="14"/>
        <v>5465.3593299507284</v>
      </c>
      <c r="D123" s="356">
        <f t="shared" si="14"/>
        <v>5596.3257528860304</v>
      </c>
      <c r="E123" s="356">
        <f t="shared" si="14"/>
        <v>5667.5686360420423</v>
      </c>
      <c r="F123" s="356">
        <f t="shared" si="14"/>
        <v>5746.7597604830371</v>
      </c>
      <c r="G123" s="356">
        <f t="shared" si="14"/>
        <v>5815.6377404334698</v>
      </c>
      <c r="H123" s="356">
        <f t="shared" si="14"/>
        <v>5867.3169556543298</v>
      </c>
      <c r="I123" s="356">
        <f t="shared" si="14"/>
        <v>5928.2261757228007</v>
      </c>
      <c r="J123" s="356">
        <f t="shared" si="14"/>
        <v>5968.8121752703246</v>
      </c>
      <c r="K123" s="356">
        <f t="shared" si="14"/>
        <v>6003.9872851517575</v>
      </c>
      <c r="L123" s="356">
        <f t="shared" si="14"/>
        <v>6027.7385522654313</v>
      </c>
    </row>
    <row r="124" spans="1:12" ht="8.1" customHeight="1">
      <c r="A124" s="348"/>
      <c r="B124" s="353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</row>
    <row r="125" spans="1:12">
      <c r="A125" s="348" t="s">
        <v>163</v>
      </c>
      <c r="B125" s="353">
        <f>SUM(B126+B127+B128)</f>
        <v>1760</v>
      </c>
      <c r="C125" s="358">
        <f t="shared" ref="C125:L125" si="15">SUM(C126+C127+C128)</f>
        <v>2879.4048573668579</v>
      </c>
      <c r="D125" s="358">
        <f t="shared" si="15"/>
        <v>3037.4782384872133</v>
      </c>
      <c r="E125" s="358">
        <f t="shared" si="15"/>
        <v>3338.6201061929542</v>
      </c>
      <c r="F125" s="358">
        <f t="shared" si="15"/>
        <v>3585.2855967927162</v>
      </c>
      <c r="G125" s="358">
        <f t="shared" si="15"/>
        <v>3804.6089553941119</v>
      </c>
      <c r="H125" s="358">
        <f t="shared" si="15"/>
        <v>3856.2551979136206</v>
      </c>
      <c r="I125" s="358">
        <f t="shared" si="15"/>
        <v>3703.9397431929078</v>
      </c>
      <c r="J125" s="358">
        <f t="shared" si="15"/>
        <v>3506.3882853822597</v>
      </c>
      <c r="K125" s="358">
        <f t="shared" si="15"/>
        <v>3429.8676675029628</v>
      </c>
      <c r="L125" s="358">
        <f t="shared" si="15"/>
        <v>3398.7919907301948</v>
      </c>
    </row>
    <row r="126" spans="1:12">
      <c r="A126" s="357" t="s">
        <v>176</v>
      </c>
      <c r="B126" s="353">
        <v>0</v>
      </c>
      <c r="C126" s="354">
        <v>732.33038037756614</v>
      </c>
      <c r="D126" s="354">
        <v>948.38250627222305</v>
      </c>
      <c r="E126" s="354">
        <v>1113.6201061929548</v>
      </c>
      <c r="F126" s="354">
        <v>1361.6818729432516</v>
      </c>
      <c r="G126" s="354">
        <v>1592.6089553941119</v>
      </c>
      <c r="H126" s="354">
        <v>1709.2551979136208</v>
      </c>
      <c r="I126" s="354">
        <v>1756.9397431929078</v>
      </c>
      <c r="J126" s="354">
        <v>1795.3882853822595</v>
      </c>
      <c r="K126" s="354">
        <v>1839.8676675029631</v>
      </c>
      <c r="L126" s="354">
        <v>1868.7919907301948</v>
      </c>
    </row>
    <row r="127" spans="1:12">
      <c r="A127" s="357" t="s">
        <v>178</v>
      </c>
      <c r="B127" s="353">
        <v>1760</v>
      </c>
      <c r="C127" s="354">
        <v>2147.0744769892917</v>
      </c>
      <c r="D127" s="354">
        <v>2080.7180753117777</v>
      </c>
      <c r="E127" s="354">
        <v>2184.7074476989287</v>
      </c>
      <c r="F127" s="354">
        <v>2173.6037238494646</v>
      </c>
      <c r="G127" s="354">
        <v>1262</v>
      </c>
      <c r="H127" s="354">
        <v>1097</v>
      </c>
      <c r="I127" s="354">
        <v>889</v>
      </c>
      <c r="J127" s="354">
        <v>621</v>
      </c>
      <c r="K127" s="354">
        <v>490</v>
      </c>
      <c r="L127" s="354">
        <v>430</v>
      </c>
    </row>
    <row r="128" spans="1:12">
      <c r="A128" s="357" t="s">
        <v>165</v>
      </c>
      <c r="B128" s="353">
        <v>0</v>
      </c>
      <c r="C128" s="354">
        <v>0</v>
      </c>
      <c r="D128" s="354">
        <v>8.3776569032122818</v>
      </c>
      <c r="E128" s="354">
        <v>40.292552301070749</v>
      </c>
      <c r="F128" s="354">
        <v>49.999999999999993</v>
      </c>
      <c r="G128" s="354">
        <v>950</v>
      </c>
      <c r="H128" s="354">
        <v>1050</v>
      </c>
      <c r="I128" s="354">
        <v>1058</v>
      </c>
      <c r="J128" s="354">
        <v>1090</v>
      </c>
      <c r="K128" s="354">
        <v>1100</v>
      </c>
      <c r="L128" s="354">
        <v>1100</v>
      </c>
    </row>
    <row r="129" spans="1:12">
      <c r="A129" s="348" t="s">
        <v>166</v>
      </c>
      <c r="B129" s="353">
        <v>3046</v>
      </c>
      <c r="C129" s="354">
        <v>3000</v>
      </c>
      <c r="D129" s="354">
        <v>3000</v>
      </c>
      <c r="E129" s="354">
        <v>3000</v>
      </c>
      <c r="F129" s="354">
        <v>3000</v>
      </c>
      <c r="G129" s="354">
        <v>3000</v>
      </c>
      <c r="H129" s="354">
        <v>3000</v>
      </c>
      <c r="I129" s="354">
        <v>3000</v>
      </c>
      <c r="J129" s="354">
        <v>3000</v>
      </c>
      <c r="K129" s="354">
        <v>3000</v>
      </c>
      <c r="L129" s="354">
        <v>3000</v>
      </c>
    </row>
    <row r="130" spans="1:12">
      <c r="A130" s="348" t="s">
        <v>167</v>
      </c>
      <c r="B130" s="353">
        <v>582</v>
      </c>
      <c r="C130" s="354">
        <v>550</v>
      </c>
      <c r="D130" s="354">
        <v>550</v>
      </c>
      <c r="E130" s="354">
        <v>550</v>
      </c>
      <c r="F130" s="354">
        <v>550</v>
      </c>
      <c r="G130" s="354">
        <v>550</v>
      </c>
      <c r="H130" s="354">
        <v>500</v>
      </c>
      <c r="I130" s="354">
        <v>500</v>
      </c>
      <c r="J130" s="354">
        <v>450</v>
      </c>
      <c r="K130" s="354">
        <v>400</v>
      </c>
      <c r="L130" s="354">
        <v>400.00000000000006</v>
      </c>
    </row>
    <row r="131" spans="1:12">
      <c r="A131" s="355" t="s">
        <v>181</v>
      </c>
      <c r="B131" s="356">
        <v>4582.3865378687951</v>
      </c>
      <c r="C131" s="356">
        <v>4818.4155770646976</v>
      </c>
      <c r="D131" s="356">
        <v>4836.8486108567622</v>
      </c>
      <c r="E131" s="356">
        <v>4986.1762724910386</v>
      </c>
      <c r="F131" s="356">
        <v>5132.1275828959115</v>
      </c>
      <c r="G131" s="356">
        <v>5252.5292122693372</v>
      </c>
      <c r="H131" s="356">
        <v>5260.9180319942179</v>
      </c>
      <c r="I131" s="356">
        <v>5259.1249473412727</v>
      </c>
      <c r="J131" s="356">
        <v>5315.1558053374674</v>
      </c>
      <c r="K131" s="356">
        <v>5429.7421013851645</v>
      </c>
      <c r="L131" s="356">
        <v>5411.2372985826241</v>
      </c>
    </row>
    <row r="132" spans="1:12" ht="15.75" thickBot="1">
      <c r="A132" s="348" t="s">
        <v>169</v>
      </c>
      <c r="B132" s="574">
        <v>96.359329950728352</v>
      </c>
      <c r="C132" s="491">
        <v>225.32575288603221</v>
      </c>
      <c r="D132" s="354">
        <v>280.56863604204227</v>
      </c>
      <c r="E132" s="354">
        <v>351.75976048303619</v>
      </c>
      <c r="F132" s="575">
        <v>408.63774043346984</v>
      </c>
      <c r="G132" s="491">
        <v>457.31695565433074</v>
      </c>
      <c r="H132" s="354">
        <v>499.22617572280069</v>
      </c>
      <c r="I132" s="354">
        <v>531.81217527032277</v>
      </c>
      <c r="J132" s="354">
        <v>556.98728515175844</v>
      </c>
      <c r="K132" s="354">
        <v>577.71191207699758</v>
      </c>
      <c r="L132" s="354">
        <v>616.50125368280715</v>
      </c>
    </row>
    <row r="133" spans="1:12" ht="15.75" thickBot="1">
      <c r="A133" s="505" t="s">
        <v>172</v>
      </c>
      <c r="B133" s="572">
        <v>24.25</v>
      </c>
      <c r="C133" s="507">
        <v>25</v>
      </c>
      <c r="D133" s="507">
        <v>25.5</v>
      </c>
      <c r="E133" s="507">
        <v>26</v>
      </c>
      <c r="F133" s="556">
        <v>26.25</v>
      </c>
      <c r="G133" s="507">
        <v>26.5</v>
      </c>
      <c r="H133" s="507">
        <v>26.75</v>
      </c>
      <c r="I133" s="507">
        <v>27</v>
      </c>
      <c r="J133" s="507">
        <v>27.25</v>
      </c>
      <c r="K133" s="507">
        <v>27.5</v>
      </c>
      <c r="L133" s="508">
        <v>27.75</v>
      </c>
    </row>
    <row r="134" spans="1:12" ht="15.75" thickBot="1">
      <c r="A134" s="576" t="s">
        <v>173</v>
      </c>
      <c r="B134" s="348"/>
      <c r="C134" s="348"/>
      <c r="D134" s="348"/>
      <c r="E134" s="348"/>
      <c r="F134" s="348"/>
      <c r="G134" s="348"/>
      <c r="H134" s="348"/>
      <c r="I134" s="348"/>
      <c r="J134" s="348"/>
      <c r="K134" s="348"/>
      <c r="L134" s="348"/>
    </row>
    <row r="135" spans="1:12" ht="15.75" thickBot="1">
      <c r="A135" s="386" t="s">
        <v>174</v>
      </c>
      <c r="B135" s="387">
        <v>2019</v>
      </c>
      <c r="C135" s="388">
        <v>2020</v>
      </c>
      <c r="D135" s="388">
        <v>2021</v>
      </c>
      <c r="E135" s="388">
        <v>2022</v>
      </c>
      <c r="F135" s="388">
        <v>2023</v>
      </c>
      <c r="G135" s="388">
        <v>2024</v>
      </c>
      <c r="H135" s="388">
        <v>2025</v>
      </c>
      <c r="I135" s="388">
        <v>2026</v>
      </c>
      <c r="J135" s="388">
        <v>2027</v>
      </c>
      <c r="K135" s="388">
        <v>2028</v>
      </c>
      <c r="L135" s="387">
        <v>2029</v>
      </c>
    </row>
    <row r="136" spans="1:12" ht="15.75" thickBot="1">
      <c r="A136" s="333" t="s">
        <v>172</v>
      </c>
      <c r="B136" s="295">
        <v>24.25</v>
      </c>
      <c r="C136" s="296">
        <v>22</v>
      </c>
      <c r="D136" s="296">
        <v>23</v>
      </c>
      <c r="E136" s="296">
        <v>24</v>
      </c>
      <c r="F136" s="296">
        <v>25</v>
      </c>
      <c r="G136" s="296">
        <v>26</v>
      </c>
      <c r="H136" s="296">
        <v>26.5</v>
      </c>
      <c r="I136" s="296">
        <v>27</v>
      </c>
      <c r="J136" s="296">
        <v>27.25</v>
      </c>
      <c r="K136" s="296">
        <v>27.5</v>
      </c>
      <c r="L136" s="296">
        <v>27.75</v>
      </c>
    </row>
    <row r="137" spans="1:12">
      <c r="A137" s="416"/>
      <c r="B137" s="416"/>
      <c r="C137" s="348"/>
      <c r="D137" s="416"/>
      <c r="E137" s="416"/>
      <c r="F137" s="416"/>
      <c r="G137" s="416"/>
      <c r="H137" s="416"/>
      <c r="I137" s="416"/>
      <c r="J137" s="416"/>
      <c r="K137" s="416"/>
      <c r="L137" s="416"/>
    </row>
    <row r="138" spans="1:12" ht="15.75" thickBot="1">
      <c r="A138" s="416"/>
      <c r="B138" s="416"/>
      <c r="C138" s="416"/>
      <c r="D138" s="416"/>
      <c r="E138" s="416"/>
      <c r="F138" s="416"/>
      <c r="G138" s="416"/>
      <c r="H138" s="416"/>
      <c r="I138" s="416"/>
      <c r="J138" s="416"/>
      <c r="K138" s="416"/>
      <c r="L138" s="416"/>
    </row>
    <row r="139" spans="1:12" ht="15.75" thickBot="1">
      <c r="A139" s="416" t="s">
        <v>189</v>
      </c>
      <c r="B139" s="417">
        <v>5303</v>
      </c>
      <c r="C139" s="577">
        <v>5369</v>
      </c>
      <c r="D139" s="577">
        <v>5371</v>
      </c>
      <c r="E139" s="577">
        <v>5387</v>
      </c>
      <c r="F139" s="577">
        <v>5395</v>
      </c>
      <c r="G139" s="577">
        <v>5407</v>
      </c>
      <c r="H139" s="577">
        <v>5410</v>
      </c>
      <c r="I139" s="577">
        <v>5429</v>
      </c>
      <c r="J139" s="577">
        <v>5437</v>
      </c>
      <c r="K139" s="577">
        <v>5447</v>
      </c>
      <c r="L139" s="577">
        <v>5450.0266401884346</v>
      </c>
    </row>
    <row r="140" spans="1:12">
      <c r="A140" s="416"/>
      <c r="B140" s="416"/>
      <c r="C140" s="416"/>
      <c r="D140" s="416"/>
      <c r="E140" s="416"/>
      <c r="F140" s="416"/>
      <c r="G140" s="416"/>
      <c r="H140" s="416"/>
      <c r="I140" s="416"/>
      <c r="J140" s="416"/>
      <c r="K140" s="416"/>
      <c r="L140" s="416"/>
    </row>
    <row r="141" spans="1:12">
      <c r="A141" s="416"/>
      <c r="B141" s="416"/>
      <c r="C141" s="416" t="s">
        <v>208</v>
      </c>
      <c r="D141" s="416"/>
      <c r="E141" s="416"/>
      <c r="F141" s="416"/>
      <c r="G141" s="416"/>
      <c r="H141" s="416"/>
      <c r="I141" s="416"/>
      <c r="J141" s="416"/>
      <c r="K141" s="416"/>
      <c r="L141" s="416"/>
    </row>
    <row r="142" spans="1:12">
      <c r="A142" s="416"/>
      <c r="B142" s="416"/>
      <c r="C142" s="416"/>
      <c r="D142" s="416"/>
      <c r="E142" s="416"/>
      <c r="F142" s="416"/>
      <c r="G142" s="416"/>
      <c r="H142" s="416"/>
      <c r="I142" s="416"/>
      <c r="J142" s="416"/>
      <c r="K142" s="416"/>
      <c r="L142" s="416"/>
    </row>
    <row r="143" spans="1:12" ht="15.75" thickBot="1">
      <c r="A143" s="416"/>
      <c r="B143" s="416"/>
      <c r="C143" s="416"/>
      <c r="D143" s="416"/>
      <c r="E143" s="416"/>
      <c r="F143" s="416"/>
      <c r="G143" s="416"/>
      <c r="H143" s="416"/>
      <c r="I143" s="416"/>
      <c r="J143" s="416"/>
      <c r="K143" s="416"/>
      <c r="L143" s="416"/>
    </row>
    <row r="144" spans="1:12" ht="15.75" thickBot="1">
      <c r="A144" s="416" t="s">
        <v>163</v>
      </c>
      <c r="B144" s="526">
        <v>1760</v>
      </c>
      <c r="C144" s="423">
        <v>2879</v>
      </c>
      <c r="D144" s="423">
        <v>3037</v>
      </c>
      <c r="E144" s="423">
        <v>3339</v>
      </c>
      <c r="F144" s="423">
        <v>3585</v>
      </c>
      <c r="G144" s="423">
        <v>3805</v>
      </c>
      <c r="H144" s="423">
        <v>3856</v>
      </c>
      <c r="I144" s="423">
        <v>3704</v>
      </c>
      <c r="J144" s="423">
        <v>3506</v>
      </c>
      <c r="K144" s="423">
        <v>3430</v>
      </c>
      <c r="L144" s="423">
        <v>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6</vt:i4>
      </vt:variant>
    </vt:vector>
  </HeadingPairs>
  <TitlesOfParts>
    <vt:vector size="13" baseType="lpstr">
      <vt:lpstr>FM Mandate Analysis</vt:lpstr>
      <vt:lpstr>10 Year RFS Curves (2020)</vt:lpstr>
      <vt:lpstr>Production by Fuel Cat</vt:lpstr>
      <vt:lpstr>2023 Mandate Analysis</vt:lpstr>
      <vt:lpstr>High Scenario Balance Sheets</vt:lpstr>
      <vt:lpstr>Mid Scenario Balance Sheets</vt:lpstr>
      <vt:lpstr>Low Scenario Balance Sheets</vt:lpstr>
      <vt:lpstr>Adj BBD Production 2023-2025</vt:lpstr>
      <vt:lpstr>Adj BBD Prod Split 2023-2025</vt:lpstr>
      <vt:lpstr>Unadj BBD Prod Split 2023-2025</vt:lpstr>
      <vt:lpstr>Mandates v Supply</vt:lpstr>
      <vt:lpstr>D3 and eRINs</vt:lpstr>
      <vt:lpstr>Fuel Cat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2025-07-17T08:16:25Z</dcterms:created>
  <dcterms:modified xsi:type="dcterms:W3CDTF">2025-09-03T07:44:58Z</dcterms:modified>
</cp:coreProperties>
</file>