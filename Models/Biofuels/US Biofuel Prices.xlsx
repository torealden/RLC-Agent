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37F6027C-8145-44DB-A04B-1127CB51BAD0}" xr6:coauthVersionLast="47" xr6:coauthVersionMax="47" xr10:uidLastSave="{00000000-0000-0000-0000-000000000000}"/>
  <bookViews>
    <workbookView xWindow="4110" yWindow="3105" windowWidth="22860" windowHeight="12030" xr2:uid="{FC383F03-556C-42AD-8E9D-9F7C8D121A1C}"/>
  </bookViews>
  <sheets>
    <sheet name="Dashboard" sheetId="1" r:id="rId1"/>
    <sheet name="Forecasts" sheetId="2" r:id="rId2"/>
    <sheet name="AnnualForecast" sheetId="3" r:id="rId3"/>
    <sheet name="Sheet2" sheetId="4" r:id="rId4"/>
    <sheet name="Chart1" sheetId="5" r:id="rId5"/>
    <sheet name="Chart2" sheetId="6" r:id="rId6"/>
    <sheet name="Historical Comp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8" i="7" l="1"/>
  <c r="D178" i="7"/>
  <c r="F177" i="7"/>
  <c r="D177" i="7"/>
  <c r="F176" i="7"/>
  <c r="D176" i="7"/>
  <c r="F175" i="7"/>
  <c r="D175" i="7"/>
  <c r="F174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<sst xmlns="http://schemas.openxmlformats.org/spreadsheetml/2006/main" count="289" uniqueCount="284">
  <si>
    <t>Biodiesel West Coast</t>
  </si>
  <si>
    <t>Renewable Diesel California LA</t>
  </si>
  <si>
    <t>SBO</t>
  </si>
  <si>
    <t>Energy Value</t>
  </si>
  <si>
    <t>Difference</t>
  </si>
  <si>
    <t>Biod - w/o credits</t>
  </si>
  <si>
    <t>RD - BioD</t>
  </si>
  <si>
    <t>Basis Assumptions</t>
  </si>
  <si>
    <t>Year</t>
  </si>
  <si>
    <t>Monthly BD  movement</t>
  </si>
  <si>
    <t>Monthly RD movement</t>
  </si>
  <si>
    <t>Macro-Energy Inflation</t>
  </si>
  <si>
    <t>Renewable Diesel</t>
  </si>
  <si>
    <t>Biodiesel</t>
  </si>
  <si>
    <t>West Coast Adjustment</t>
  </si>
  <si>
    <t>Fastmarkets Energy Inflation Economic forecast</t>
  </si>
  <si>
    <t>Q2 2023 Forecast</t>
  </si>
  <si>
    <t>Q4 2022 Forecast</t>
  </si>
  <si>
    <t>Realized RD</t>
  </si>
  <si>
    <t>Realized BD</t>
  </si>
  <si>
    <t>Southeast Biodiesel</t>
  </si>
  <si>
    <t>Q1-23</t>
  </si>
  <si>
    <t>Q2-23</t>
  </si>
  <si>
    <t>Q3-23</t>
  </si>
  <si>
    <t>Q4-23</t>
  </si>
  <si>
    <t>Q1-24</t>
  </si>
  <si>
    <t>Q2-24</t>
  </si>
  <si>
    <t>Q3-24</t>
  </si>
  <si>
    <t>Q4-24</t>
  </si>
  <si>
    <t>Q1-25</t>
  </si>
  <si>
    <t>Q2-25</t>
  </si>
  <si>
    <t>Q3-25</t>
  </si>
  <si>
    <t>Q4-25</t>
  </si>
  <si>
    <t>Q1-26</t>
  </si>
  <si>
    <t>Q2-26</t>
  </si>
  <si>
    <t>Q3-26</t>
  </si>
  <si>
    <t>Q4-26</t>
  </si>
  <si>
    <t>Q1-27</t>
  </si>
  <si>
    <t>Q2-27</t>
  </si>
  <si>
    <t>Q3-27</t>
  </si>
  <si>
    <t>Q4-27</t>
  </si>
  <si>
    <t>Q1-28</t>
  </si>
  <si>
    <t>Q2-28</t>
  </si>
  <si>
    <t>Q3-28</t>
  </si>
  <si>
    <t>Q4-28</t>
  </si>
  <si>
    <t>Q1-29</t>
  </si>
  <si>
    <t>Q2-29</t>
  </si>
  <si>
    <t>Q3-29</t>
  </si>
  <si>
    <t>Q4-29</t>
  </si>
  <si>
    <t>Q1-30</t>
  </si>
  <si>
    <t>Q2-30</t>
  </si>
  <si>
    <t>Q3-30</t>
  </si>
  <si>
    <t>Q4-30</t>
  </si>
  <si>
    <t>Q1-31</t>
  </si>
  <si>
    <t>Q2-31</t>
  </si>
  <si>
    <t>Q3-31</t>
  </si>
  <si>
    <t>Q4-31</t>
  </si>
  <si>
    <t>Q1-32</t>
  </si>
  <si>
    <t>Q2-32</t>
  </si>
  <si>
    <t>Q3-32</t>
  </si>
  <si>
    <t>Q4-32</t>
  </si>
  <si>
    <t>Q1-33</t>
  </si>
  <si>
    <t>Q2-33</t>
  </si>
  <si>
    <t>Q3-33</t>
  </si>
  <si>
    <t>Q4-33</t>
  </si>
  <si>
    <t>Q1-34</t>
  </si>
  <si>
    <t>Q2-34</t>
  </si>
  <si>
    <t>Q3-34</t>
  </si>
  <si>
    <t>Q4-34</t>
  </si>
  <si>
    <t>Q1-35</t>
  </si>
  <si>
    <t>Q2-35</t>
  </si>
  <si>
    <t>Q3-35</t>
  </si>
  <si>
    <t>Q4-35</t>
  </si>
  <si>
    <t>Q1-36</t>
  </si>
  <si>
    <t>Q2-36</t>
  </si>
  <si>
    <t>Q3-36</t>
  </si>
  <si>
    <t>Q4-36</t>
  </si>
  <si>
    <t>Q1-37</t>
  </si>
  <si>
    <t>Q2-37</t>
  </si>
  <si>
    <t>Q3-37</t>
  </si>
  <si>
    <t>Q4-37</t>
  </si>
  <si>
    <t>Q1-38</t>
  </si>
  <si>
    <t>Q2-38</t>
  </si>
  <si>
    <t>Q3-38</t>
  </si>
  <si>
    <t>Q4-38</t>
  </si>
  <si>
    <t>Q1-39</t>
  </si>
  <si>
    <t>Q2-39</t>
  </si>
  <si>
    <t>Q3-39</t>
  </si>
  <si>
    <t>Q4-39</t>
  </si>
  <si>
    <t>Q1-40</t>
  </si>
  <si>
    <t>Q2-40</t>
  </si>
  <si>
    <t>Q3-40</t>
  </si>
  <si>
    <t>Q4-40</t>
  </si>
  <si>
    <t>Q1-41</t>
  </si>
  <si>
    <t>Q2-41</t>
  </si>
  <si>
    <t>Q3-41</t>
  </si>
  <si>
    <t>Q4-41</t>
  </si>
  <si>
    <t>Q1-42</t>
  </si>
  <si>
    <t>Q2-42</t>
  </si>
  <si>
    <t>Q3-42</t>
  </si>
  <si>
    <t>Q4-42</t>
  </si>
  <si>
    <t>Q1-43</t>
  </si>
  <si>
    <t>Q2-43</t>
  </si>
  <si>
    <t>Q3-43</t>
  </si>
  <si>
    <t>Q4-43</t>
  </si>
  <si>
    <t>Q1-44</t>
  </si>
  <si>
    <t>Q2-44</t>
  </si>
  <si>
    <t>Q3-44</t>
  </si>
  <si>
    <t>Q4-44</t>
  </si>
  <si>
    <t>Q1-45</t>
  </si>
  <si>
    <t>Q2-45</t>
  </si>
  <si>
    <t>Q3-45</t>
  </si>
  <si>
    <t>Q4-45</t>
  </si>
  <si>
    <t>Q1-46</t>
  </si>
  <si>
    <t>Q2-46</t>
  </si>
  <si>
    <t>Q3-46</t>
  </si>
  <si>
    <t>Q4-46</t>
  </si>
  <si>
    <t>Q1-47</t>
  </si>
  <si>
    <t>Q2-47</t>
  </si>
  <si>
    <t>Q3-47</t>
  </si>
  <si>
    <t>Q4-47</t>
  </si>
  <si>
    <t>Q1-48</t>
  </si>
  <si>
    <t>Q2-48</t>
  </si>
  <si>
    <t>Q3-48</t>
  </si>
  <si>
    <t>Q4-48</t>
  </si>
  <si>
    <t>Q1-49</t>
  </si>
  <si>
    <t>Q2-49</t>
  </si>
  <si>
    <t>Q3-49</t>
  </si>
  <si>
    <t>Q4-49</t>
  </si>
  <si>
    <t>Q1-50</t>
  </si>
  <si>
    <t>Q2-50</t>
  </si>
  <si>
    <t>Q3-50</t>
  </si>
  <si>
    <t>Q4-50</t>
  </si>
  <si>
    <t>Q1-51</t>
  </si>
  <si>
    <t>Q2-51</t>
  </si>
  <si>
    <t>Q3-51</t>
  </si>
  <si>
    <t>Q4-51</t>
  </si>
  <si>
    <t>Q1-52</t>
  </si>
  <si>
    <t>Q2-52</t>
  </si>
  <si>
    <t>Q3-52</t>
  </si>
  <si>
    <t>Q4-52</t>
  </si>
  <si>
    <t>Q1-53</t>
  </si>
  <si>
    <t>Q2-53</t>
  </si>
  <si>
    <t>Q3-53</t>
  </si>
  <si>
    <t>Q4-53</t>
  </si>
  <si>
    <t>Q1-54</t>
  </si>
  <si>
    <t>Q2-54</t>
  </si>
  <si>
    <t>Q3-54</t>
  </si>
  <si>
    <t>Q4-54</t>
  </si>
  <si>
    <t>Q1-55</t>
  </si>
  <si>
    <t>Q2-55</t>
  </si>
  <si>
    <t>Q3-55</t>
  </si>
  <si>
    <t>Q4-55</t>
  </si>
  <si>
    <t>Q1-56</t>
  </si>
  <si>
    <t>Q2-56</t>
  </si>
  <si>
    <t>Q3-56</t>
  </si>
  <si>
    <t>Q4-56</t>
  </si>
  <si>
    <t>Q1-57</t>
  </si>
  <si>
    <t>Q2-57</t>
  </si>
  <si>
    <t>Q3-57</t>
  </si>
  <si>
    <t>Q4-57</t>
  </si>
  <si>
    <t>Q1-58</t>
  </si>
  <si>
    <t>Q2-58</t>
  </si>
  <si>
    <t>Q3-58</t>
  </si>
  <si>
    <t>Q4-58</t>
  </si>
  <si>
    <t>Q1-59</t>
  </si>
  <si>
    <t>Q2-59</t>
  </si>
  <si>
    <t>Q3-59</t>
  </si>
  <si>
    <t>Q4-59</t>
  </si>
  <si>
    <t>Q1-60</t>
  </si>
  <si>
    <t>Q2-60</t>
  </si>
  <si>
    <t>Q3-60</t>
  </si>
  <si>
    <t>Q4-60</t>
  </si>
  <si>
    <t>Q1-61</t>
  </si>
  <si>
    <t>Q2-61</t>
  </si>
  <si>
    <t>Q3-61</t>
  </si>
  <si>
    <t>Q4-61</t>
  </si>
  <si>
    <t>Q1-62</t>
  </si>
  <si>
    <t>Q2-62</t>
  </si>
  <si>
    <t>Q3-62</t>
  </si>
  <si>
    <t>Q4-62</t>
  </si>
  <si>
    <t>Q1-63</t>
  </si>
  <si>
    <t>Q2-63</t>
  </si>
  <si>
    <t>Q3-63</t>
  </si>
  <si>
    <t>Q4-63</t>
  </si>
  <si>
    <t>Q1-64</t>
  </si>
  <si>
    <t>Q2-64</t>
  </si>
  <si>
    <t>Q3-64</t>
  </si>
  <si>
    <t>Q4-64</t>
  </si>
  <si>
    <t>Q1-65</t>
  </si>
  <si>
    <t>Q2-65</t>
  </si>
  <si>
    <t>Q3-65</t>
  </si>
  <si>
    <t>Q4-65</t>
  </si>
  <si>
    <t>Q1-66</t>
  </si>
  <si>
    <t>Q2-66</t>
  </si>
  <si>
    <t>Q3-66</t>
  </si>
  <si>
    <t>Q4-66</t>
  </si>
  <si>
    <t>Q1-67</t>
  </si>
  <si>
    <t>Q2-67</t>
  </si>
  <si>
    <t>Q3-67</t>
  </si>
  <si>
    <t>Q4-67</t>
  </si>
  <si>
    <t>Q1-68</t>
  </si>
  <si>
    <t>Q2-68</t>
  </si>
  <si>
    <t>Q3-68</t>
  </si>
  <si>
    <t>Q4-68</t>
  </si>
  <si>
    <t>Q1-69</t>
  </si>
  <si>
    <t>Q2-69</t>
  </si>
  <si>
    <t>Q3-69</t>
  </si>
  <si>
    <t>Q4-69</t>
  </si>
  <si>
    <t>Q1-70</t>
  </si>
  <si>
    <t>Q2-70</t>
  </si>
  <si>
    <t>Q3-70</t>
  </si>
  <si>
    <t>Q4-70</t>
  </si>
  <si>
    <t>Q1-71</t>
  </si>
  <si>
    <t>Q2-71</t>
  </si>
  <si>
    <t>Q3-71</t>
  </si>
  <si>
    <t>Q4-71</t>
  </si>
  <si>
    <t>Q1-72</t>
  </si>
  <si>
    <t>Q2-72</t>
  </si>
  <si>
    <t>Q3-72</t>
  </si>
  <si>
    <t>Q4-72</t>
  </si>
  <si>
    <t>Q1-73</t>
  </si>
  <si>
    <t>Q2-73</t>
  </si>
  <si>
    <t>Q3-73</t>
  </si>
  <si>
    <t>Q4-73</t>
  </si>
  <si>
    <t>Q1-74</t>
  </si>
  <si>
    <t>Q2-74</t>
  </si>
  <si>
    <t>Q3-74</t>
  </si>
  <si>
    <t>Q4-74</t>
  </si>
  <si>
    <t>Q1-75</t>
  </si>
  <si>
    <t>Q2-75</t>
  </si>
  <si>
    <t>Q3-75</t>
  </si>
  <si>
    <t>Q4-75</t>
  </si>
  <si>
    <t>Q1-76</t>
  </si>
  <si>
    <t>Q2-76</t>
  </si>
  <si>
    <t>Q3-76</t>
  </si>
  <si>
    <t>Q4-76</t>
  </si>
  <si>
    <t>Q1-77</t>
  </si>
  <si>
    <t>Q2-77</t>
  </si>
  <si>
    <t>Q3-77</t>
  </si>
  <si>
    <t>Q4-77</t>
  </si>
  <si>
    <t>Q1-78</t>
  </si>
  <si>
    <t>Q2-78</t>
  </si>
  <si>
    <t>Q3-78</t>
  </si>
  <si>
    <t>Q4-78</t>
  </si>
  <si>
    <t>Q1-79</t>
  </si>
  <si>
    <t>Q2-79</t>
  </si>
  <si>
    <t>Q3-79</t>
  </si>
  <si>
    <t>Q4-79</t>
  </si>
  <si>
    <t>Q1-80</t>
  </si>
  <si>
    <t>Q2-80</t>
  </si>
  <si>
    <t>Q3-80</t>
  </si>
  <si>
    <t>Q4-80</t>
  </si>
  <si>
    <t>Q1-81</t>
  </si>
  <si>
    <t>Q2-81</t>
  </si>
  <si>
    <t>Q3-81</t>
  </si>
  <si>
    <t>Q4-81</t>
  </si>
  <si>
    <t>Q1-82</t>
  </si>
  <si>
    <t>Q2-82</t>
  </si>
  <si>
    <t>Q3-82</t>
  </si>
  <si>
    <t>Q4-82</t>
  </si>
  <si>
    <t>Q1-83</t>
  </si>
  <si>
    <t>Q2-83</t>
  </si>
  <si>
    <t>Q3-83</t>
  </si>
  <si>
    <t>Q4-83</t>
  </si>
  <si>
    <t>Q1-84</t>
  </si>
  <si>
    <t>Q2-84</t>
  </si>
  <si>
    <t>Q3-84</t>
  </si>
  <si>
    <t>Q4-84</t>
  </si>
  <si>
    <t>Q1-85</t>
  </si>
  <si>
    <t>Q2-85</t>
  </si>
  <si>
    <t>Q3-85</t>
  </si>
  <si>
    <t>Q4-85</t>
  </si>
  <si>
    <t>Max</t>
  </si>
  <si>
    <t>Min</t>
  </si>
  <si>
    <t>Range</t>
  </si>
  <si>
    <t>2025e</t>
  </si>
  <si>
    <t>2026f</t>
  </si>
  <si>
    <t>2027f</t>
  </si>
  <si>
    <t>B100 West Coast</t>
  </si>
  <si>
    <t>HO Futures Monthly Close</t>
  </si>
  <si>
    <t>B100 Basis</t>
  </si>
  <si>
    <t>RD Californai Delivered</t>
  </si>
  <si>
    <t>RD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</si>
</sst>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_);[Red]\(0.00\)"/>
    <numFmt numFmtId="165" formatCode="0.0000_);[Red]\(0.0000\)"/>
    <numFmt numFmtId="166" formatCode="0.0%"/>
    <numFmt numFmtId="167" formatCode="#,##0.0000_);[Red]\(#,##0.0000\)"/>
  </numFmts>
  <fonts count="9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Aptos Display"/>
      <family val="2"/>
    </font>
    <font>
      <sz val="10"/>
      <color theme="4" tint="-0.249977111117893"/>
      <name val="Aptos Display"/>
      <family val="2"/>
    </font>
    <font>
      <b/>
      <sz val="10"/>
      <color theme="4" tint="-0.249977111117893"/>
      <name val="Aptos Display"/>
      <family val="2"/>
    </font>
    <font>
      <b/>
      <sz val="10"/>
      <color theme="1"/>
      <name val="Aptos Display"/>
      <family val="2"/>
    </font>
    <font>
      <sz val="9"/>
      <color theme="1"/>
      <name val="Aptos Display"/>
      <family val="2"/>
    </font>
    <font>
      <b/>
      <sz val="10"/>
      <color rgb="FFFF0000"/>
      <name val="Aptos Display"/>
      <family val="2"/>
    </font>
    <font>
      <b/>
      <sz val="1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wrapText="1"/>
    </xf>
    <xf numFmtId="14" fontId="2" fillId="0" borderId="0" xfId="0" applyNumberFormat="1" applyFont="1"/>
    <xf numFmtId="43" fontId="3" fillId="0" borderId="0" xfId="0" applyNumberFormat="1" applyFont="1"/>
    <xf numFmtId="43" fontId="2" fillId="0" borderId="0" xfId="0" applyNumberFormat="1" applyFont="1"/>
    <xf numFmtId="164" fontId="2" fillId="0" borderId="0" xfId="0" applyNumberFormat="1" applyFont="1"/>
    <xf numFmtId="43" fontId="4" fillId="0" borderId="0" xfId="0" applyNumberFormat="1" applyFont="1"/>
    <xf numFmtId="164" fontId="5" fillId="0" borderId="0" xfId="0" applyNumberFormat="1" applyFont="1"/>
    <xf numFmtId="0" fontId="6" fillId="0" borderId="0" xfId="0" applyFont="1"/>
    <xf numFmtId="165" fontId="6" fillId="0" borderId="0" xfId="0" applyNumberFormat="1" applyFont="1"/>
    <xf numFmtId="164" fontId="6" fillId="0" borderId="0" xfId="0" applyNumberFormat="1" applyFont="1"/>
    <xf numFmtId="43" fontId="3" fillId="2" borderId="0" xfId="0" applyNumberFormat="1" applyFont="1" applyFill="1"/>
    <xf numFmtId="43" fontId="7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10" fontId="2" fillId="0" borderId="0" xfId="1" applyNumberFormat="1" applyFont="1"/>
    <xf numFmtId="166" fontId="2" fillId="0" borderId="0" xfId="1" applyNumberFormat="1" applyFont="1"/>
    <xf numFmtId="167" fontId="7" fillId="0" borderId="0" xfId="0" applyNumberFormat="1" applyFont="1"/>
    <xf numFmtId="167" fontId="2" fillId="0" borderId="0" xfId="0" applyNumberFormat="1" applyFont="1"/>
    <xf numFmtId="10" fontId="5" fillId="0" borderId="0" xfId="1" applyNumberFormat="1" applyFont="1"/>
    <xf numFmtId="43" fontId="5" fillId="0" borderId="0" xfId="0" applyNumberFormat="1" applyFont="1"/>
    <xf numFmtId="164" fontId="8" fillId="0" borderId="0" xfId="0" applyNumberFormat="1" applyFont="1"/>
    <xf numFmtId="14" fontId="2" fillId="2" borderId="0" xfId="0" applyNumberFormat="1" applyFont="1" applyFill="1"/>
    <xf numFmtId="43" fontId="4" fillId="2" borderId="0" xfId="0" applyNumberFormat="1" applyFont="1" applyFill="1"/>
    <xf numFmtId="43" fontId="2" fillId="2" borderId="0" xfId="0" applyNumberFormat="1" applyFont="1" applyFill="1"/>
    <xf numFmtId="43" fontId="5" fillId="2" borderId="0" xfId="0" applyNumberFormat="1" applyFont="1" applyFill="1"/>
    <xf numFmtId="164" fontId="8" fillId="2" borderId="0" xfId="0" applyNumberFormat="1" applyFont="1" applyFill="1"/>
    <xf numFmtId="164" fontId="5" fillId="2" borderId="0" xfId="0" applyNumberFormat="1" applyFont="1" applyFill="1"/>
    <xf numFmtId="164" fontId="2" fillId="2" borderId="0" xfId="0" applyNumberFormat="1" applyFont="1" applyFill="1"/>
    <xf numFmtId="0" fontId="2" fillId="2" borderId="0" xfId="0" applyFont="1" applyFill="1"/>
    <xf numFmtId="10" fontId="5" fillId="2" borderId="0" xfId="1" applyNumberFormat="1" applyFont="1" applyFill="1"/>
    <xf numFmtId="166" fontId="2" fillId="2" borderId="0" xfId="1" applyNumberFormat="1" applyFont="1" applyFill="1"/>
    <xf numFmtId="167" fontId="2" fillId="2" borderId="0" xfId="0" applyNumberFormat="1" applyFont="1" applyFill="1"/>
    <xf numFmtId="2" fontId="0" fillId="0" borderId="0" xfId="0" applyNumberFormat="1"/>
    <xf numFmtId="43" fontId="0" fillId="0" borderId="0" xfId="0" applyNumberForma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Biodiesel</a:t>
            </a:r>
            <a:r>
              <a:rPr lang="en-US" baseline="0"/>
              <a:t> &amp; Renewable Diesel </a:t>
            </a:r>
            <a:endParaRPr lang="en-US"/>
          </a:p>
        </c:rich>
      </c:tx>
      <c:layout>
        <c:manualLayout>
          <c:xMode val="edge"/>
          <c:yMode val="edge"/>
          <c:x val="0.27444444444444444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95078740157481"/>
          <c:y val="0.12402887139107611"/>
          <c:w val="0.80180643044619426"/>
          <c:h val="0.64709171770195384"/>
        </c:manualLayout>
      </c:layout>
      <c:lineChart>
        <c:grouping val="standard"/>
        <c:varyColors val="0"/>
        <c:ser>
          <c:idx val="1"/>
          <c:order val="0"/>
          <c:tx>
            <c:strRef>
              <c:f>Forecasts!$C$1</c:f>
              <c:strCache>
                <c:ptCount val="1"/>
                <c:pt idx="0">
                  <c:v>Renewable Diesel California LA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23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8B6-4A8C-B98E-A95687E47CB3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8B6-4A8C-B98E-A95687E47CB3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8B6-4A8C-B98E-A95687E47CB3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8B6-4A8C-B98E-A95687E47CB3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8B6-4A8C-B98E-A95687E47CB3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8B6-4A8C-B98E-A95687E47CB3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F8B6-4A8C-B98E-A95687E47CB3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F8B6-4A8C-B98E-A95687E47CB3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F8B6-4A8C-B98E-A95687E47CB3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F8B6-4A8C-B98E-A95687E47CB3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F8B6-4A8C-B98E-A95687E47CB3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F8B6-4A8C-B98E-A95687E47CB3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F8B6-4A8C-B98E-A95687E47CB3}"/>
              </c:ext>
            </c:extLst>
          </c:dPt>
          <c:cat>
            <c:numRef>
              <c:f>Forecasts!$A$26:$A$62</c:f>
              <c:numCache>
                <c:formatCode>m/d/yyyy</c:formatCode>
                <c:ptCount val="37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</c:numCache>
            </c:numRef>
          </c:cat>
          <c:val>
            <c:numRef>
              <c:f>Forecasts!$C$26:$C$62</c:f>
              <c:numCache>
                <c:formatCode>_(* #,##0.00_);_(* \(#,##0.00\);_(* "-"??_);_(@_)</c:formatCode>
                <c:ptCount val="37"/>
                <c:pt idx="0">
                  <c:v>2.6183000000000001</c:v>
                </c:pt>
                <c:pt idx="1">
                  <c:v>2.8553999999999999</c:v>
                </c:pt>
                <c:pt idx="2">
                  <c:v>3.6623000000000001</c:v>
                </c:pt>
                <c:pt idx="3">
                  <c:v>3.8795000000000002</c:v>
                </c:pt>
                <c:pt idx="4">
                  <c:v>3.9176000000000002</c:v>
                </c:pt>
                <c:pt idx="5">
                  <c:v>4.3010999999999999</c:v>
                </c:pt>
                <c:pt idx="6">
                  <c:v>3.6501999999999999</c:v>
                </c:pt>
                <c:pt idx="7">
                  <c:v>3.6059999999999999</c:v>
                </c:pt>
                <c:pt idx="8">
                  <c:v>3.4216000000000002</c:v>
                </c:pt>
                <c:pt idx="9">
                  <c:v>3.9615785714285709</c:v>
                </c:pt>
                <c:pt idx="10">
                  <c:v>3.5769000000000002</c:v>
                </c:pt>
                <c:pt idx="11">
                  <c:v>2.9495</c:v>
                </c:pt>
                <c:pt idx="12">
                  <c:v>2.9518</c:v>
                </c:pt>
                <c:pt idx="13">
                  <c:v>2.8294000000000001</c:v>
                </c:pt>
                <c:pt idx="14">
                  <c:v>2.6103000000000001</c:v>
                </c:pt>
                <c:pt idx="15">
                  <c:v>2.3999000000000001</c:v>
                </c:pt>
                <c:pt idx="16">
                  <c:v>2.1654</c:v>
                </c:pt>
                <c:pt idx="17">
                  <c:v>2.2235999999999998</c:v>
                </c:pt>
                <c:pt idx="18">
                  <c:v>2.5154999999999998</c:v>
                </c:pt>
                <c:pt idx="19">
                  <c:v>3.1316000000000002</c:v>
                </c:pt>
                <c:pt idx="20">
                  <c:v>3.7347999999999999</c:v>
                </c:pt>
                <c:pt idx="21">
                  <c:v>3.2168000000000001</c:v>
                </c:pt>
                <c:pt idx="22">
                  <c:v>2.944</c:v>
                </c:pt>
                <c:pt idx="23">
                  <c:v>2.5878999999999999</c:v>
                </c:pt>
                <c:pt idx="24">
                  <c:v>2.5011000000000001</c:v>
                </c:pt>
                <c:pt idx="25">
                  <c:v>2.5948000000000002</c:v>
                </c:pt>
                <c:pt idx="26">
                  <c:v>2.6656</c:v>
                </c:pt>
                <c:pt idx="27">
                  <c:v>2.6368</c:v>
                </c:pt>
                <c:pt idx="28">
                  <c:v>2.4277000000000002</c:v>
                </c:pt>
                <c:pt idx="29">
                  <c:v>2.4277000000000002</c:v>
                </c:pt>
                <c:pt idx="30">
                  <c:v>2.3199999999999998</c:v>
                </c:pt>
                <c:pt idx="31">
                  <c:v>2.11</c:v>
                </c:pt>
                <c:pt idx="32">
                  <c:v>2.02</c:v>
                </c:pt>
                <c:pt idx="33">
                  <c:v>2.17</c:v>
                </c:pt>
                <c:pt idx="34">
                  <c:v>2.29</c:v>
                </c:pt>
                <c:pt idx="35">
                  <c:v>2.5099999999999998</c:v>
                </c:pt>
                <c:pt idx="36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8B6-4A8C-B98E-A95687E47CB3}"/>
            </c:ext>
          </c:extLst>
        </c:ser>
        <c:ser>
          <c:idx val="0"/>
          <c:order val="1"/>
          <c:tx>
            <c:strRef>
              <c:f>Forecasts!$B$1</c:f>
              <c:strCache>
                <c:ptCount val="1"/>
                <c:pt idx="0">
                  <c:v>Biodiesel West Coast</c:v>
                </c:pt>
              </c:strCache>
            </c:strRef>
          </c:tx>
          <c:spPr>
            <a:ln w="2222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2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F8B6-4A8C-B98E-A95687E47CB3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F8B6-4A8C-B98E-A95687E47CB3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F8B6-4A8C-B98E-A95687E47CB3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F8B6-4A8C-B98E-A95687E47CB3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F8B6-4A8C-B98E-A95687E47CB3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F8B6-4A8C-B98E-A95687E47CB3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F8B6-4A8C-B98E-A95687E47CB3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F8B6-4A8C-B98E-A95687E47CB3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F8B6-4A8C-B98E-A95687E47CB3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F8B6-4A8C-B98E-A95687E47CB3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F8B6-4A8C-B98E-A95687E47CB3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F8B6-4A8C-B98E-A95687E47CB3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F8B6-4A8C-B98E-A95687E47CB3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F8B6-4A8C-B98E-A95687E47CB3}"/>
              </c:ext>
            </c:extLst>
          </c:dPt>
          <c:cat>
            <c:numRef>
              <c:f>Forecasts!$A$26:$A$62</c:f>
              <c:numCache>
                <c:formatCode>m/d/yyyy</c:formatCode>
                <c:ptCount val="37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</c:numCache>
            </c:numRef>
          </c:cat>
          <c:val>
            <c:numRef>
              <c:f>Forecasts!$G$26:$G$62</c:f>
              <c:numCache>
                <c:formatCode>0.00_);[Red]\(0.00\)</c:formatCode>
                <c:ptCount val="37"/>
                <c:pt idx="0">
                  <c:v>2.2699875251370627</c:v>
                </c:pt>
                <c:pt idx="1">
                  <c:v>2.6164661636718751</c:v>
                </c:pt>
                <c:pt idx="2">
                  <c:v>3.2548560126521875</c:v>
                </c:pt>
                <c:pt idx="3">
                  <c:v>3.7298203072097502</c:v>
                </c:pt>
                <c:pt idx="4">
                  <c:v>3.7191981844797652</c:v>
                </c:pt>
                <c:pt idx="5">
                  <c:v>3.9572046083717187</c:v>
                </c:pt>
                <c:pt idx="6">
                  <c:v>3.7202026297145006</c:v>
                </c:pt>
                <c:pt idx="7">
                  <c:v>3.3245347878546876</c:v>
                </c:pt>
                <c:pt idx="8">
                  <c:v>3.3245347878546876</c:v>
                </c:pt>
                <c:pt idx="9">
                  <c:v>3.8472365381502498</c:v>
                </c:pt>
                <c:pt idx="10">
                  <c:v>3.8472365381502498</c:v>
                </c:pt>
                <c:pt idx="11">
                  <c:v>3.7106194895280624</c:v>
                </c:pt>
                <c:pt idx="12">
                  <c:v>3.5535684345340628</c:v>
                </c:pt>
                <c:pt idx="13">
                  <c:v>3.332536634955781</c:v>
                </c:pt>
                <c:pt idx="14">
                  <c:v>2.7414457314490623</c:v>
                </c:pt>
                <c:pt idx="15">
                  <c:v>2.2833527645293747</c:v>
                </c:pt>
                <c:pt idx="16">
                  <c:v>2.1804004741771879</c:v>
                </c:pt>
                <c:pt idx="17">
                  <c:v>2.197786817252422</c:v>
                </c:pt>
                <c:pt idx="18">
                  <c:v>2.1653838241446874</c:v>
                </c:pt>
                <c:pt idx="19">
                  <c:v>2.98110994324625</c:v>
                </c:pt>
                <c:pt idx="20">
                  <c:v>3.232403167131094</c:v>
                </c:pt>
                <c:pt idx="21">
                  <c:v>3.2225846168725001</c:v>
                </c:pt>
                <c:pt idx="22">
                  <c:v>2.9984840224057501</c:v>
                </c:pt>
                <c:pt idx="23">
                  <c:v>2.8554678180845312</c:v>
                </c:pt>
                <c:pt idx="24">
                  <c:v>2.7617393873552216</c:v>
                </c:pt>
                <c:pt idx="25">
                  <c:v>2.9281327310226564</c:v>
                </c:pt>
                <c:pt idx="26">
                  <c:v>2.55675304940875</c:v>
                </c:pt>
                <c:pt idx="27">
                  <c:v>2.6215420558218749</c:v>
                </c:pt>
                <c:pt idx="28">
                  <c:v>2.4313457317656249</c:v>
                </c:pt>
                <c:pt idx="29">
                  <c:v>2.3479876207913652</c:v>
                </c:pt>
                <c:pt idx="30">
                  <c:v>2.5143675800112497</c:v>
                </c:pt>
                <c:pt idx="31">
                  <c:v>2.3097106565812497</c:v>
                </c:pt>
                <c:pt idx="32">
                  <c:v>2.1314703314242185</c:v>
                </c:pt>
                <c:pt idx="33">
                  <c:v>2.2325323760174998</c:v>
                </c:pt>
                <c:pt idx="34">
                  <c:v>2.4390338017789062</c:v>
                </c:pt>
                <c:pt idx="35">
                  <c:v>2.5148179093137504</c:v>
                </c:pt>
                <c:pt idx="36">
                  <c:v>2.0072675986513135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F8B6-4A8C-B98E-A95687E47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308912"/>
        <c:axId val="1334308192"/>
      </c:lineChart>
      <c:dateAx>
        <c:axId val="1354308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Source: Fastmarkets</a:t>
                </a:r>
              </a:p>
            </c:rich>
          </c:tx>
          <c:layout>
            <c:manualLayout>
              <c:xMode val="edge"/>
              <c:yMode val="edge"/>
              <c:x val="5.433945756780403E-3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4308192"/>
        <c:crosses val="autoZero"/>
        <c:auto val="1"/>
        <c:lblOffset val="100"/>
        <c:baseTimeUnit val="months"/>
        <c:majorUnit val="3"/>
        <c:majorTimeUnit val="months"/>
      </c:dateAx>
      <c:valAx>
        <c:axId val="1334308192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/>
                  <a:t>USD/gal</a:t>
                </a:r>
              </a:p>
            </c:rich>
          </c:tx>
          <c:layout>
            <c:manualLayout>
              <c:xMode val="edge"/>
              <c:yMode val="edge"/>
              <c:x val="8.071984983822859E-3"/>
              <c:y val="0.42390969270434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54308912"/>
        <c:crosses val="autoZero"/>
        <c:crossBetween val="between"/>
      </c:valAx>
      <c:spPr>
        <a:noFill/>
        <a:ln w="12700"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.16092497812773404"/>
          <c:y val="0.6809722222222222"/>
          <c:w val="0.7975942694663167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/>
              <a:t>Renewable Diesel - Biodiesel Spread in California Market</a:t>
            </a:r>
          </a:p>
        </c:rich>
      </c:tx>
      <c:layout>
        <c:manualLayout>
          <c:xMode val="edge"/>
          <c:yMode val="edge"/>
          <c:x val="0.1617567804024497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10039370078741"/>
          <c:y val="0.12665573053368331"/>
          <c:w val="0.82067738407699042"/>
          <c:h val="0.61810513269174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49-4461-AB57-C50DF9591F62}"/>
              </c:ext>
            </c:extLst>
          </c:dPt>
          <c:dPt>
            <c:idx val="13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49-4461-AB57-C50DF9591F62}"/>
              </c:ext>
            </c:extLst>
          </c:dPt>
          <c:dPt>
            <c:idx val="14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49-4461-AB57-C50DF9591F62}"/>
              </c:ext>
            </c:extLst>
          </c:dPt>
          <c:dPt>
            <c:idx val="15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49-4461-AB57-C50DF9591F62}"/>
              </c:ext>
            </c:extLst>
          </c:dPt>
          <c:dPt>
            <c:idx val="16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849-4461-AB57-C50DF9591F62}"/>
              </c:ext>
            </c:extLst>
          </c:dPt>
          <c:dPt>
            <c:idx val="17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849-4461-AB57-C50DF9591F62}"/>
              </c:ext>
            </c:extLst>
          </c:dPt>
          <c:dPt>
            <c:idx val="18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849-4461-AB57-C50DF9591F62}"/>
              </c:ext>
            </c:extLst>
          </c:dPt>
          <c:dPt>
            <c:idx val="19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849-4461-AB57-C50DF9591F62}"/>
              </c:ext>
            </c:extLst>
          </c:dPt>
          <c:dPt>
            <c:idx val="20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849-4461-AB57-C50DF9591F62}"/>
              </c:ext>
            </c:extLst>
          </c:dPt>
          <c:dPt>
            <c:idx val="21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849-4461-AB57-C50DF9591F62}"/>
              </c:ext>
            </c:extLst>
          </c:dPt>
          <c:dPt>
            <c:idx val="22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849-4461-AB57-C50DF9591F62}"/>
              </c:ext>
            </c:extLst>
          </c:dPt>
          <c:dPt>
            <c:idx val="23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849-4461-AB57-C50DF9591F62}"/>
              </c:ext>
            </c:extLst>
          </c:dPt>
          <c:dPt>
            <c:idx val="24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849-4461-AB57-C50DF9591F62}"/>
              </c:ext>
            </c:extLst>
          </c:dPt>
          <c:dPt>
            <c:idx val="25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849-4461-AB57-C50DF9591F62}"/>
              </c:ext>
            </c:extLst>
          </c:dPt>
          <c:dPt>
            <c:idx val="26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849-4461-AB57-C50DF9591F62}"/>
              </c:ext>
            </c:extLst>
          </c:dPt>
          <c:dPt>
            <c:idx val="27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849-4461-AB57-C50DF9591F62}"/>
              </c:ext>
            </c:extLst>
          </c:dPt>
          <c:dPt>
            <c:idx val="28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849-4461-AB57-C50DF9591F62}"/>
              </c:ext>
            </c:extLst>
          </c:dPt>
          <c:dPt>
            <c:idx val="29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849-4461-AB57-C50DF9591F62}"/>
              </c:ext>
            </c:extLst>
          </c:dPt>
          <c:dPt>
            <c:idx val="30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849-4461-AB57-C50DF9591F62}"/>
              </c:ext>
            </c:extLst>
          </c:dPt>
          <c:dPt>
            <c:idx val="31"/>
            <c:invertIfNegative val="0"/>
            <c:bubble3D val="0"/>
            <c:spPr>
              <a:pattFill prst="dkUpDiag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849-4461-AB57-C50DF9591F62}"/>
              </c:ext>
            </c:extLst>
          </c:dPt>
          <c:dPt>
            <c:idx val="32"/>
            <c:invertIfNegative val="0"/>
            <c:bubble3D val="0"/>
            <c:spPr>
              <a:pattFill prst="dkUpDiag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849-4461-AB57-C50DF9591F62}"/>
              </c:ext>
            </c:extLst>
          </c:dPt>
          <c:dPt>
            <c:idx val="33"/>
            <c:invertIfNegative val="0"/>
            <c:bubble3D val="0"/>
            <c:spPr>
              <a:pattFill prst="dkUpDiag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849-4461-AB57-C50DF9591F62}"/>
              </c:ext>
            </c:extLst>
          </c:dPt>
          <c:dPt>
            <c:idx val="34"/>
            <c:invertIfNegative val="0"/>
            <c:bubble3D val="0"/>
            <c:spPr>
              <a:pattFill prst="dkUpDiag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849-4461-AB57-C50DF9591F62}"/>
              </c:ext>
            </c:extLst>
          </c:dPt>
          <c:dPt>
            <c:idx val="35"/>
            <c:invertIfNegative val="0"/>
            <c:bubble3D val="0"/>
            <c:spPr>
              <a:pattFill prst="dkUpDiag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849-4461-AB57-C50DF9591F62}"/>
              </c:ext>
            </c:extLst>
          </c:dPt>
          <c:cat>
            <c:numRef>
              <c:f>Forecasts!$A$26:$A$62</c:f>
              <c:numCache>
                <c:formatCode>m/d/yyyy</c:formatCode>
                <c:ptCount val="37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</c:numCache>
            </c:numRef>
          </c:cat>
          <c:val>
            <c:numRef>
              <c:f>Forecasts!$H$26:$H$62</c:f>
              <c:numCache>
                <c:formatCode>0.00_);[Red]\(0.00\)</c:formatCode>
                <c:ptCount val="37"/>
                <c:pt idx="0">
                  <c:v>0.34831247486293737</c:v>
                </c:pt>
                <c:pt idx="1">
                  <c:v>0.23893383632812482</c:v>
                </c:pt>
                <c:pt idx="2">
                  <c:v>0.40744398734781262</c:v>
                </c:pt>
                <c:pt idx="3">
                  <c:v>0.14967969279024995</c:v>
                </c:pt>
                <c:pt idx="4">
                  <c:v>0.19840181552023495</c:v>
                </c:pt>
                <c:pt idx="5">
                  <c:v>0.3438953916282812</c:v>
                </c:pt>
                <c:pt idx="6">
                  <c:v>-7.0002629714500664E-2</c:v>
                </c:pt>
                <c:pt idx="7">
                  <c:v>0.28146521214531228</c:v>
                </c:pt>
                <c:pt idx="8">
                  <c:v>9.7065212145312607E-2</c:v>
                </c:pt>
                <c:pt idx="9">
                  <c:v>0.11434203327832115</c:v>
                </c:pt>
                <c:pt idx="10">
                  <c:v>-0.27033653815024961</c:v>
                </c:pt>
                <c:pt idx="11">
                  <c:v>-0.76111948952806241</c:v>
                </c:pt>
                <c:pt idx="12">
                  <c:v>-0.60176843453406281</c:v>
                </c:pt>
                <c:pt idx="13">
                  <c:v>-0.50313663495578087</c:v>
                </c:pt>
                <c:pt idx="14">
                  <c:v>-0.13114573144906227</c:v>
                </c:pt>
                <c:pt idx="15">
                  <c:v>0.1165472354706254</c:v>
                </c:pt>
                <c:pt idx="16">
                  <c:v>-1.5000474177187861E-2</c:v>
                </c:pt>
                <c:pt idx="17">
                  <c:v>2.5813182747577823E-2</c:v>
                </c:pt>
                <c:pt idx="18">
                  <c:v>0.35011617585531241</c:v>
                </c:pt>
                <c:pt idx="19">
                  <c:v>0.15049005675375016</c:v>
                </c:pt>
                <c:pt idx="20">
                  <c:v>0.50239683286890591</c:v>
                </c:pt>
                <c:pt idx="21">
                  <c:v>-5.7846168724999814E-3</c:v>
                </c:pt>
                <c:pt idx="22">
                  <c:v>-5.4484022405750121E-2</c:v>
                </c:pt>
                <c:pt idx="23">
                  <c:v>-0.26756781808453134</c:v>
                </c:pt>
                <c:pt idx="24">
                  <c:v>-0.26063938735522152</c:v>
                </c:pt>
                <c:pt idx="25">
                  <c:v>-0.33333273102265615</c:v>
                </c:pt>
                <c:pt idx="26">
                  <c:v>0.10884695059124994</c:v>
                </c:pt>
                <c:pt idx="27">
                  <c:v>1.5257944178125094E-2</c:v>
                </c:pt>
                <c:pt idx="28">
                  <c:v>-3.6457317656246602E-3</c:v>
                </c:pt>
                <c:pt idx="29">
                  <c:v>7.9712379208634943E-2</c:v>
                </c:pt>
                <c:pt idx="30">
                  <c:v>-0.19436758001124987</c:v>
                </c:pt>
                <c:pt idx="31">
                  <c:v>-0.19971065658124987</c:v>
                </c:pt>
                <c:pt idx="32">
                  <c:v>-0.11147033142421847</c:v>
                </c:pt>
                <c:pt idx="33">
                  <c:v>-6.2532376017499836E-2</c:v>
                </c:pt>
                <c:pt idx="34">
                  <c:v>-0.14903380177890613</c:v>
                </c:pt>
                <c:pt idx="35">
                  <c:v>-4.8179093137505902E-3</c:v>
                </c:pt>
                <c:pt idx="36">
                  <c:v>0.75273240134868624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0849-4461-AB57-C50DF9591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28947775"/>
        <c:axId val="28953351"/>
      </c:barChart>
      <c:dateAx>
        <c:axId val="28947775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28575" cap="flat" cmpd="sng" algn="ctr">
            <a:solidFill>
              <a:srgbClr val="FF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953351"/>
        <c:crosses val="autoZero"/>
        <c:auto val="1"/>
        <c:lblOffset val="100"/>
        <c:baseTimeUnit val="months"/>
        <c:majorUnit val="3"/>
        <c:majorTimeUnit val="months"/>
      </c:dateAx>
      <c:valAx>
        <c:axId val="28953351"/>
        <c:scaling>
          <c:orientation val="minMax"/>
          <c:min val="-0.8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/>
                  <a:t>USD/gal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947775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Biodiesel</a:t>
            </a:r>
            <a:r>
              <a:rPr lang="en-US" baseline="0"/>
              <a:t> &amp; Renewable Diesel </a:t>
            </a:r>
            <a:endParaRPr lang="en-US"/>
          </a:p>
        </c:rich>
      </c:tx>
      <c:layout>
        <c:manualLayout>
          <c:xMode val="edge"/>
          <c:yMode val="edge"/>
          <c:x val="0.3327777777777777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95078740157481"/>
          <c:y val="0.12402887139107611"/>
          <c:w val="0.80180643044619426"/>
          <c:h val="0.64709171770195384"/>
        </c:manualLayout>
      </c:layout>
      <c:lineChart>
        <c:grouping val="standard"/>
        <c:varyColors val="0"/>
        <c:ser>
          <c:idx val="1"/>
          <c:order val="0"/>
          <c:tx>
            <c:strRef>
              <c:f>Forecasts!$C$1</c:f>
              <c:strCache>
                <c:ptCount val="1"/>
                <c:pt idx="0">
                  <c:v>Renewable Diesel California LA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23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CE5-4F7F-9CC9-2D3CA4D15F35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CE5-4F7F-9CC9-2D3CA4D15F35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CE5-4F7F-9CC9-2D3CA4D15F35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CE5-4F7F-9CC9-2D3CA4D15F35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CE5-4F7F-9CC9-2D3CA4D15F35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CE5-4F7F-9CC9-2D3CA4D15F35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5CE5-4F7F-9CC9-2D3CA4D15F35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5CE5-4F7F-9CC9-2D3CA4D15F35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5CE5-4F7F-9CC9-2D3CA4D15F35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5CE5-4F7F-9CC9-2D3CA4D15F35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5CE5-4F7F-9CC9-2D3CA4D15F35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5CE5-4F7F-9CC9-2D3CA4D15F35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5CE5-4F7F-9CC9-2D3CA4D15F35}"/>
              </c:ext>
            </c:extLst>
          </c:dPt>
          <c:cat>
            <c:numRef>
              <c:f>Forecasts!$A$26:$A$73</c:f>
              <c:numCache>
                <c:formatCode>m/d/yyyy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Forecasts!$C$26:$C$73</c:f>
              <c:numCache>
                <c:formatCode>_(* #,##0.00_);_(* \(#,##0.00\);_(* "-"??_);_(@_)</c:formatCode>
                <c:ptCount val="48"/>
                <c:pt idx="0">
                  <c:v>2.6183000000000001</c:v>
                </c:pt>
                <c:pt idx="1">
                  <c:v>2.8553999999999999</c:v>
                </c:pt>
                <c:pt idx="2">
                  <c:v>3.6623000000000001</c:v>
                </c:pt>
                <c:pt idx="3">
                  <c:v>3.8795000000000002</c:v>
                </c:pt>
                <c:pt idx="4">
                  <c:v>3.9176000000000002</c:v>
                </c:pt>
                <c:pt idx="5">
                  <c:v>4.3010999999999999</c:v>
                </c:pt>
                <c:pt idx="6">
                  <c:v>3.6501999999999999</c:v>
                </c:pt>
                <c:pt idx="7">
                  <c:v>3.6059999999999999</c:v>
                </c:pt>
                <c:pt idx="8">
                  <c:v>3.4216000000000002</c:v>
                </c:pt>
                <c:pt idx="9">
                  <c:v>3.9615785714285709</c:v>
                </c:pt>
                <c:pt idx="10">
                  <c:v>3.5769000000000002</c:v>
                </c:pt>
                <c:pt idx="11">
                  <c:v>2.9495</c:v>
                </c:pt>
                <c:pt idx="12">
                  <c:v>2.9518</c:v>
                </c:pt>
                <c:pt idx="13">
                  <c:v>2.8294000000000001</c:v>
                </c:pt>
                <c:pt idx="14">
                  <c:v>2.6103000000000001</c:v>
                </c:pt>
                <c:pt idx="15">
                  <c:v>2.3999000000000001</c:v>
                </c:pt>
                <c:pt idx="16">
                  <c:v>2.1654</c:v>
                </c:pt>
                <c:pt idx="17">
                  <c:v>2.2235999999999998</c:v>
                </c:pt>
                <c:pt idx="18">
                  <c:v>2.5154999999999998</c:v>
                </c:pt>
                <c:pt idx="19">
                  <c:v>3.1316000000000002</c:v>
                </c:pt>
                <c:pt idx="20">
                  <c:v>3.7347999999999999</c:v>
                </c:pt>
                <c:pt idx="21">
                  <c:v>3.2168000000000001</c:v>
                </c:pt>
                <c:pt idx="22">
                  <c:v>2.944</c:v>
                </c:pt>
                <c:pt idx="23">
                  <c:v>2.5878999999999999</c:v>
                </c:pt>
                <c:pt idx="24">
                  <c:v>2.5011000000000001</c:v>
                </c:pt>
                <c:pt idx="25">
                  <c:v>2.5948000000000002</c:v>
                </c:pt>
                <c:pt idx="26">
                  <c:v>2.6656</c:v>
                </c:pt>
                <c:pt idx="27">
                  <c:v>2.6368</c:v>
                </c:pt>
                <c:pt idx="28">
                  <c:v>2.4277000000000002</c:v>
                </c:pt>
                <c:pt idx="29">
                  <c:v>2.4277000000000002</c:v>
                </c:pt>
                <c:pt idx="30">
                  <c:v>2.3199999999999998</c:v>
                </c:pt>
                <c:pt idx="31">
                  <c:v>2.11</c:v>
                </c:pt>
                <c:pt idx="32">
                  <c:v>2.02</c:v>
                </c:pt>
                <c:pt idx="33">
                  <c:v>2.17</c:v>
                </c:pt>
                <c:pt idx="34">
                  <c:v>2.29</c:v>
                </c:pt>
                <c:pt idx="35">
                  <c:v>2.5099999999999998</c:v>
                </c:pt>
                <c:pt idx="36">
                  <c:v>2.76</c:v>
                </c:pt>
                <c:pt idx="37">
                  <c:v>2.7</c:v>
                </c:pt>
                <c:pt idx="38">
                  <c:v>2.4500000000000002</c:v>
                </c:pt>
                <c:pt idx="39">
                  <c:v>2.5731999999999999</c:v>
                </c:pt>
                <c:pt idx="40">
                  <c:v>2.5461999999999998</c:v>
                </c:pt>
                <c:pt idx="41">
                  <c:v>2.6409000000000002</c:v>
                </c:pt>
                <c:pt idx="42">
                  <c:v>2.6913</c:v>
                </c:pt>
                <c:pt idx="43">
                  <c:v>2.7498</c:v>
                </c:pt>
                <c:pt idx="44">
                  <c:v>2.6375000000000002</c:v>
                </c:pt>
                <c:pt idx="45">
                  <c:v>2.7104999999999997</c:v>
                </c:pt>
                <c:pt idx="46">
                  <c:v>2.7595000000000001</c:v>
                </c:pt>
                <c:pt idx="47">
                  <c:v>2.7111000000000001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CE5-4F7F-9CC9-2D3CA4D15F35}"/>
            </c:ext>
          </c:extLst>
        </c:ser>
        <c:ser>
          <c:idx val="0"/>
          <c:order val="1"/>
          <c:tx>
            <c:strRef>
              <c:f>Forecasts!$B$1</c:f>
              <c:strCache>
                <c:ptCount val="1"/>
                <c:pt idx="0">
                  <c:v>Biodiesel West Coast</c:v>
                </c:pt>
              </c:strCache>
            </c:strRef>
          </c:tx>
          <c:spPr>
            <a:ln w="2222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2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5CE5-4F7F-9CC9-2D3CA4D15F35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5CE5-4F7F-9CC9-2D3CA4D15F35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5CE5-4F7F-9CC9-2D3CA4D15F35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5CE5-4F7F-9CC9-2D3CA4D15F35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5CE5-4F7F-9CC9-2D3CA4D15F35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5CE5-4F7F-9CC9-2D3CA4D15F35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5CE5-4F7F-9CC9-2D3CA4D15F35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5CE5-4F7F-9CC9-2D3CA4D15F35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5CE5-4F7F-9CC9-2D3CA4D15F35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5CE5-4F7F-9CC9-2D3CA4D15F35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5CE5-4F7F-9CC9-2D3CA4D15F35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5CE5-4F7F-9CC9-2D3CA4D15F35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5CE5-4F7F-9CC9-2D3CA4D15F35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5CE5-4F7F-9CC9-2D3CA4D15F35}"/>
              </c:ext>
            </c:extLst>
          </c:dPt>
          <c:cat>
            <c:numRef>
              <c:f>Forecasts!$A$26:$A$73</c:f>
              <c:numCache>
                <c:formatCode>m/d/yyyy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Forecasts!$G$26:$G$73</c:f>
              <c:numCache>
                <c:formatCode>0.00_);[Red]\(0.00\)</c:formatCode>
                <c:ptCount val="48"/>
                <c:pt idx="0">
                  <c:v>2.2699875251370627</c:v>
                </c:pt>
                <c:pt idx="1">
                  <c:v>2.6164661636718751</c:v>
                </c:pt>
                <c:pt idx="2">
                  <c:v>3.2548560126521875</c:v>
                </c:pt>
                <c:pt idx="3">
                  <c:v>3.7298203072097502</c:v>
                </c:pt>
                <c:pt idx="4">
                  <c:v>3.7191981844797652</c:v>
                </c:pt>
                <c:pt idx="5">
                  <c:v>3.9572046083717187</c:v>
                </c:pt>
                <c:pt idx="6">
                  <c:v>3.7202026297145006</c:v>
                </c:pt>
                <c:pt idx="7">
                  <c:v>3.3245347878546876</c:v>
                </c:pt>
                <c:pt idx="8">
                  <c:v>3.3245347878546876</c:v>
                </c:pt>
                <c:pt idx="9">
                  <c:v>3.8472365381502498</c:v>
                </c:pt>
                <c:pt idx="10">
                  <c:v>3.8472365381502498</c:v>
                </c:pt>
                <c:pt idx="11">
                  <c:v>3.7106194895280624</c:v>
                </c:pt>
                <c:pt idx="12">
                  <c:v>3.5535684345340628</c:v>
                </c:pt>
                <c:pt idx="13">
                  <c:v>3.332536634955781</c:v>
                </c:pt>
                <c:pt idx="14">
                  <c:v>2.7414457314490623</c:v>
                </c:pt>
                <c:pt idx="15">
                  <c:v>2.2833527645293747</c:v>
                </c:pt>
                <c:pt idx="16">
                  <c:v>2.1804004741771879</c:v>
                </c:pt>
                <c:pt idx="17">
                  <c:v>2.197786817252422</c:v>
                </c:pt>
                <c:pt idx="18">
                  <c:v>2.1653838241446874</c:v>
                </c:pt>
                <c:pt idx="19">
                  <c:v>2.98110994324625</c:v>
                </c:pt>
                <c:pt idx="20">
                  <c:v>3.232403167131094</c:v>
                </c:pt>
                <c:pt idx="21">
                  <c:v>3.2225846168725001</c:v>
                </c:pt>
                <c:pt idx="22">
                  <c:v>2.9984840224057501</c:v>
                </c:pt>
                <c:pt idx="23">
                  <c:v>2.8554678180845312</c:v>
                </c:pt>
                <c:pt idx="24">
                  <c:v>2.7617393873552216</c:v>
                </c:pt>
                <c:pt idx="25">
                  <c:v>2.9281327310226564</c:v>
                </c:pt>
                <c:pt idx="26">
                  <c:v>2.55675304940875</c:v>
                </c:pt>
                <c:pt idx="27">
                  <c:v>2.6215420558218749</c:v>
                </c:pt>
                <c:pt idx="28">
                  <c:v>2.4313457317656249</c:v>
                </c:pt>
                <c:pt idx="29">
                  <c:v>2.3479876207913652</c:v>
                </c:pt>
                <c:pt idx="30">
                  <c:v>2.5143675800112497</c:v>
                </c:pt>
                <c:pt idx="31">
                  <c:v>2.3097106565812497</c:v>
                </c:pt>
                <c:pt idx="32">
                  <c:v>2.1314703314242185</c:v>
                </c:pt>
                <c:pt idx="33">
                  <c:v>2.2325323760174998</c:v>
                </c:pt>
                <c:pt idx="34">
                  <c:v>2.4390338017789062</c:v>
                </c:pt>
                <c:pt idx="35">
                  <c:v>2.5148179093137504</c:v>
                </c:pt>
                <c:pt idx="36">
                  <c:v>2.0072675986513135</c:v>
                </c:pt>
                <c:pt idx="37">
                  <c:v>1.7561055181408647</c:v>
                </c:pt>
                <c:pt idx="38">
                  <c:v>1.512941044456654</c:v>
                </c:pt>
                <c:pt idx="39">
                  <c:v>1.5178214361020856</c:v>
                </c:pt>
                <c:pt idx="40">
                  <c:v>1.6317828275280513</c:v>
                </c:pt>
                <c:pt idx="41">
                  <c:v>1.677433307158513</c:v>
                </c:pt>
                <c:pt idx="42">
                  <c:v>1.7608804274017595</c:v>
                </c:pt>
                <c:pt idx="43">
                  <c:v>1.8649845881891087</c:v>
                </c:pt>
                <c:pt idx="44">
                  <c:v>1.6939522431212002</c:v>
                </c:pt>
                <c:pt idx="45">
                  <c:v>1.6939522431212002</c:v>
                </c:pt>
                <c:pt idx="46">
                  <c:v>1.6939522431212002</c:v>
                </c:pt>
                <c:pt idx="47">
                  <c:v>1.6939522431212002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5CE5-4F7F-9CC9-2D3CA4D15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308912"/>
        <c:axId val="1334308192"/>
      </c:lineChart>
      <c:dateAx>
        <c:axId val="1354308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Source: Fastmarkets</a:t>
                </a:r>
              </a:p>
            </c:rich>
          </c:tx>
          <c:layout>
            <c:manualLayout>
              <c:xMode val="edge"/>
              <c:yMode val="edge"/>
              <c:x val="5.433945756780403E-3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4308192"/>
        <c:crosses val="autoZero"/>
        <c:auto val="1"/>
        <c:lblOffset val="100"/>
        <c:baseTimeUnit val="months"/>
        <c:majorUnit val="3"/>
        <c:majorTimeUnit val="months"/>
      </c:dateAx>
      <c:valAx>
        <c:axId val="133430819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/>
                  <a:t>USD/gal</a:t>
                </a:r>
              </a:p>
            </c:rich>
          </c:tx>
          <c:layout>
            <c:manualLayout>
              <c:xMode val="edge"/>
              <c:yMode val="edge"/>
              <c:x val="8.071984983822859E-3"/>
              <c:y val="0.42390969270434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54308912"/>
        <c:crosses val="autoZero"/>
        <c:crossBetween val="between"/>
      </c:valAx>
      <c:spPr>
        <a:noFill/>
        <a:ln w="12700"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.16092497812773404"/>
          <c:y val="0.6809722222222222"/>
          <c:w val="0.7975942694663167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800"/>
              <a:t>Biodiesel Forecast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2"/>
          <c:order val="1"/>
          <c:tx>
            <c:strRef>
              <c:f>AnnualForecast!$E$1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AnnualForecast!$B$2:$B$24</c15:sqref>
                  </c15:fullRef>
                </c:ext>
              </c:extLst>
              <c:f>AnnualForecast!$B$2:$B$8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AnnualForecast!$E$2:$E$24</c15:sqref>
                  </c15:fullRef>
                </c:ext>
              </c:extLst>
              <c:f>AnnualForecast!$E$2:$E$8</c:f>
              <c:numCache>
                <c:formatCode>0.00</c:formatCode>
                <c:ptCount val="7"/>
                <c:pt idx="0">
                  <c:v>463.47370000000001</c:v>
                </c:pt>
                <c:pt idx="1">
                  <c:v>614.5</c:v>
                </c:pt>
                <c:pt idx="2">
                  <c:v>546.125</c:v>
                </c:pt>
                <c:pt idx="3">
                  <c:v>434.63</c:v>
                </c:pt>
                <c:pt idx="4">
                  <c:v>402.5</c:v>
                </c:pt>
                <c:pt idx="5">
                  <c:v>440.72000000000014</c:v>
                </c:pt>
                <c:pt idx="6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F-4522-BC01-9C60EC92684D}"/>
            </c:ext>
          </c:extLst>
        </c:ser>
        <c:ser>
          <c:idx val="3"/>
          <c:order val="2"/>
          <c:tx>
            <c:strRef>
              <c:f>AnnualForecast!$F$1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AnnualForecast!$B$2:$B$24</c15:sqref>
                  </c15:fullRef>
                </c:ext>
              </c:extLst>
              <c:f>AnnualForecast!$B$2:$B$8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AnnualForecast!$F$2:$F$24</c15:sqref>
                  </c15:fullRef>
                </c:ext>
              </c:extLst>
              <c:f>AnnualForecast!$F$2:$F$8</c:f>
              <c:numCache>
                <c:formatCode>0.00</c:formatCode>
                <c:ptCount val="7"/>
                <c:pt idx="0">
                  <c:v>178.79899999999998</c:v>
                </c:pt>
                <c:pt idx="1">
                  <c:v>190.10000000000002</c:v>
                </c:pt>
                <c:pt idx="2">
                  <c:v>199.125</c:v>
                </c:pt>
                <c:pt idx="3">
                  <c:v>86.798599999999965</c:v>
                </c:pt>
                <c:pt idx="4">
                  <c:v>42.480000000000189</c:v>
                </c:pt>
                <c:pt idx="5">
                  <c:v>39.279999999999859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CF-4522-BC01-9C60EC926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419136"/>
        <c:axId val="1562599984"/>
      </c:areaChart>
      <c:lineChart>
        <c:grouping val="standard"/>
        <c:varyColors val="0"/>
        <c:ser>
          <c:idx val="0"/>
          <c:order val="0"/>
          <c:tx>
            <c:strRef>
              <c:f>AnnualForecast!$C$1</c:f>
              <c:strCache>
                <c:ptCount val="1"/>
                <c:pt idx="0">
                  <c:v>Biodiesel West Coast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CF-4522-BC01-9C60EC92684D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CF-4522-BC01-9C60EC92684D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CF-4522-BC01-9C60EC92684D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8CF-4522-BC01-9C60EC92684D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AnnualForecast!$A$2:$A$24</c15:sqref>
                  </c15:fullRef>
                </c:ext>
              </c:extLst>
              <c:f>AnnualForecast!$A$2:$A$8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2025e</c:v>
                </c:pt>
                <c:pt idx="5">
                  <c:v>2026f</c:v>
                </c:pt>
                <c:pt idx="6">
                  <c:v>2027f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AnnualForecast!$C$2:$C$24</c15:sqref>
                  </c15:fullRef>
                </c:ext>
              </c:extLst>
              <c:f>AnnualForecast!$C$2:$C$8</c:f>
              <c:numCache>
                <c:formatCode>0.00</c:formatCode>
                <c:ptCount val="7"/>
                <c:pt idx="0">
                  <c:v>587.67772500000012</c:v>
                </c:pt>
                <c:pt idx="1">
                  <c:v>752.20635158730158</c:v>
                </c:pt>
                <c:pt idx="2">
                  <c:v>621.86104999999998</c:v>
                </c:pt>
                <c:pt idx="3">
                  <c:v>468.3348416666667</c:v>
                </c:pt>
                <c:pt idx="4">
                  <c:v>429.34083333333336</c:v>
                </c:pt>
                <c:pt idx="5">
                  <c:v>464.61500000000001</c:v>
                </c:pt>
                <c:pt idx="6">
                  <c:v>496.29166666666669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AnnualForecast!$C$9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AnnualForecast!$C$10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AnnualForecast!$C$11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AnnualForecast!$C$12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AnnualForecast!$C$13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AnnualForecast!$C$14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AnnualForecast!$C$15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28CF-4522-BC01-9C60EC926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419136"/>
        <c:axId val="1562599984"/>
      </c:lineChart>
      <c:catAx>
        <c:axId val="64741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2599984"/>
        <c:crosses val="autoZero"/>
        <c:auto val="1"/>
        <c:lblAlgn val="ctr"/>
        <c:lblOffset val="0"/>
        <c:noMultiLvlLbl val="0"/>
      </c:catAx>
      <c:valAx>
        <c:axId val="1562599984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400"/>
                  <a:t>US Cents/ Gal</a:t>
                </a:r>
              </a:p>
            </c:rich>
          </c:tx>
          <c:layout>
            <c:manualLayout>
              <c:xMode val="edge"/>
              <c:yMode val="edge"/>
              <c:x val="8.7912087912087912E-3"/>
              <c:y val="0.40397949499882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47419136"/>
        <c:crosses val="autoZero"/>
        <c:crossBetween val="between"/>
      </c:valAx>
      <c:spPr>
        <a:noFill/>
        <a:ln>
          <a:solidFill>
            <a:srgbClr val="ECECEC"/>
          </a:solidFill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800"/>
              <a:t>Renewable Diesel Forecast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2"/>
          <c:order val="1"/>
          <c:tx>
            <c:strRef>
              <c:f>AnnualForecast!$I$1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AnnualForecast!$B$2:$B$24</c15:sqref>
                  </c15:fullRef>
                </c:ext>
              </c:extLst>
              <c:f>AnnualForecast!$B$2:$B$8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AnnualForecast!$I$2:$I$24</c15:sqref>
                  </c15:fullRef>
                </c:ext>
              </c:extLst>
              <c:f>AnnualForecast!$I$2:$I$8</c:f>
              <c:numCache>
                <c:formatCode>0.00</c:formatCode>
                <c:ptCount val="7"/>
                <c:pt idx="0">
                  <c:v>1.5874999999999999</c:v>
                </c:pt>
                <c:pt idx="1">
                  <c:v>2.6183000000000001</c:v>
                </c:pt>
                <c:pt idx="2">
                  <c:v>2.1654</c:v>
                </c:pt>
                <c:pt idx="3">
                  <c:v>2.02</c:v>
                </c:pt>
                <c:pt idx="4">
                  <c:v>2.4500000000000002</c:v>
                </c:pt>
                <c:pt idx="5">
                  <c:v>2.6727888000000002</c:v>
                </c:pt>
                <c:pt idx="6">
                  <c:v>2.906097307747133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9-4B01-BB40-735FE237DCDD}"/>
            </c:ext>
          </c:extLst>
        </c:ser>
        <c:ser>
          <c:idx val="3"/>
          <c:order val="2"/>
          <c:tx>
            <c:strRef>
              <c:f>AnnualForecast!$J$1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AnnualForecast!$B$2:$B$24</c15:sqref>
                  </c15:fullRef>
                </c:ext>
              </c:extLst>
              <c:f>AnnualForecast!$B$2:$B$8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AnnualForecast!$J$2:$J$24</c15:sqref>
                  </c15:fullRef>
                </c:ext>
              </c:extLst>
              <c:f>AnnualForecast!$J$2:$J$8</c:f>
              <c:numCache>
                <c:formatCode>0.00</c:formatCode>
                <c:ptCount val="7"/>
                <c:pt idx="0">
                  <c:v>0.93809999999999993</c:v>
                </c:pt>
                <c:pt idx="1">
                  <c:v>1.6827999999999999</c:v>
                </c:pt>
                <c:pt idx="2">
                  <c:v>1.5693999999999999</c:v>
                </c:pt>
                <c:pt idx="3">
                  <c:v>0.64559999999999995</c:v>
                </c:pt>
                <c:pt idx="4">
                  <c:v>0.30999999999999961</c:v>
                </c:pt>
                <c:pt idx="5">
                  <c:v>0.21024424339993342</c:v>
                </c:pt>
                <c:pt idx="6">
                  <c:v>0.15777022477995262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19-4B01-BB40-735FE237D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419136"/>
        <c:axId val="1562599984"/>
      </c:areaChart>
      <c:lineChart>
        <c:grouping val="standard"/>
        <c:varyColors val="0"/>
        <c:ser>
          <c:idx val="0"/>
          <c:order val="0"/>
          <c:tx>
            <c:strRef>
              <c:f>AnnualForecast!$G$1</c:f>
              <c:strCache>
                <c:ptCount val="1"/>
                <c:pt idx="0">
                  <c:v>Renewable Diesel California LA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A19-4B01-BB40-735FE237DCDD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A19-4B01-BB40-735FE237DCDD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A19-4B01-BB40-735FE237DCDD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A19-4B01-BB40-735FE237DCDD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AnnualForecast!$A$2:$A$24</c15:sqref>
                  </c15:fullRef>
                </c:ext>
              </c:extLst>
              <c:f>AnnualForecast!$A$2:$A$8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2025e</c:v>
                </c:pt>
                <c:pt idx="5">
                  <c:v>2026f</c:v>
                </c:pt>
                <c:pt idx="6">
                  <c:v>2027f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AnnualForecast!$G$2:$G$24</c15:sqref>
                  </c15:fullRef>
                </c:ext>
              </c:extLst>
              <c:f>AnnualForecast!$G$2:$G$8</c:f>
              <c:numCache>
                <c:formatCode>0.00</c:formatCode>
                <c:ptCount val="7"/>
                <c:pt idx="0">
                  <c:v>2.0725166666666666</c:v>
                </c:pt>
                <c:pt idx="1">
                  <c:v>3.5333315476190479</c:v>
                </c:pt>
                <c:pt idx="2">
                  <c:v>2.7759166666666668</c:v>
                </c:pt>
                <c:pt idx="3">
                  <c:v>2.3894749999999996</c:v>
                </c:pt>
                <c:pt idx="4">
                  <c:v>2.6608333333333332</c:v>
                </c:pt>
                <c:pt idx="5">
                  <c:v>2.7877007958372961</c:v>
                </c:pt>
                <c:pt idx="6">
                  <c:v>2.9872686392257752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AnnualForecast!$G$9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AnnualForecast!$G$10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AnnualForecast!$G$11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AnnualForecast!$G$12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AnnualForecast!$G$13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AnnualForecast!$G$14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AnnualForecast!$G$15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3A19-4B01-BB40-735FE237D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419136"/>
        <c:axId val="1562599984"/>
      </c:lineChart>
      <c:catAx>
        <c:axId val="64741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2599984"/>
        <c:crosses val="autoZero"/>
        <c:auto val="1"/>
        <c:lblAlgn val="ctr"/>
        <c:lblOffset val="0"/>
        <c:noMultiLvlLbl val="0"/>
      </c:catAx>
      <c:valAx>
        <c:axId val="156259998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400"/>
                  <a:t>US $/ Gal</a:t>
                </a:r>
              </a:p>
            </c:rich>
          </c:tx>
          <c:layout>
            <c:manualLayout>
              <c:xMode val="edge"/>
              <c:yMode val="edge"/>
              <c:x val="8.7933097914196911E-3"/>
              <c:y val="0.412954780776423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47419136"/>
        <c:crosses val="autoZero"/>
        <c:crossBetween val="between"/>
      </c:valAx>
      <c:spPr>
        <a:noFill/>
        <a:ln>
          <a:solidFill>
            <a:srgbClr val="ECECEC"/>
          </a:solidFill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B450F5-1DF6-488F-AC3F-D9E1B4A76988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4A8C84F-03B8-4740-95A8-B0305AE42602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509587</xdr:colOff>
      <xdr:row>0</xdr:row>
      <xdr:rowOff>76200</xdr:rowOff>
    </xdr:from>
    <xdr:to>
      <xdr:col>9</xdr:col>
      <xdr:colOff>280987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10748-076A-4BF7-B2CC-FA68A443F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</xdr:colOff>
      <xdr:row>0</xdr:row>
      <xdr:rowOff>47625</xdr:rowOff>
    </xdr:from>
    <xdr:to>
      <xdr:col>18</xdr:col>
      <xdr:colOff>309562</xdr:colOff>
      <xdr:row>17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3B9058A-D4D1-460F-AEE4-EDCD456AA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9</xdr:col>
      <xdr:colOff>304800</xdr:colOff>
      <xdr:row>35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11E842-FC07-4E30-9F71-A1D353CF3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0.91319</cdr:y>
    </cdr:from>
    <cdr:to>
      <cdr:x>0.79063</cdr:x>
      <cdr:y>0.99872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4590B15-7A63-394D-6EA0-6CB2E7C77900}"/>
            </a:ext>
          </a:extLst>
        </cdr:cNvPr>
        <cdr:cNvSpPr txBox="1"/>
      </cdr:nvSpPr>
      <cdr:spPr>
        <a:xfrm xmlns:a="http://schemas.openxmlformats.org/drawingml/2006/main">
          <a:off x="0" y="2505076"/>
          <a:ext cx="3614738" cy="2346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Source: Fastmarkets 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Fats, Fuels, and Oils</a:t>
          </a:r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 Short-Term Forecast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9D1560-77C9-CA7A-ED53-F4AD9C34E9F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0.0033</cdr:x>
      <cdr:y>0.96119</cdr:y>
    </cdr:from>
    <cdr:to>
      <cdr:x>0.29451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F002A51-672C-FEEB-C584-AC57000DFC67}"/>
            </a:ext>
          </a:extLst>
        </cdr:cNvPr>
        <cdr:cNvSpPr txBox="1"/>
      </cdr:nvSpPr>
      <cdr:spPr>
        <a:xfrm xmlns:a="http://schemas.openxmlformats.org/drawingml/2006/main">
          <a:off x="28575" y="6051703"/>
          <a:ext cx="2524125" cy="244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6E9305-D394-E56B-3716-22CFA13015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0.96119</cdr:y>
    </cdr:from>
    <cdr:to>
      <cdr:x>0.29121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4EA25C-CD09-6547-C46A-A225C4916867}"/>
            </a:ext>
          </a:extLst>
        </cdr:cNvPr>
        <cdr:cNvSpPr txBox="1"/>
      </cdr:nvSpPr>
      <cdr:spPr>
        <a:xfrm xmlns:a="http://schemas.openxmlformats.org/drawingml/2006/main">
          <a:off x="0" y="6051703"/>
          <a:ext cx="2524125" cy="244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Biodiesel%20and%20RD%20Forward%20Curve%20Forecast%20-%20HOBO%20-%20Apr%2025.xlsx" TargetMode="External"/><Relationship Id="rId1" Type="http://schemas.openxmlformats.org/officeDocument/2006/relationships/externalLinkPath" Target="/Users/torem/Dropbox/FM%20Files/HOBO/Biofuel%20Model/Biodiesel%20and%20RD%20Forward%20Curve%20Forecast%20-%20HOBO%20-%20Apr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Forecasts"/>
      <sheetName val="AnnualForecast"/>
      <sheetName val="Sheet2"/>
      <sheetName val="Chart1"/>
      <sheetName val="Chart2"/>
      <sheetName val="Historical Comp"/>
    </sheetNames>
    <sheetDataSet>
      <sheetData sheetId="0"/>
      <sheetData sheetId="1">
        <row r="1">
          <cell r="B1" t="str">
            <v>Biodiesel West Coast</v>
          </cell>
          <cell r="C1" t="str">
            <v>Renewable Diesel California LA</v>
          </cell>
        </row>
        <row r="26">
          <cell r="A26">
            <v>44562</v>
          </cell>
          <cell r="C26">
            <v>2.6183000000000001</v>
          </cell>
          <cell r="G26">
            <v>2.2699875251370627</v>
          </cell>
          <cell r="H26">
            <v>0.34831247486293737</v>
          </cell>
        </row>
        <row r="27">
          <cell r="A27">
            <v>44593</v>
          </cell>
          <cell r="C27">
            <v>2.8553999999999999</v>
          </cell>
          <cell r="G27">
            <v>2.6164661636718751</v>
          </cell>
          <cell r="H27">
            <v>0.23893383632812482</v>
          </cell>
        </row>
        <row r="28">
          <cell r="A28">
            <v>44621</v>
          </cell>
          <cell r="C28">
            <v>3.6623000000000001</v>
          </cell>
          <cell r="G28">
            <v>3.2548560126521875</v>
          </cell>
          <cell r="H28">
            <v>0.40744398734781262</v>
          </cell>
        </row>
        <row r="29">
          <cell r="A29">
            <v>44652</v>
          </cell>
          <cell r="C29">
            <v>3.8795000000000002</v>
          </cell>
          <cell r="G29">
            <v>3.7298203072097502</v>
          </cell>
          <cell r="H29">
            <v>0.14967969279024995</v>
          </cell>
        </row>
        <row r="30">
          <cell r="A30">
            <v>44682</v>
          </cell>
          <cell r="C30">
            <v>3.9176000000000002</v>
          </cell>
          <cell r="G30">
            <v>3.7191981844797652</v>
          </cell>
          <cell r="H30">
            <v>0.19840181552023495</v>
          </cell>
        </row>
        <row r="31">
          <cell r="A31">
            <v>44713</v>
          </cell>
          <cell r="C31">
            <v>4.3010999999999999</v>
          </cell>
          <cell r="G31">
            <v>3.9572046083717187</v>
          </cell>
          <cell r="H31">
            <v>0.3438953916282812</v>
          </cell>
        </row>
        <row r="32">
          <cell r="A32">
            <v>44743</v>
          </cell>
          <cell r="C32">
            <v>3.6501999999999999</v>
          </cell>
          <cell r="G32">
            <v>3.7202026297145006</v>
          </cell>
          <cell r="H32">
            <v>-7.0002629714500664E-2</v>
          </cell>
        </row>
        <row r="33">
          <cell r="A33">
            <v>44774</v>
          </cell>
          <cell r="C33">
            <v>3.6059999999999999</v>
          </cell>
          <cell r="G33">
            <v>3.3245347878546876</v>
          </cell>
          <cell r="H33">
            <v>0.28146521214531228</v>
          </cell>
        </row>
        <row r="34">
          <cell r="A34">
            <v>44805</v>
          </cell>
          <cell r="C34">
            <v>3.4216000000000002</v>
          </cell>
          <cell r="G34">
            <v>3.3245347878546876</v>
          </cell>
          <cell r="H34">
            <v>9.7065212145312607E-2</v>
          </cell>
        </row>
        <row r="35">
          <cell r="A35">
            <v>44835</v>
          </cell>
          <cell r="C35">
            <v>3.9615785714285709</v>
          </cell>
          <cell r="G35">
            <v>3.8472365381502498</v>
          </cell>
          <cell r="H35">
            <v>0.11434203327832115</v>
          </cell>
        </row>
        <row r="36">
          <cell r="A36">
            <v>44866</v>
          </cell>
          <cell r="C36">
            <v>3.5769000000000002</v>
          </cell>
          <cell r="G36">
            <v>3.8472365381502498</v>
          </cell>
          <cell r="H36">
            <v>-0.27033653815024961</v>
          </cell>
        </row>
        <row r="37">
          <cell r="A37">
            <v>44896</v>
          </cell>
          <cell r="C37">
            <v>2.9495</v>
          </cell>
          <cell r="G37">
            <v>3.7106194895280624</v>
          </cell>
          <cell r="H37">
            <v>-0.76111948952806241</v>
          </cell>
        </row>
        <row r="38">
          <cell r="A38">
            <v>44927</v>
          </cell>
          <cell r="C38">
            <v>2.9518</v>
          </cell>
          <cell r="G38">
            <v>3.5535684345340628</v>
          </cell>
          <cell r="H38">
            <v>-0.60176843453406281</v>
          </cell>
        </row>
        <row r="39">
          <cell r="A39">
            <v>44958</v>
          </cell>
          <cell r="C39">
            <v>2.8294000000000001</v>
          </cell>
          <cell r="G39">
            <v>3.332536634955781</v>
          </cell>
          <cell r="H39">
            <v>-0.50313663495578087</v>
          </cell>
        </row>
        <row r="40">
          <cell r="A40">
            <v>44986</v>
          </cell>
          <cell r="C40">
            <v>2.6103000000000001</v>
          </cell>
          <cell r="G40">
            <v>2.7414457314490623</v>
          </cell>
          <cell r="H40">
            <v>-0.13114573144906227</v>
          </cell>
        </row>
        <row r="41">
          <cell r="A41">
            <v>45017</v>
          </cell>
          <cell r="C41">
            <v>2.3999000000000001</v>
          </cell>
          <cell r="G41">
            <v>2.2833527645293747</v>
          </cell>
          <cell r="H41">
            <v>0.1165472354706254</v>
          </cell>
        </row>
        <row r="42">
          <cell r="A42">
            <v>45047</v>
          </cell>
          <cell r="C42">
            <v>2.1654</v>
          </cell>
          <cell r="G42">
            <v>2.1804004741771879</v>
          </cell>
          <cell r="H42">
            <v>-1.5000474177187861E-2</v>
          </cell>
        </row>
        <row r="43">
          <cell r="A43">
            <v>45078</v>
          </cell>
          <cell r="C43">
            <v>2.2235999999999998</v>
          </cell>
          <cell r="G43">
            <v>2.197786817252422</v>
          </cell>
          <cell r="H43">
            <v>2.5813182747577823E-2</v>
          </cell>
        </row>
        <row r="44">
          <cell r="A44">
            <v>45108</v>
          </cell>
          <cell r="C44">
            <v>2.5154999999999998</v>
          </cell>
          <cell r="G44">
            <v>2.1653838241446874</v>
          </cell>
          <cell r="H44">
            <v>0.35011617585531241</v>
          </cell>
        </row>
        <row r="45">
          <cell r="A45">
            <v>45139</v>
          </cell>
          <cell r="C45">
            <v>3.1316000000000002</v>
          </cell>
          <cell r="G45">
            <v>2.98110994324625</v>
          </cell>
          <cell r="H45">
            <v>0.15049005675375016</v>
          </cell>
        </row>
        <row r="46">
          <cell r="A46">
            <v>45170</v>
          </cell>
          <cell r="C46">
            <v>3.7347999999999999</v>
          </cell>
          <cell r="G46">
            <v>3.232403167131094</v>
          </cell>
          <cell r="H46">
            <v>0.50239683286890591</v>
          </cell>
        </row>
        <row r="47">
          <cell r="A47">
            <v>45200</v>
          </cell>
          <cell r="C47">
            <v>3.2168000000000001</v>
          </cell>
          <cell r="G47">
            <v>3.2225846168725001</v>
          </cell>
          <cell r="H47">
            <v>-5.7846168724999814E-3</v>
          </cell>
        </row>
        <row r="48">
          <cell r="A48">
            <v>45231</v>
          </cell>
          <cell r="C48">
            <v>2.944</v>
          </cell>
          <cell r="G48">
            <v>2.9984840224057501</v>
          </cell>
          <cell r="H48">
            <v>-5.4484022405750121E-2</v>
          </cell>
        </row>
        <row r="49">
          <cell r="A49">
            <v>45261</v>
          </cell>
          <cell r="C49">
            <v>2.5878999999999999</v>
          </cell>
          <cell r="G49">
            <v>2.8554678180845312</v>
          </cell>
          <cell r="H49">
            <v>-0.26756781808453134</v>
          </cell>
        </row>
        <row r="50">
          <cell r="A50">
            <v>45292</v>
          </cell>
          <cell r="C50">
            <v>2.5011000000000001</v>
          </cell>
          <cell r="G50">
            <v>2.7617393873552216</v>
          </cell>
          <cell r="H50">
            <v>-0.26063938735522152</v>
          </cell>
        </row>
        <row r="51">
          <cell r="A51">
            <v>45323</v>
          </cell>
          <cell r="C51">
            <v>2.5948000000000002</v>
          </cell>
          <cell r="G51">
            <v>2.9281327310226564</v>
          </cell>
          <cell r="H51">
            <v>-0.33333273102265615</v>
          </cell>
        </row>
        <row r="52">
          <cell r="A52">
            <v>45352</v>
          </cell>
          <cell r="C52">
            <v>2.6656</v>
          </cell>
          <cell r="G52">
            <v>2.55675304940875</v>
          </cell>
          <cell r="H52">
            <v>0.10884695059124994</v>
          </cell>
        </row>
        <row r="53">
          <cell r="A53">
            <v>45383</v>
          </cell>
          <cell r="C53">
            <v>2.6368</v>
          </cell>
          <cell r="G53">
            <v>2.6215420558218749</v>
          </cell>
          <cell r="H53">
            <v>1.5257944178125094E-2</v>
          </cell>
        </row>
        <row r="54">
          <cell r="A54">
            <v>45413</v>
          </cell>
          <cell r="C54">
            <v>2.4277000000000002</v>
          </cell>
          <cell r="G54">
            <v>2.4313457317656249</v>
          </cell>
          <cell r="H54">
            <v>-3.6457317656246602E-3</v>
          </cell>
        </row>
        <row r="55">
          <cell r="A55">
            <v>45444</v>
          </cell>
          <cell r="C55">
            <v>2.4277000000000002</v>
          </cell>
          <cell r="G55">
            <v>2.3479876207913652</v>
          </cell>
          <cell r="H55">
            <v>7.9712379208634943E-2</v>
          </cell>
        </row>
        <row r="56">
          <cell r="A56">
            <v>45474</v>
          </cell>
          <cell r="C56">
            <v>2.3199999999999998</v>
          </cell>
          <cell r="G56">
            <v>2.5143675800112497</v>
          </cell>
          <cell r="H56">
            <v>-0.19436758001124987</v>
          </cell>
        </row>
        <row r="57">
          <cell r="A57">
            <v>45505</v>
          </cell>
          <cell r="C57">
            <v>2.11</v>
          </cell>
          <cell r="G57">
            <v>2.3097106565812497</v>
          </cell>
          <cell r="H57">
            <v>-0.19971065658124987</v>
          </cell>
        </row>
        <row r="58">
          <cell r="A58">
            <v>45536</v>
          </cell>
          <cell r="C58">
            <v>2.02</v>
          </cell>
          <cell r="G58">
            <v>2.1314703314242185</v>
          </cell>
          <cell r="H58">
            <v>-0.11147033142421847</v>
          </cell>
        </row>
        <row r="59">
          <cell r="A59">
            <v>45566</v>
          </cell>
          <cell r="C59">
            <v>2.17</v>
          </cell>
          <cell r="G59">
            <v>2.2325323760174998</v>
          </cell>
          <cell r="H59">
            <v>-6.2532376017499836E-2</v>
          </cell>
        </row>
        <row r="60">
          <cell r="A60">
            <v>45597</v>
          </cell>
          <cell r="C60">
            <v>2.29</v>
          </cell>
          <cell r="G60">
            <v>2.4390338017789062</v>
          </cell>
          <cell r="H60">
            <v>-0.14903380177890613</v>
          </cell>
        </row>
        <row r="61">
          <cell r="A61">
            <v>45627</v>
          </cell>
          <cell r="C61">
            <v>2.5099999999999998</v>
          </cell>
          <cell r="G61">
            <v>2.5148179093137504</v>
          </cell>
          <cell r="H61">
            <v>-4.8179093137505902E-3</v>
          </cell>
        </row>
        <row r="62">
          <cell r="A62">
            <v>45658</v>
          </cell>
          <cell r="C62">
            <v>2.76</v>
          </cell>
          <cell r="G62">
            <v>2.0072675986513135</v>
          </cell>
          <cell r="H62">
            <v>0.75273240134868624</v>
          </cell>
        </row>
        <row r="63">
          <cell r="A63">
            <v>45689</v>
          </cell>
          <cell r="C63">
            <v>2.7</v>
          </cell>
          <cell r="G63">
            <v>1.7561055181408647</v>
          </cell>
        </row>
        <row r="64">
          <cell r="A64">
            <v>45717</v>
          </cell>
          <cell r="C64">
            <v>2.4500000000000002</v>
          </cell>
          <cell r="G64">
            <v>1.512941044456654</v>
          </cell>
        </row>
        <row r="65">
          <cell r="A65">
            <v>45748</v>
          </cell>
          <cell r="C65">
            <v>2.5731999999999999</v>
          </cell>
          <cell r="G65">
            <v>1.5178214361020856</v>
          </cell>
        </row>
        <row r="66">
          <cell r="A66">
            <v>45778</v>
          </cell>
          <cell r="C66">
            <v>2.5461999999999998</v>
          </cell>
          <cell r="G66">
            <v>1.6317828275280513</v>
          </cell>
        </row>
        <row r="67">
          <cell r="A67">
            <v>45809</v>
          </cell>
          <cell r="C67">
            <v>2.6409000000000002</v>
          </cell>
          <cell r="G67">
            <v>1.677433307158513</v>
          </cell>
        </row>
        <row r="68">
          <cell r="A68">
            <v>45839</v>
          </cell>
          <cell r="C68">
            <v>2.6913</v>
          </cell>
          <cell r="G68">
            <v>1.7608804274017595</v>
          </cell>
        </row>
        <row r="69">
          <cell r="A69">
            <v>45870</v>
          </cell>
          <cell r="C69">
            <v>2.7498</v>
          </cell>
          <cell r="G69">
            <v>1.8649845881891087</v>
          </cell>
        </row>
        <row r="70">
          <cell r="A70">
            <v>45901</v>
          </cell>
          <cell r="C70">
            <v>2.6375000000000002</v>
          </cell>
          <cell r="G70">
            <v>1.6939522431212002</v>
          </cell>
        </row>
        <row r="71">
          <cell r="A71">
            <v>45931</v>
          </cell>
          <cell r="C71">
            <v>2.7104999999999997</v>
          </cell>
          <cell r="G71">
            <v>1.6939522431212002</v>
          </cell>
        </row>
        <row r="72">
          <cell r="A72">
            <v>45962</v>
          </cell>
          <cell r="C72">
            <v>2.7595000000000001</v>
          </cell>
          <cell r="G72">
            <v>1.6939522431212002</v>
          </cell>
        </row>
        <row r="73">
          <cell r="A73">
            <v>45992</v>
          </cell>
          <cell r="C73">
            <v>2.7111000000000001</v>
          </cell>
          <cell r="G73">
            <v>1.6939522431212002</v>
          </cell>
        </row>
      </sheetData>
      <sheetData sheetId="2">
        <row r="1">
          <cell r="C1" t="str">
            <v>Biodiesel West Coast</v>
          </cell>
          <cell r="E1" t="str">
            <v>Min</v>
          </cell>
          <cell r="F1" t="str">
            <v>Range</v>
          </cell>
          <cell r="G1" t="str">
            <v>Renewable Diesel California LA</v>
          </cell>
          <cell r="I1" t="str">
            <v>Min</v>
          </cell>
          <cell r="J1" t="str">
            <v>Range</v>
          </cell>
        </row>
        <row r="2">
          <cell r="A2">
            <v>2021</v>
          </cell>
          <cell r="B2">
            <v>2021</v>
          </cell>
          <cell r="C2">
            <v>587.67772500000012</v>
          </cell>
          <cell r="E2">
            <v>463.47370000000001</v>
          </cell>
          <cell r="F2">
            <v>178.79899999999998</v>
          </cell>
          <cell r="G2">
            <v>2.0725166666666666</v>
          </cell>
          <cell r="I2">
            <v>1.5874999999999999</v>
          </cell>
          <cell r="J2">
            <v>0.93809999999999993</v>
          </cell>
        </row>
        <row r="3">
          <cell r="A3">
            <v>2022</v>
          </cell>
          <cell r="B3">
            <v>2022</v>
          </cell>
          <cell r="C3">
            <v>752.20635158730158</v>
          </cell>
          <cell r="E3">
            <v>614.5</v>
          </cell>
          <cell r="F3">
            <v>190.10000000000002</v>
          </cell>
          <cell r="G3">
            <v>3.5333315476190479</v>
          </cell>
          <cell r="I3">
            <v>2.6183000000000001</v>
          </cell>
          <cell r="J3">
            <v>1.6827999999999999</v>
          </cell>
        </row>
        <row r="4">
          <cell r="A4">
            <v>2023</v>
          </cell>
          <cell r="B4">
            <v>2023</v>
          </cell>
          <cell r="C4">
            <v>621.86104999999998</v>
          </cell>
          <cell r="E4">
            <v>546.125</v>
          </cell>
          <cell r="F4">
            <v>199.125</v>
          </cell>
          <cell r="G4">
            <v>2.7759166666666668</v>
          </cell>
          <cell r="I4">
            <v>2.1654</v>
          </cell>
          <cell r="J4">
            <v>1.5693999999999999</v>
          </cell>
        </row>
        <row r="5">
          <cell r="A5">
            <v>2024</v>
          </cell>
          <cell r="B5">
            <v>2024</v>
          </cell>
          <cell r="C5">
            <v>468.3348416666667</v>
          </cell>
          <cell r="E5">
            <v>434.63</v>
          </cell>
          <cell r="F5">
            <v>86.798599999999965</v>
          </cell>
          <cell r="G5">
            <v>2.3894749999999996</v>
          </cell>
          <cell r="I5">
            <v>2.02</v>
          </cell>
          <cell r="J5">
            <v>0.64559999999999995</v>
          </cell>
        </row>
        <row r="6">
          <cell r="A6" t="str">
            <v>2025e</v>
          </cell>
          <cell r="B6">
            <v>2025</v>
          </cell>
          <cell r="C6">
            <v>429.34083333333336</v>
          </cell>
          <cell r="E6">
            <v>402.5</v>
          </cell>
          <cell r="F6">
            <v>42.480000000000189</v>
          </cell>
          <cell r="G6">
            <v>2.6608333333333332</v>
          </cell>
          <cell r="I6">
            <v>2.4500000000000002</v>
          </cell>
          <cell r="J6">
            <v>0.30999999999999961</v>
          </cell>
        </row>
        <row r="7">
          <cell r="A7" t="str">
            <v>2026f</v>
          </cell>
          <cell r="B7">
            <v>2026</v>
          </cell>
          <cell r="C7">
            <v>464.61500000000001</v>
          </cell>
          <cell r="E7">
            <v>440.72000000000014</v>
          </cell>
          <cell r="F7">
            <v>39.279999999999859</v>
          </cell>
          <cell r="G7">
            <v>2.7877007958372961</v>
          </cell>
          <cell r="I7">
            <v>2.6727888000000002</v>
          </cell>
          <cell r="J7">
            <v>0.21024424339993342</v>
          </cell>
        </row>
        <row r="8">
          <cell r="A8" t="str">
            <v>2027f</v>
          </cell>
          <cell r="B8">
            <v>2027</v>
          </cell>
          <cell r="C8">
            <v>496.29166666666669</v>
          </cell>
          <cell r="E8">
            <v>485</v>
          </cell>
          <cell r="F8">
            <v>20</v>
          </cell>
          <cell r="G8">
            <v>2.9872686392257752</v>
          </cell>
          <cell r="I8">
            <v>2.906097307747133</v>
          </cell>
          <cell r="J8">
            <v>0.15777022477995262</v>
          </cell>
        </row>
        <row r="9">
          <cell r="A9">
            <v>2028</v>
          </cell>
          <cell r="B9">
            <v>2028</v>
          </cell>
          <cell r="C9">
            <v>516.45833333333337</v>
          </cell>
          <cell r="E9">
            <v>467.5</v>
          </cell>
          <cell r="F9">
            <v>115</v>
          </cell>
          <cell r="G9">
            <v>3.09552775352766</v>
          </cell>
          <cell r="I9">
            <v>2.9193456253507351</v>
          </cell>
          <cell r="J9">
            <v>0.83047386810170121</v>
          </cell>
        </row>
        <row r="10">
          <cell r="A10">
            <v>2029</v>
          </cell>
          <cell r="B10">
            <v>2029</v>
          </cell>
          <cell r="C10">
            <v>606.04166666666663</v>
          </cell>
          <cell r="E10">
            <v>570</v>
          </cell>
          <cell r="F10">
            <v>65</v>
          </cell>
          <cell r="G10">
            <v>3.713748412591491</v>
          </cell>
          <cell r="I10">
            <v>3.5391688176891138</v>
          </cell>
          <cell r="J10">
            <v>0.38509481251649635</v>
          </cell>
        </row>
        <row r="11">
          <cell r="A11">
            <v>2030</v>
          </cell>
          <cell r="B11">
            <v>2030</v>
          </cell>
          <cell r="C11">
            <v>621.25</v>
          </cell>
          <cell r="E11">
            <v>587.5</v>
          </cell>
          <cell r="F11">
            <v>50</v>
          </cell>
          <cell r="G11">
            <v>4.0075167955922657</v>
          </cell>
          <cell r="I11">
            <v>3.8596664380077281</v>
          </cell>
          <cell r="J11">
            <v>0.30558914428082362</v>
          </cell>
        </row>
        <row r="12">
          <cell r="A12">
            <v>2031</v>
          </cell>
          <cell r="B12">
            <v>2031</v>
          </cell>
          <cell r="C12">
            <v>610.41666666666663</v>
          </cell>
          <cell r="E12">
            <v>592.5</v>
          </cell>
          <cell r="F12">
            <v>45</v>
          </cell>
          <cell r="G12">
            <v>4.2158113933062866</v>
          </cell>
          <cell r="I12">
            <v>4.0297838415276761</v>
          </cell>
          <cell r="J12">
            <v>0.50565712189596379</v>
          </cell>
        </row>
        <row r="13">
          <cell r="A13">
            <v>2032</v>
          </cell>
          <cell r="B13">
            <v>2032</v>
          </cell>
          <cell r="C13">
            <v>586.875</v>
          </cell>
          <cell r="E13">
            <v>552.5</v>
          </cell>
          <cell r="F13">
            <v>70</v>
          </cell>
          <cell r="G13">
            <v>4.1215088379181095</v>
          </cell>
          <cell r="I13">
            <v>3.6343953639494733</v>
          </cell>
          <cell r="J13">
            <v>1.1320005530641413</v>
          </cell>
        </row>
        <row r="14">
          <cell r="A14">
            <v>2033</v>
          </cell>
          <cell r="B14">
            <v>2033</v>
          </cell>
          <cell r="C14">
            <v>557.54166666666663</v>
          </cell>
          <cell r="E14">
            <v>510</v>
          </cell>
          <cell r="F14">
            <v>65</v>
          </cell>
          <cell r="G14">
            <v>3.4909731185903561</v>
          </cell>
          <cell r="I14">
            <v>3.214051182037549</v>
          </cell>
          <cell r="J14">
            <v>0.93556626677500621</v>
          </cell>
        </row>
        <row r="15">
          <cell r="A15">
            <v>2034</v>
          </cell>
          <cell r="B15">
            <v>2034</v>
          </cell>
          <cell r="C15">
            <v>492.08333333333331</v>
          </cell>
          <cell r="E15">
            <v>467.5</v>
          </cell>
          <cell r="F15">
            <v>77.5</v>
          </cell>
          <cell r="G15">
            <v>3.311985608380732</v>
          </cell>
          <cell r="I15">
            <v>3.1658404143069858</v>
          </cell>
          <cell r="J15">
            <v>0.39724953377983718</v>
          </cell>
        </row>
        <row r="16">
          <cell r="A16">
            <v>2035</v>
          </cell>
          <cell r="B16">
            <v>2035</v>
          </cell>
          <cell r="C16">
            <v>487.08333333333331</v>
          </cell>
          <cell r="E16">
            <v>390</v>
          </cell>
          <cell r="F16">
            <v>162.5</v>
          </cell>
          <cell r="G16">
            <v>3.6866813435183468</v>
          </cell>
          <cell r="I16">
            <v>3.5536229716032923</v>
          </cell>
          <cell r="J16">
            <v>0.20963026111695671</v>
          </cell>
        </row>
        <row r="17">
          <cell r="A17">
            <v>2036</v>
          </cell>
          <cell r="B17">
            <v>2036</v>
          </cell>
          <cell r="C17">
            <v>312.91666666666669</v>
          </cell>
          <cell r="E17">
            <v>227.5</v>
          </cell>
          <cell r="F17">
            <v>155</v>
          </cell>
          <cell r="G17">
            <v>3.7422269622678583</v>
          </cell>
          <cell r="I17">
            <v>3.6175881850921514</v>
          </cell>
          <cell r="J17">
            <v>0.21104690388559888</v>
          </cell>
        </row>
        <row r="18">
          <cell r="A18">
            <v>2037</v>
          </cell>
          <cell r="B18">
            <v>2037</v>
          </cell>
          <cell r="C18">
            <v>134.16666666666666</v>
          </cell>
          <cell r="E18">
            <v>62.5</v>
          </cell>
          <cell r="F18">
            <v>147.5</v>
          </cell>
          <cell r="G18">
            <v>3.7707522611160194</v>
          </cell>
          <cell r="I18">
            <v>3.6043634580939421</v>
          </cell>
          <cell r="J18">
            <v>0.45227538849722349</v>
          </cell>
        </row>
        <row r="19">
          <cell r="B19">
            <v>2038</v>
          </cell>
          <cell r="C19" t="e">
            <v>#NUM!</v>
          </cell>
          <cell r="E19" t="e">
            <v>#NUM!</v>
          </cell>
          <cell r="F19" t="e">
            <v>#NUM!</v>
          </cell>
          <cell r="G19">
            <v>4.197349764114068</v>
          </cell>
          <cell r="I19">
            <v>4.0458605319478673</v>
          </cell>
          <cell r="J19">
            <v>0.23866763765666565</v>
          </cell>
        </row>
        <row r="20">
          <cell r="B20">
            <v>2039</v>
          </cell>
          <cell r="C20" t="e">
            <v>#NUM!</v>
          </cell>
          <cell r="E20" t="e">
            <v>#NUM!</v>
          </cell>
          <cell r="F20" t="e">
            <v>#NUM!</v>
          </cell>
          <cell r="G20">
            <v>4.260589401075296</v>
          </cell>
          <cell r="I20">
            <v>4.1186860215229286</v>
          </cell>
          <cell r="J20">
            <v>0.24028050967807157</v>
          </cell>
        </row>
        <row r="21">
          <cell r="B21">
            <v>2040</v>
          </cell>
          <cell r="C21" t="e">
            <v>#NUM!</v>
          </cell>
          <cell r="E21" t="e">
            <v>#NUM!</v>
          </cell>
          <cell r="F21" t="e">
            <v>#NUM!</v>
          </cell>
          <cell r="G21">
            <v>4.2930659416914576</v>
          </cell>
          <cell r="I21">
            <v>4.1036294436486305</v>
          </cell>
          <cell r="J21">
            <v>0.5149232652181821</v>
          </cell>
        </row>
        <row r="22">
          <cell r="B22">
            <v>2041</v>
          </cell>
          <cell r="C22" t="e">
            <v>#NUM!</v>
          </cell>
          <cell r="E22" t="e">
            <v>#NUM!</v>
          </cell>
          <cell r="F22" t="e">
            <v>#NUM!</v>
          </cell>
          <cell r="G22">
            <v>4.7787544950915439</v>
          </cell>
          <cell r="I22">
            <v>4.6062814133003727</v>
          </cell>
          <cell r="J22">
            <v>0.27172718748288549</v>
          </cell>
        </row>
        <row r="23">
          <cell r="B23">
            <v>2042</v>
          </cell>
          <cell r="C23" t="e">
            <v>#NUM!</v>
          </cell>
          <cell r="E23" t="e">
            <v>#NUM!</v>
          </cell>
          <cell r="F23" t="e">
            <v>#NUM!</v>
          </cell>
          <cell r="G23">
            <v>4.8507539033801246</v>
          </cell>
          <cell r="I23">
            <v>4.689194478739779</v>
          </cell>
          <cell r="J23">
            <v>0.27356346986473401</v>
          </cell>
        </row>
        <row r="24">
          <cell r="B24">
            <v>2043</v>
          </cell>
          <cell r="C24" t="e">
            <v>#NUM!</v>
          </cell>
          <cell r="E24" t="e">
            <v>#NUM!</v>
          </cell>
          <cell r="F24" t="e">
            <v>#NUM!</v>
          </cell>
          <cell r="G24">
            <v>4.8877290003285339</v>
          </cell>
          <cell r="I24">
            <v>4.672052307312307</v>
          </cell>
          <cell r="J24">
            <v>0.58624894435214525</v>
          </cell>
        </row>
      </sheetData>
      <sheetData sheetId="3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E26B-24A1-4640-8379-BA06CFE4965B}">
  <dimension ref="A1"/>
  <sheetViews>
    <sheetView tabSelected="1" topLeftCell="B1" zoomScaleNormal="100" workbookViewId="0">
      <selection activeCell="C58" sqref="C58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5EE0-D6A0-4770-8847-3592032F3729}">
  <dimension ref="A1:W290"/>
  <sheetViews>
    <sheetView zoomScale="120" zoomScaleNormal="120" workbookViewId="0">
      <pane xSplit="1" ySplit="1" topLeftCell="B53" activePane="bottomRight" state="frozen"/>
      <selection activeCell="C58" sqref="C58"/>
      <selection pane="topRight" activeCell="C58" sqref="C58"/>
      <selection pane="bottomLeft" activeCell="C58" sqref="C58"/>
      <selection pane="bottomRight" activeCell="C58" sqref="C58"/>
    </sheetView>
  </sheetViews>
  <sheetFormatPr defaultColWidth="9" defaultRowHeight="13.5" x14ac:dyDescent="0.25"/>
  <cols>
    <col min="1" max="1" width="11.33203125" style="1" customWidth="1"/>
    <col min="2" max="2" width="18" style="1" bestFit="1" customWidth="1"/>
    <col min="3" max="3" width="12.5" style="1" customWidth="1"/>
    <col min="4" max="4" width="11.33203125" style="1" bestFit="1" customWidth="1"/>
    <col min="5" max="5" width="9.83203125" style="1" bestFit="1" customWidth="1"/>
    <col min="6" max="6" width="10.83203125" style="1" customWidth="1"/>
    <col min="7" max="8" width="9.6640625" style="8" bestFit="1" customWidth="1"/>
    <col min="9" max="9" width="9.83203125" style="1" bestFit="1" customWidth="1"/>
    <col min="10" max="10" width="9.33203125" style="1" bestFit="1" customWidth="1"/>
    <col min="11" max="11" width="12.5" style="1" customWidth="1"/>
    <col min="12" max="12" width="11.33203125" style="1" customWidth="1"/>
    <col min="13" max="13" width="11.6640625" style="1" bestFit="1" customWidth="1"/>
    <col min="14" max="14" width="9.33203125" style="1" bestFit="1" customWidth="1"/>
    <col min="15" max="15" width="9.83203125" style="1" bestFit="1" customWidth="1"/>
    <col min="16" max="16" width="9.33203125" style="1" bestFit="1" customWidth="1"/>
    <col min="17" max="17" width="11.6640625" style="1" customWidth="1"/>
    <col min="18" max="18" width="9.83203125" style="1" customWidth="1"/>
    <col min="19" max="20" width="9.33203125" style="1" bestFit="1" customWidth="1"/>
    <col min="21" max="21" width="9" style="1"/>
    <col min="22" max="23" width="10.83203125" style="1" bestFit="1" customWidth="1"/>
    <col min="24" max="16384" width="9" style="1"/>
  </cols>
  <sheetData>
    <row r="1" spans="1:20" ht="54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J1" s="1" t="s">
        <v>7</v>
      </c>
      <c r="K1" s="1" t="s">
        <v>8</v>
      </c>
      <c r="L1" s="4" t="s">
        <v>9</v>
      </c>
      <c r="M1" s="4" t="s">
        <v>10</v>
      </c>
      <c r="P1" s="1" t="s">
        <v>11</v>
      </c>
    </row>
    <row r="2" spans="1:20" x14ac:dyDescent="0.25">
      <c r="A2" s="5">
        <v>43831</v>
      </c>
      <c r="B2" s="6">
        <v>3.4350000000000001</v>
      </c>
      <c r="C2" s="6">
        <v>1.8632</v>
      </c>
      <c r="D2" s="7">
        <v>33.150952380952383</v>
      </c>
      <c r="E2" s="7">
        <v>45.197368421052637</v>
      </c>
      <c r="F2" s="7">
        <v>12.046416040100254</v>
      </c>
      <c r="G2" s="8">
        <v>0.58384202922734396</v>
      </c>
      <c r="H2" s="8">
        <v>1.2793579707726561</v>
      </c>
      <c r="I2" s="1">
        <v>-0.63500000000000001</v>
      </c>
      <c r="J2" s="1" t="s">
        <v>12</v>
      </c>
      <c r="K2" s="1">
        <v>2020</v>
      </c>
      <c r="O2" s="7"/>
    </row>
    <row r="3" spans="1:20" x14ac:dyDescent="0.25">
      <c r="A3" s="5">
        <v>43862</v>
      </c>
      <c r="B3" s="6">
        <v>3.3096999999999999</v>
      </c>
      <c r="C3" s="6">
        <v>1.6326000000000001</v>
      </c>
      <c r="D3" s="7">
        <v>30.36684210526316</v>
      </c>
      <c r="E3" s="7">
        <v>43.548684210526318</v>
      </c>
      <c r="F3" s="7">
        <v>13.181842105263158</v>
      </c>
      <c r="G3" s="8">
        <v>0.37382052635725016</v>
      </c>
      <c r="H3" s="8">
        <v>1.25877947364275</v>
      </c>
      <c r="I3" s="1">
        <v>2.765000000000001</v>
      </c>
      <c r="J3" s="1" t="s">
        <v>13</v>
      </c>
      <c r="K3" s="1">
        <v>2020</v>
      </c>
      <c r="O3" s="7"/>
    </row>
    <row r="4" spans="1:20" x14ac:dyDescent="0.25">
      <c r="A4" s="5">
        <v>43891</v>
      </c>
      <c r="B4" s="6">
        <v>3.3431999999999999</v>
      </c>
      <c r="C4" s="6">
        <v>1.1818</v>
      </c>
      <c r="D4" s="7">
        <v>27.017727272727271</v>
      </c>
      <c r="E4" s="7">
        <v>43.98947368421053</v>
      </c>
      <c r="F4" s="7">
        <v>16.971746411483259</v>
      </c>
      <c r="G4" s="8">
        <v>0.45743632442406268</v>
      </c>
      <c r="H4" s="8">
        <v>0.72436367557593728</v>
      </c>
      <c r="I4" s="1">
        <v>0.15</v>
      </c>
      <c r="J4" s="1" t="s">
        <v>14</v>
      </c>
      <c r="K4" s="1">
        <v>2020</v>
      </c>
      <c r="O4" s="7"/>
      <c r="Q4" s="5">
        <v>45413</v>
      </c>
      <c r="R4" s="9" t="e">
        <v>#VALUE!</v>
      </c>
      <c r="S4" s="9" t="e">
        <v>#VALUE!</v>
      </c>
      <c r="T4" s="10">
        <v>-3.6457317656246602E-3</v>
      </c>
    </row>
    <row r="5" spans="1:20" x14ac:dyDescent="0.25">
      <c r="A5" s="5">
        <v>43922</v>
      </c>
      <c r="B5" s="6">
        <v>3.395</v>
      </c>
      <c r="C5" s="6">
        <v>0.87690000000000001</v>
      </c>
      <c r="D5" s="7">
        <v>26.439047619047621</v>
      </c>
      <c r="E5" s="7">
        <v>44.671052631578952</v>
      </c>
      <c r="F5" s="7">
        <v>18.232005012531332</v>
      </c>
      <c r="G5" s="8">
        <v>0.47833293067984406</v>
      </c>
      <c r="H5" s="8">
        <v>0.39856706932015595</v>
      </c>
      <c r="K5" s="1">
        <v>2020</v>
      </c>
      <c r="O5" s="7"/>
      <c r="Q5" s="5">
        <v>45444</v>
      </c>
      <c r="R5" s="9" t="e">
        <v>#VALUE!</v>
      </c>
      <c r="S5" s="9" t="e">
        <v>#VALUE!</v>
      </c>
      <c r="T5" s="10">
        <v>7.9712379208634943E-2</v>
      </c>
    </row>
    <row r="6" spans="1:20" x14ac:dyDescent="0.25">
      <c r="A6" s="5">
        <v>43952</v>
      </c>
      <c r="B6" s="6">
        <v>3.39</v>
      </c>
      <c r="C6" s="6">
        <v>0.92020000000000002</v>
      </c>
      <c r="D6" s="7">
        <v>26.708999999999996</v>
      </c>
      <c r="E6" s="7">
        <v>44.60526315789474</v>
      </c>
      <c r="F6" s="7">
        <v>17.896263157894744</v>
      </c>
      <c r="G6" s="8">
        <v>0.37915358278987521</v>
      </c>
      <c r="H6" s="8">
        <v>0.54104641721012481</v>
      </c>
      <c r="J6" s="11"/>
      <c r="K6" s="1">
        <v>2020</v>
      </c>
      <c r="L6" s="11"/>
      <c r="M6" s="11"/>
      <c r="N6" s="11"/>
      <c r="O6" s="7"/>
      <c r="Q6" s="5">
        <v>45474</v>
      </c>
      <c r="R6" s="9" t="e">
        <v>#VALUE!</v>
      </c>
      <c r="S6" s="9" t="e">
        <v>#VALUE!</v>
      </c>
      <c r="T6" s="10">
        <v>-0.19436758001124987</v>
      </c>
    </row>
    <row r="7" spans="1:20" x14ac:dyDescent="0.25">
      <c r="A7" s="5">
        <v>43983</v>
      </c>
      <c r="B7" s="6">
        <v>3.5049999999999999</v>
      </c>
      <c r="C7" s="6">
        <v>1.1539999999999999</v>
      </c>
      <c r="D7" s="7">
        <v>27.929090909090913</v>
      </c>
      <c r="E7" s="7">
        <v>46.118421052631582</v>
      </c>
      <c r="F7" s="7">
        <v>18.189330143540669</v>
      </c>
      <c r="G7" s="8">
        <v>0.43185317597242201</v>
      </c>
      <c r="H7" s="8">
        <v>0.7221468240275779</v>
      </c>
      <c r="J7" s="12"/>
      <c r="K7" s="1">
        <v>2020</v>
      </c>
      <c r="L7" s="12"/>
      <c r="M7" s="12"/>
      <c r="N7" s="13"/>
      <c r="O7" s="7"/>
      <c r="Q7" s="5">
        <v>45505</v>
      </c>
      <c r="R7" s="9" t="e">
        <v>#VALUE!</v>
      </c>
      <c r="S7" s="9" t="e">
        <v>#VALUE!</v>
      </c>
      <c r="T7" s="10">
        <v>-0.19971065658124987</v>
      </c>
    </row>
    <row r="8" spans="1:20" x14ac:dyDescent="0.25">
      <c r="A8" s="5">
        <v>44013</v>
      </c>
      <c r="B8" s="6">
        <v>3.5668000000000002</v>
      </c>
      <c r="C8" s="6">
        <v>1.2476</v>
      </c>
      <c r="D8" s="7">
        <v>29.708695652173905</v>
      </c>
      <c r="E8" s="7">
        <v>46.931578947368422</v>
      </c>
      <c r="F8" s="7">
        <v>17.222883295194517</v>
      </c>
      <c r="G8" s="8">
        <v>0.51716392611812534</v>
      </c>
      <c r="H8" s="8">
        <v>0.7304360738818747</v>
      </c>
      <c r="J8" s="11"/>
      <c r="K8" s="1">
        <v>2020</v>
      </c>
      <c r="L8" s="11"/>
      <c r="M8" s="11"/>
      <c r="N8" s="11"/>
      <c r="O8" s="7"/>
      <c r="Q8" s="5">
        <v>45536</v>
      </c>
      <c r="R8" s="9" t="e">
        <v>#VALUE!</v>
      </c>
      <c r="S8" s="9" t="e">
        <v>#VALUE!</v>
      </c>
      <c r="T8" s="10">
        <v>-0.11147033142421847</v>
      </c>
    </row>
    <row r="9" spans="1:20" x14ac:dyDescent="0.25">
      <c r="A9" s="5">
        <v>44044</v>
      </c>
      <c r="B9" s="6">
        <v>3.625238</v>
      </c>
      <c r="C9" s="6">
        <v>1.2482</v>
      </c>
      <c r="D9" s="7">
        <v>31.69380952380952</v>
      </c>
      <c r="E9" s="7">
        <v>47.700499999999998</v>
      </c>
      <c r="F9" s="7">
        <v>16.006690476190478</v>
      </c>
      <c r="G9" s="8">
        <v>0.51147596117500016</v>
      </c>
      <c r="H9" s="8">
        <v>0.73672403882499982</v>
      </c>
      <c r="J9" s="11"/>
      <c r="K9" s="1">
        <v>2020</v>
      </c>
      <c r="L9" s="11"/>
      <c r="M9" s="12"/>
      <c r="N9" s="11"/>
      <c r="O9" s="7"/>
      <c r="Q9" s="5">
        <v>45566</v>
      </c>
      <c r="R9" s="9" t="e">
        <v>#VALUE!</v>
      </c>
      <c r="S9" s="9" t="e">
        <v>#VALUE!</v>
      </c>
      <c r="T9" s="10">
        <v>-6.2532376017499836E-2</v>
      </c>
    </row>
    <row r="10" spans="1:20" x14ac:dyDescent="0.25">
      <c r="A10" s="5">
        <v>44075</v>
      </c>
      <c r="B10" s="6">
        <v>3.891429</v>
      </c>
      <c r="C10" s="6">
        <v>1.1354</v>
      </c>
      <c r="D10" s="7">
        <v>33.534285714285708</v>
      </c>
      <c r="E10" s="7">
        <v>51.203013157894738</v>
      </c>
      <c r="F10" s="7">
        <v>17.668727443609029</v>
      </c>
      <c r="G10" s="8">
        <v>0.54982079988726562</v>
      </c>
      <c r="H10" s="8">
        <v>0.58557920011273434</v>
      </c>
      <c r="J10" s="11"/>
      <c r="K10" s="1">
        <v>2020</v>
      </c>
      <c r="L10" s="11"/>
      <c r="M10" s="11"/>
      <c r="N10" s="11"/>
      <c r="O10" s="7"/>
      <c r="Q10" s="5">
        <v>45597</v>
      </c>
      <c r="R10" s="9" t="e">
        <v>#VALUE!</v>
      </c>
      <c r="S10" s="9" t="e">
        <v>#VALUE!</v>
      </c>
      <c r="T10" s="10">
        <v>-0.14903380177890613</v>
      </c>
    </row>
    <row r="11" spans="1:20" x14ac:dyDescent="0.25">
      <c r="A11" s="5">
        <v>44105</v>
      </c>
      <c r="B11" s="6">
        <v>3.9488639999999999</v>
      </c>
      <c r="C11" s="6">
        <v>1.1605000000000001</v>
      </c>
      <c r="D11" s="7">
        <v>33.276818181818186</v>
      </c>
      <c r="E11" s="7">
        <v>51.958736842105267</v>
      </c>
      <c r="F11" s="7">
        <v>18.681918660287081</v>
      </c>
      <c r="G11" s="8">
        <v>0.61278013549275001</v>
      </c>
      <c r="H11" s="8">
        <v>0.54771986450725008</v>
      </c>
      <c r="J11" s="13"/>
      <c r="K11" s="1">
        <v>2020</v>
      </c>
      <c r="L11" s="11"/>
      <c r="M11" s="11"/>
      <c r="N11" s="11"/>
      <c r="O11" s="7"/>
      <c r="Q11" s="5">
        <v>45627</v>
      </c>
      <c r="R11" s="9" t="e">
        <v>#VALUE!</v>
      </c>
      <c r="S11" s="9" t="e">
        <v>#VALUE!</v>
      </c>
      <c r="T11" s="10">
        <v>-4.8179093137505902E-3</v>
      </c>
    </row>
    <row r="12" spans="1:20" x14ac:dyDescent="0.25">
      <c r="A12" s="5">
        <v>44136</v>
      </c>
      <c r="B12" s="6">
        <v>4.0789470000000003</v>
      </c>
      <c r="C12" s="6">
        <v>1.2509999999999999</v>
      </c>
      <c r="D12" s="7">
        <v>36.786000000000001</v>
      </c>
      <c r="E12" s="7">
        <v>53.670355263157902</v>
      </c>
      <c r="F12" s="7">
        <v>16.8843552631579</v>
      </c>
      <c r="G12" s="8">
        <v>0.59844353171781695</v>
      </c>
      <c r="H12" s="8">
        <v>0.65255646828218294</v>
      </c>
      <c r="J12" s="13"/>
      <c r="K12" s="1">
        <v>2020</v>
      </c>
      <c r="L12" s="11"/>
      <c r="M12" s="11"/>
      <c r="N12" s="11"/>
      <c r="O12" s="7"/>
      <c r="Q12" s="5">
        <v>45658</v>
      </c>
      <c r="R12" s="9" t="e">
        <v>#VALUE!</v>
      </c>
      <c r="S12" s="9" t="e">
        <v>#VALUE!</v>
      </c>
      <c r="T12" s="10">
        <v>0.75273240134868624</v>
      </c>
    </row>
    <row r="13" spans="1:20" x14ac:dyDescent="0.25">
      <c r="A13" s="5">
        <v>44166</v>
      </c>
      <c r="B13" s="6">
        <v>438.97730000000001</v>
      </c>
      <c r="C13" s="6">
        <v>1.4568000000000001</v>
      </c>
      <c r="D13" s="7">
        <v>38.773333333333341</v>
      </c>
      <c r="E13" s="7">
        <v>57.760171052631584</v>
      </c>
      <c r="F13" s="7">
        <v>18.986837719298244</v>
      </c>
      <c r="G13" s="8">
        <v>0.74391555154515654</v>
      </c>
      <c r="H13" s="8">
        <v>0.71288444845484356</v>
      </c>
      <c r="J13" s="11"/>
      <c r="K13" s="1">
        <v>2020</v>
      </c>
      <c r="L13" s="11"/>
      <c r="M13" s="11"/>
      <c r="N13" s="11"/>
      <c r="Q13" s="5">
        <v>45689</v>
      </c>
      <c r="R13" s="9" t="e">
        <v>#VALUE!</v>
      </c>
      <c r="S13" s="9" t="e">
        <v>#VALUE!</v>
      </c>
      <c r="T13" s="10">
        <v>0.94389448185913549</v>
      </c>
    </row>
    <row r="14" spans="1:20" x14ac:dyDescent="0.25">
      <c r="A14" s="5">
        <v>44197</v>
      </c>
      <c r="B14" s="6">
        <v>463.47370000000001</v>
      </c>
      <c r="C14" s="6">
        <v>1.5874999999999999</v>
      </c>
      <c r="D14" s="7">
        <v>42.912608695652168</v>
      </c>
      <c r="E14" s="7">
        <v>60.983381578947373</v>
      </c>
      <c r="F14" s="7">
        <v>18.070772883295206</v>
      </c>
      <c r="G14" s="8">
        <v>0.93268182654163367</v>
      </c>
      <c r="H14" s="8">
        <v>0.65481817345836624</v>
      </c>
      <c r="J14" s="11"/>
      <c r="K14" s="1">
        <v>2021</v>
      </c>
      <c r="L14" s="11"/>
      <c r="M14" s="11"/>
      <c r="N14" s="11"/>
      <c r="Q14" s="5">
        <v>45717</v>
      </c>
      <c r="R14" s="9">
        <v>416.57000000000016</v>
      </c>
      <c r="S14" s="9">
        <v>2.1856999999999993</v>
      </c>
      <c r="T14" s="10">
        <v>0.93705895554334617</v>
      </c>
    </row>
    <row r="15" spans="1:20" x14ac:dyDescent="0.25">
      <c r="A15" s="5">
        <v>44228</v>
      </c>
      <c r="B15" s="6">
        <v>497.57889999999998</v>
      </c>
      <c r="C15" s="6">
        <v>1.7950999999999999</v>
      </c>
      <c r="D15" s="7">
        <v>46.628947368421045</v>
      </c>
      <c r="E15" s="7">
        <v>65.47090789473684</v>
      </c>
      <c r="F15" s="7">
        <v>18.841960526315795</v>
      </c>
      <c r="G15" s="8">
        <v>1.2268009429640627</v>
      </c>
      <c r="H15" s="8">
        <v>0.56829905703593719</v>
      </c>
      <c r="J15" s="11"/>
      <c r="K15" s="1">
        <v>2021</v>
      </c>
      <c r="L15" s="11"/>
      <c r="M15" s="11"/>
      <c r="N15" s="11"/>
      <c r="Q15" s="5">
        <v>45748</v>
      </c>
      <c r="R15" s="9">
        <v>427.32000000000016</v>
      </c>
      <c r="S15" s="9">
        <v>2.2131999999999992</v>
      </c>
      <c r="T15" s="10">
        <v>1.0553785638979143</v>
      </c>
    </row>
    <row r="16" spans="1:20" x14ac:dyDescent="0.25">
      <c r="A16" s="5">
        <v>44256</v>
      </c>
      <c r="B16" s="6">
        <v>541.52170000000001</v>
      </c>
      <c r="C16" s="6">
        <v>1.8698999999999999</v>
      </c>
      <c r="D16" s="7">
        <v>53.370000000000012</v>
      </c>
      <c r="E16" s="7">
        <v>71.252855263157898</v>
      </c>
      <c r="F16" s="7">
        <v>17.882855263157886</v>
      </c>
      <c r="G16" s="8">
        <v>1.2103607574107815</v>
      </c>
      <c r="H16" s="8">
        <v>0.65953924258921837</v>
      </c>
      <c r="J16" s="11"/>
      <c r="K16" s="1">
        <v>2021</v>
      </c>
      <c r="L16" s="11"/>
      <c r="M16" s="11"/>
      <c r="N16" s="11"/>
      <c r="Q16" s="5">
        <v>45778</v>
      </c>
      <c r="R16" s="9">
        <v>429.62000000000012</v>
      </c>
      <c r="S16" s="9">
        <v>2.2561999999999993</v>
      </c>
      <c r="T16" s="10">
        <v>0.91441717247194854</v>
      </c>
    </row>
    <row r="17" spans="1:20" x14ac:dyDescent="0.25">
      <c r="A17" s="5">
        <v>44287</v>
      </c>
      <c r="B17" s="6">
        <v>574.28570000000002</v>
      </c>
      <c r="C17" s="6">
        <v>1.8716999999999999</v>
      </c>
      <c r="D17" s="7">
        <v>55.30857142857144</v>
      </c>
      <c r="E17" s="7">
        <v>75.563907894736843</v>
      </c>
      <c r="F17" s="7">
        <v>20.255336466165403</v>
      </c>
      <c r="G17" s="8">
        <v>1.5065667111645002</v>
      </c>
      <c r="H17" s="8">
        <v>0.36513328883549967</v>
      </c>
      <c r="J17" s="11"/>
      <c r="K17" s="1">
        <v>2021</v>
      </c>
      <c r="L17" s="11"/>
      <c r="M17" s="11"/>
      <c r="N17" s="11"/>
      <c r="Q17" s="5">
        <v>45809</v>
      </c>
      <c r="R17" s="9">
        <v>424.09000000000015</v>
      </c>
      <c r="S17" s="9">
        <v>2.2108999999999988</v>
      </c>
      <c r="T17" s="10">
        <v>0.96346669284148723</v>
      </c>
    </row>
    <row r="18" spans="1:20" x14ac:dyDescent="0.25">
      <c r="A18" s="5">
        <v>44317</v>
      </c>
      <c r="B18" s="6">
        <v>606</v>
      </c>
      <c r="C18" s="6">
        <v>2.0308999999999999</v>
      </c>
      <c r="D18" s="7">
        <v>65.639500000000012</v>
      </c>
      <c r="E18" s="7">
        <v>79.736842105263165</v>
      </c>
      <c r="F18" s="7">
        <v>14.097342105263152</v>
      </c>
      <c r="G18" s="8">
        <v>1.2096897435385003</v>
      </c>
      <c r="H18" s="8">
        <v>0.82121025646149959</v>
      </c>
      <c r="J18" s="11"/>
      <c r="K18" s="1">
        <v>2021</v>
      </c>
      <c r="L18" s="13"/>
      <c r="M18" s="11"/>
      <c r="N18" s="11"/>
      <c r="Q18" s="5">
        <v>45839</v>
      </c>
      <c r="R18" s="9">
        <v>414.13000000000011</v>
      </c>
      <c r="S18" s="9">
        <v>2.1712999999999991</v>
      </c>
      <c r="T18" s="10">
        <v>0.93041957259824049</v>
      </c>
    </row>
    <row r="19" spans="1:20" x14ac:dyDescent="0.25">
      <c r="A19" s="5">
        <v>44348</v>
      </c>
      <c r="B19" s="6">
        <v>642.27269999999999</v>
      </c>
      <c r="C19" s="6">
        <v>2.1303999999999998</v>
      </c>
      <c r="D19" s="7">
        <v>64.228181818181824</v>
      </c>
      <c r="E19" s="7">
        <v>84.509565789473683</v>
      </c>
      <c r="F19" s="7">
        <v>20.281383971291859</v>
      </c>
      <c r="G19" s="8">
        <v>1.6552803692895313</v>
      </c>
      <c r="H19" s="8">
        <v>0.47511963071046859</v>
      </c>
      <c r="J19" s="11"/>
      <c r="K19" s="1">
        <v>2021</v>
      </c>
      <c r="L19" s="13"/>
      <c r="M19" s="11"/>
      <c r="N19" s="11"/>
      <c r="Q19" s="5">
        <v>45870</v>
      </c>
      <c r="R19" s="9">
        <v>409.98000000000025</v>
      </c>
      <c r="S19" s="9">
        <v>2.1397999999999988</v>
      </c>
      <c r="T19" s="10">
        <v>0.88481541181089129</v>
      </c>
    </row>
    <row r="20" spans="1:20" x14ac:dyDescent="0.25">
      <c r="A20" s="5">
        <v>44378</v>
      </c>
      <c r="B20" s="6">
        <v>636.19050000000004</v>
      </c>
      <c r="C20" s="6">
        <v>2.1139999999999999</v>
      </c>
      <c r="D20" s="7">
        <v>62.608095238095245</v>
      </c>
      <c r="E20" s="7">
        <v>83.709276315789481</v>
      </c>
      <c r="F20" s="7">
        <v>21.101181077694235</v>
      </c>
      <c r="G20" s="8">
        <v>1.8380847997845002</v>
      </c>
      <c r="H20" s="8">
        <v>0.27591520021549965</v>
      </c>
      <c r="J20" s="11"/>
      <c r="K20" s="1">
        <v>2021</v>
      </c>
      <c r="L20" s="11"/>
      <c r="M20" s="11"/>
      <c r="N20" s="11"/>
      <c r="Q20" s="5">
        <v>45901</v>
      </c>
      <c r="R20" s="9">
        <v>410.75000000000023</v>
      </c>
      <c r="S20" s="9">
        <v>2.1574999999999989</v>
      </c>
      <c r="T20" s="10">
        <v>0.94354775687879999</v>
      </c>
    </row>
    <row r="21" spans="1:20" x14ac:dyDescent="0.25">
      <c r="A21" s="5">
        <v>44409</v>
      </c>
      <c r="B21" s="6">
        <v>635</v>
      </c>
      <c r="C21" s="6">
        <v>2.0815000000000001</v>
      </c>
      <c r="D21" s="7">
        <v>60.784999999999989</v>
      </c>
      <c r="E21" s="7">
        <v>83.55263157894737</v>
      </c>
      <c r="F21" s="7">
        <v>22.76763157894738</v>
      </c>
      <c r="G21" s="8">
        <v>1.7168598157978132</v>
      </c>
      <c r="H21" s="8">
        <v>0.36464018420218691</v>
      </c>
      <c r="J21" s="11"/>
      <c r="K21" s="1">
        <v>2021</v>
      </c>
      <c r="L21" s="11"/>
      <c r="M21" s="11"/>
      <c r="N21" s="11"/>
      <c r="Q21" s="5">
        <v>45931</v>
      </c>
      <c r="R21" s="9">
        <v>406.05000000000018</v>
      </c>
      <c r="S21" s="9">
        <v>2.1204999999999994</v>
      </c>
      <c r="T21" s="10">
        <v>1.0165477568787995</v>
      </c>
    </row>
    <row r="22" spans="1:20" x14ac:dyDescent="0.25">
      <c r="A22" s="5">
        <v>44440</v>
      </c>
      <c r="B22" s="6">
        <v>599.04759999999999</v>
      </c>
      <c r="C22" s="6">
        <v>2.2090999999999998</v>
      </c>
      <c r="D22" s="7">
        <v>57.189523809523813</v>
      </c>
      <c r="E22" s="7">
        <v>78.822052631578956</v>
      </c>
      <c r="F22" s="7">
        <v>21.632528822055143</v>
      </c>
      <c r="G22" s="8">
        <v>1.8660540980699376</v>
      </c>
      <c r="H22" s="8">
        <v>0.34304590193006224</v>
      </c>
      <c r="J22" s="11"/>
      <c r="K22" s="1">
        <v>2021</v>
      </c>
      <c r="L22" s="11"/>
      <c r="M22" s="11"/>
      <c r="N22" s="11"/>
      <c r="Q22" s="5">
        <v>45962</v>
      </c>
      <c r="R22" s="9">
        <v>400.95000000000016</v>
      </c>
      <c r="S22" s="9">
        <v>2.0394999999999994</v>
      </c>
      <c r="T22" s="10">
        <v>1.0655477568787999</v>
      </c>
    </row>
    <row r="23" spans="1:20" x14ac:dyDescent="0.25">
      <c r="A23" s="5">
        <v>44470</v>
      </c>
      <c r="B23" s="6">
        <v>608.80949999999996</v>
      </c>
      <c r="C23" s="6">
        <v>2.5255999999999998</v>
      </c>
      <c r="D23" s="7">
        <v>61.246190476190478</v>
      </c>
      <c r="E23" s="7">
        <v>80.106513157894739</v>
      </c>
      <c r="F23" s="7">
        <v>18.860322681704261</v>
      </c>
      <c r="G23" s="8">
        <v>1.8703441645247505</v>
      </c>
      <c r="H23" s="8">
        <v>0.65525583547524935</v>
      </c>
      <c r="K23" s="1">
        <v>2021</v>
      </c>
      <c r="Q23" s="5">
        <v>45992</v>
      </c>
      <c r="R23" s="9">
        <v>396.11000000000013</v>
      </c>
      <c r="S23" s="9">
        <v>1.9410999999999992</v>
      </c>
      <c r="T23" s="10">
        <v>1.0171477568787999</v>
      </c>
    </row>
    <row r="24" spans="1:20" x14ac:dyDescent="0.25">
      <c r="A24" s="5">
        <v>44501</v>
      </c>
      <c r="B24" s="6">
        <v>637</v>
      </c>
      <c r="C24" s="6">
        <v>2.3986000000000001</v>
      </c>
      <c r="D24" s="7">
        <v>59.211904761904776</v>
      </c>
      <c r="E24" s="7">
        <v>83.81578947368422</v>
      </c>
      <c r="F24" s="7">
        <v>24.603884711779443</v>
      </c>
      <c r="G24" s="8">
        <v>2.508785299785</v>
      </c>
      <c r="H24" s="8">
        <v>-0.11018529978499991</v>
      </c>
      <c r="K24" s="1">
        <v>2021</v>
      </c>
    </row>
    <row r="25" spans="1:20" x14ac:dyDescent="0.25">
      <c r="A25" s="5">
        <v>44531</v>
      </c>
      <c r="B25" s="6">
        <v>610.95240000000001</v>
      </c>
      <c r="C25" s="6">
        <v>2.2559</v>
      </c>
      <c r="D25" s="7">
        <v>55.205238095238101</v>
      </c>
      <c r="E25" s="7">
        <v>80.388473684210538</v>
      </c>
      <c r="F25" s="7">
        <v>25.183235588972437</v>
      </c>
      <c r="G25" s="8">
        <v>2.3890110591559375</v>
      </c>
      <c r="H25" s="8">
        <v>-0.13311105915593746</v>
      </c>
      <c r="K25" s="1">
        <v>2021</v>
      </c>
    </row>
    <row r="26" spans="1:20" x14ac:dyDescent="0.25">
      <c r="A26" s="5">
        <v>44562</v>
      </c>
      <c r="B26" s="6">
        <v>614.5</v>
      </c>
      <c r="C26" s="6">
        <v>2.6183000000000001</v>
      </c>
      <c r="D26" s="7">
        <v>60.679999999999993</v>
      </c>
      <c r="E26" s="7">
        <v>80.85526315789474</v>
      </c>
      <c r="F26" s="7">
        <v>20.175263157894747</v>
      </c>
      <c r="G26" s="8">
        <v>2.2699875251370627</v>
      </c>
      <c r="H26" s="8">
        <v>0.34831247486293737</v>
      </c>
      <c r="K26" s="1">
        <v>2022</v>
      </c>
    </row>
    <row r="27" spans="1:20" x14ac:dyDescent="0.25">
      <c r="A27" s="5">
        <v>44593</v>
      </c>
      <c r="B27" s="6">
        <v>660.78949999999998</v>
      </c>
      <c r="C27" s="6">
        <v>2.8553999999999999</v>
      </c>
      <c r="D27" s="7">
        <v>67.012631578947364</v>
      </c>
      <c r="E27" s="7">
        <v>86.94598684210527</v>
      </c>
      <c r="F27" s="7">
        <v>19.933355263157907</v>
      </c>
      <c r="G27" s="8">
        <v>2.6164661636718751</v>
      </c>
      <c r="H27" s="8">
        <v>0.23893383632812482</v>
      </c>
      <c r="K27" s="1">
        <v>2022</v>
      </c>
    </row>
    <row r="28" spans="1:20" x14ac:dyDescent="0.25">
      <c r="A28" s="5">
        <v>44621</v>
      </c>
      <c r="B28" s="6">
        <v>724.7826</v>
      </c>
      <c r="C28" s="6">
        <v>3.6623000000000001</v>
      </c>
      <c r="D28" s="7">
        <v>74.006521739130449</v>
      </c>
      <c r="E28" s="7">
        <v>95.366131578947375</v>
      </c>
      <c r="F28" s="7">
        <v>21.359609839816926</v>
      </c>
      <c r="G28" s="8">
        <v>3.2548560126521875</v>
      </c>
      <c r="H28" s="8">
        <v>0.40744398734781262</v>
      </c>
      <c r="K28" s="1">
        <v>2022</v>
      </c>
    </row>
    <row r="29" spans="1:20" x14ac:dyDescent="0.25">
      <c r="A29" s="5">
        <v>44652</v>
      </c>
      <c r="B29" s="6">
        <v>787.75</v>
      </c>
      <c r="C29" s="6">
        <v>3.8795000000000002</v>
      </c>
      <c r="D29" s="7">
        <v>79.201999999999998</v>
      </c>
      <c r="E29" s="7">
        <v>103.65131578947368</v>
      </c>
      <c r="F29" s="7">
        <v>24.449315789473687</v>
      </c>
      <c r="G29" s="8">
        <v>3.7298203072097502</v>
      </c>
      <c r="H29" s="8">
        <v>0.14967969279024995</v>
      </c>
      <c r="K29" s="1">
        <v>2022</v>
      </c>
    </row>
    <row r="30" spans="1:20" x14ac:dyDescent="0.25">
      <c r="A30" s="5">
        <v>44682</v>
      </c>
      <c r="B30" s="6">
        <v>798.09519999999998</v>
      </c>
      <c r="C30" s="6">
        <v>3.9176000000000002</v>
      </c>
      <c r="D30" s="7">
        <v>81.004761904761907</v>
      </c>
      <c r="E30" s="7">
        <v>105.01252631578947</v>
      </c>
      <c r="F30" s="7">
        <v>24.007764411027566</v>
      </c>
      <c r="G30" s="8">
        <v>3.7191981844797652</v>
      </c>
      <c r="H30" s="8">
        <v>0.19840181552023495</v>
      </c>
      <c r="K30" s="1">
        <v>2022</v>
      </c>
    </row>
    <row r="31" spans="1:20" x14ac:dyDescent="0.25">
      <c r="A31" s="5">
        <v>44713</v>
      </c>
      <c r="B31" s="6">
        <v>791.90480000000002</v>
      </c>
      <c r="C31" s="14">
        <v>4.3010999999999999</v>
      </c>
      <c r="D31" s="7">
        <v>76.33</v>
      </c>
      <c r="E31" s="7">
        <v>104.19800000000001</v>
      </c>
      <c r="F31" s="7">
        <v>27.868000000000009</v>
      </c>
      <c r="G31" s="8">
        <v>3.9572046083717187</v>
      </c>
      <c r="H31" s="8">
        <v>0.3438953916282812</v>
      </c>
      <c r="J31" s="15">
        <v>2.0451999999999999</v>
      </c>
      <c r="K31" s="1">
        <v>2022</v>
      </c>
    </row>
    <row r="32" spans="1:20" x14ac:dyDescent="0.25">
      <c r="A32" s="5">
        <v>44743</v>
      </c>
      <c r="B32" s="6">
        <v>757.55</v>
      </c>
      <c r="C32" s="6">
        <v>3.6501999999999999</v>
      </c>
      <c r="D32" s="7">
        <v>61.398000000000003</v>
      </c>
      <c r="E32" s="7">
        <v>99.67763157894737</v>
      </c>
      <c r="F32" s="7">
        <v>38.279631578947367</v>
      </c>
      <c r="G32" s="8">
        <v>3.7202026297145006</v>
      </c>
      <c r="H32" s="8">
        <v>-7.0002629714500664E-2</v>
      </c>
      <c r="K32" s="1">
        <v>2022</v>
      </c>
    </row>
    <row r="33" spans="1:20" x14ac:dyDescent="0.25">
      <c r="A33" s="5">
        <v>44774</v>
      </c>
      <c r="B33" s="6">
        <v>749.95650000000001</v>
      </c>
      <c r="C33" s="6">
        <v>3.6059999999999999</v>
      </c>
      <c r="D33" s="7">
        <v>67.517826086956504</v>
      </c>
      <c r="E33" s="7">
        <v>98.678486842105272</v>
      </c>
      <c r="F33" s="7">
        <v>31.160660755148768</v>
      </c>
      <c r="G33" s="8">
        <v>3.3245347878546876</v>
      </c>
      <c r="H33" s="8">
        <v>0.28146521214531228</v>
      </c>
      <c r="K33" s="1">
        <v>2022</v>
      </c>
    </row>
    <row r="34" spans="1:20" x14ac:dyDescent="0.25">
      <c r="A34" s="5">
        <v>44805</v>
      </c>
      <c r="B34" s="6">
        <v>770</v>
      </c>
      <c r="C34" s="6">
        <v>3.4216000000000002</v>
      </c>
      <c r="D34" s="7">
        <v>66.873333333333335</v>
      </c>
      <c r="E34" s="7">
        <v>101.31578947368422</v>
      </c>
      <c r="F34" s="7">
        <v>34.442456140350885</v>
      </c>
      <c r="G34" s="8">
        <v>3.3245347878546876</v>
      </c>
      <c r="H34" s="8">
        <v>9.7065212145312607E-2</v>
      </c>
      <c r="K34" s="1">
        <v>2022</v>
      </c>
      <c r="N34" s="16" t="s">
        <v>15</v>
      </c>
    </row>
    <row r="35" spans="1:20" x14ac:dyDescent="0.25">
      <c r="A35" s="5">
        <v>44835</v>
      </c>
      <c r="B35" s="6">
        <v>796.54761904761904</v>
      </c>
      <c r="C35" s="6">
        <v>3.9615785714285709</v>
      </c>
      <c r="D35" s="7">
        <v>68.494285714285709</v>
      </c>
      <c r="E35" s="7">
        <v>104.80889724310778</v>
      </c>
      <c r="F35" s="7">
        <v>36.31461152882207</v>
      </c>
      <c r="G35" s="8">
        <v>3.8472365381502498</v>
      </c>
      <c r="H35" s="8">
        <v>0.11434203327832115</v>
      </c>
      <c r="J35" s="9"/>
      <c r="K35" s="1">
        <v>2022</v>
      </c>
      <c r="P35" s="17" t="s">
        <v>16</v>
      </c>
      <c r="Q35" s="17" t="s">
        <v>17</v>
      </c>
    </row>
    <row r="36" spans="1:20" ht="12.75" customHeight="1" x14ac:dyDescent="0.25">
      <c r="A36" s="5">
        <v>44866</v>
      </c>
      <c r="B36" s="6">
        <v>804.6</v>
      </c>
      <c r="C36" s="6">
        <v>3.5769000000000002</v>
      </c>
      <c r="D36" s="7">
        <v>75.129523809523818</v>
      </c>
      <c r="E36" s="7">
        <v>105.86842105263159</v>
      </c>
      <c r="F36" s="7">
        <v>30.738897243107772</v>
      </c>
      <c r="G36" s="8">
        <v>3.8472365381502498</v>
      </c>
      <c r="H36" s="8">
        <v>-0.27033653815024961</v>
      </c>
      <c r="K36" s="1">
        <v>2022</v>
      </c>
      <c r="L36" s="17" t="s">
        <v>18</v>
      </c>
      <c r="M36" s="18" t="s">
        <v>19</v>
      </c>
      <c r="P36" s="17"/>
      <c r="Q36" s="17"/>
    </row>
    <row r="37" spans="1:20" x14ac:dyDescent="0.25">
      <c r="A37" s="5">
        <v>44896</v>
      </c>
      <c r="B37" s="6">
        <v>770</v>
      </c>
      <c r="C37" s="6">
        <v>2.9495</v>
      </c>
      <c r="D37" s="7">
        <v>64.203809523809525</v>
      </c>
      <c r="E37" s="7">
        <v>101.31578947368422</v>
      </c>
      <c r="F37" s="7">
        <v>37.111979949874694</v>
      </c>
      <c r="G37" s="8">
        <v>3.7106194895280624</v>
      </c>
      <c r="H37" s="8">
        <v>-0.76111948952806241</v>
      </c>
      <c r="K37" s="1">
        <v>2022</v>
      </c>
      <c r="L37" s="17"/>
      <c r="M37" s="18"/>
      <c r="P37" s="17"/>
      <c r="Q37" s="17"/>
      <c r="R37" s="17" t="s">
        <v>20</v>
      </c>
    </row>
    <row r="38" spans="1:20" x14ac:dyDescent="0.25">
      <c r="A38" s="5">
        <v>44927</v>
      </c>
      <c r="B38" s="6">
        <v>745.25</v>
      </c>
      <c r="C38" s="6">
        <v>2.9518</v>
      </c>
      <c r="D38" s="7">
        <v>62.383999999999993</v>
      </c>
      <c r="E38" s="7">
        <v>98.059210526315795</v>
      </c>
      <c r="F38" s="7">
        <v>35.675210526315801</v>
      </c>
      <c r="G38" s="8">
        <v>3.5535684345340628</v>
      </c>
      <c r="H38" s="8">
        <v>-0.60176843453406281</v>
      </c>
      <c r="K38" s="1">
        <v>2023</v>
      </c>
      <c r="L38" s="19">
        <v>7.7979318528553776E-4</v>
      </c>
      <c r="M38" s="19">
        <v>-3.214285714285714E-2</v>
      </c>
      <c r="R38" s="17"/>
    </row>
    <row r="39" spans="1:20" x14ac:dyDescent="0.25">
      <c r="A39" s="5">
        <v>44958</v>
      </c>
      <c r="B39" s="6">
        <v>707.63160000000005</v>
      </c>
      <c r="C39" s="6">
        <v>2.8294000000000001</v>
      </c>
      <c r="D39" s="7">
        <v>60.783157894736839</v>
      </c>
      <c r="E39" s="7">
        <v>93.109421052631589</v>
      </c>
      <c r="F39" s="7">
        <v>32.326263157894751</v>
      </c>
      <c r="G39" s="8">
        <v>3.332536634955781</v>
      </c>
      <c r="H39" s="8">
        <v>-0.50313663495578087</v>
      </c>
      <c r="I39" s="1">
        <v>-1.0629589823111654</v>
      </c>
      <c r="J39" s="1">
        <v>-0.41</v>
      </c>
      <c r="K39" s="1">
        <v>2023</v>
      </c>
      <c r="L39" s="19">
        <v>-4.1466223998915863E-2</v>
      </c>
      <c r="M39" s="19">
        <v>-5.0477557866487666E-2</v>
      </c>
      <c r="N39" s="1" t="s">
        <v>21</v>
      </c>
      <c r="P39" s="20">
        <v>-6.7583110803756896E-2</v>
      </c>
      <c r="Q39" s="20">
        <v>-7.1820584050409697E-2</v>
      </c>
      <c r="R39" s="17"/>
    </row>
    <row r="40" spans="1:20" x14ac:dyDescent="0.25">
      <c r="A40" s="5">
        <v>44986</v>
      </c>
      <c r="B40" s="6">
        <v>636.52170000000001</v>
      </c>
      <c r="C40" s="6">
        <v>2.6103000000000001</v>
      </c>
      <c r="D40" s="7">
        <v>56.891304347826086</v>
      </c>
      <c r="E40" s="7">
        <v>83.752855263157898</v>
      </c>
      <c r="F40" s="7">
        <v>26.861550915331811</v>
      </c>
      <c r="G40" s="8">
        <v>2.7414457314490623</v>
      </c>
      <c r="H40" s="8">
        <v>-0.13114573144906227</v>
      </c>
      <c r="K40" s="1">
        <v>2023</v>
      </c>
      <c r="L40" s="19">
        <v>-7.7436912419594273E-2</v>
      </c>
      <c r="M40" s="19">
        <v>-0.10049000072919301</v>
      </c>
      <c r="N40" s="1" t="s">
        <v>22</v>
      </c>
      <c r="P40" s="20">
        <v>1.3940520446096283E-3</v>
      </c>
      <c r="Q40" s="20">
        <v>5.7558945908460446E-2</v>
      </c>
      <c r="R40" s="7">
        <v>709.81604935999997</v>
      </c>
    </row>
    <row r="41" spans="1:20" x14ac:dyDescent="0.25">
      <c r="A41" s="5">
        <v>45017</v>
      </c>
      <c r="B41" s="6">
        <v>605</v>
      </c>
      <c r="C41" s="6">
        <v>2.3999000000000001</v>
      </c>
      <c r="D41" s="7">
        <v>53.917894736842108</v>
      </c>
      <c r="E41" s="7">
        <v>79.60526315789474</v>
      </c>
      <c r="F41" s="7">
        <v>25.687368421052632</v>
      </c>
      <c r="G41" s="8">
        <v>2.2833527645293747</v>
      </c>
      <c r="H41" s="8">
        <v>0.1165472354706254</v>
      </c>
      <c r="I41" s="20">
        <v>-0.77851741705118538</v>
      </c>
      <c r="J41" s="20">
        <v>-3.7473818590877617E-2</v>
      </c>
      <c r="K41" s="1">
        <v>2023</v>
      </c>
      <c r="L41" s="19">
        <v>-8.0603762019691216E-2</v>
      </c>
      <c r="M41" s="19">
        <v>-4.9521799492460383E-2</v>
      </c>
      <c r="N41" s="1" t="s">
        <v>23</v>
      </c>
      <c r="P41" s="20">
        <v>-4.0603248259865055E-3</v>
      </c>
      <c r="Q41" s="20">
        <v>2.7610008628120575E-4</v>
      </c>
      <c r="R41" s="7">
        <v>679.53</v>
      </c>
      <c r="T41" s="21"/>
    </row>
    <row r="42" spans="1:20" x14ac:dyDescent="0.25">
      <c r="A42" s="5">
        <v>45047</v>
      </c>
      <c r="B42" s="6">
        <v>594.5</v>
      </c>
      <c r="C42" s="6">
        <v>2.1654</v>
      </c>
      <c r="D42" s="7">
        <v>49.765454545454553</v>
      </c>
      <c r="E42" s="7">
        <v>78.223684210526315</v>
      </c>
      <c r="F42" s="7">
        <v>28.458229665071762</v>
      </c>
      <c r="G42" s="8">
        <v>2.1804004741771879</v>
      </c>
      <c r="H42" s="8">
        <v>-1.5000474177187861E-2</v>
      </c>
      <c r="I42" s="20">
        <v>7.7310924369747847E-2</v>
      </c>
      <c r="J42" s="20">
        <v>0.48471476843569872</v>
      </c>
      <c r="K42" s="1">
        <v>2023</v>
      </c>
      <c r="L42" s="19">
        <v>-9.7712404683528487E-2</v>
      </c>
      <c r="M42" s="19">
        <v>-1.7355371900826477E-2</v>
      </c>
      <c r="N42" s="1" t="s">
        <v>24</v>
      </c>
      <c r="P42" s="20">
        <v>-2.2131624927193005E-3</v>
      </c>
      <c r="Q42" s="20">
        <v>-1.2214056515888694E-2</v>
      </c>
      <c r="R42" s="7">
        <v>669.44159999999999</v>
      </c>
      <c r="T42" s="22"/>
    </row>
    <row r="43" spans="1:20" x14ac:dyDescent="0.25">
      <c r="A43" s="5">
        <v>45078</v>
      </c>
      <c r="B43" s="6">
        <v>580.23810000000003</v>
      </c>
      <c r="C43" s="6">
        <v>2.2235999999999998</v>
      </c>
      <c r="D43" s="7">
        <v>55.860952380952369</v>
      </c>
      <c r="E43" s="7">
        <v>76.347118421052642</v>
      </c>
      <c r="F43" s="7">
        <v>20.486166040100272</v>
      </c>
      <c r="G43" s="8">
        <v>2.197786817252422</v>
      </c>
      <c r="H43" s="8">
        <v>2.5813182747577823E-2</v>
      </c>
      <c r="J43" s="1">
        <v>0.02</v>
      </c>
      <c r="K43" s="1">
        <v>2023</v>
      </c>
      <c r="L43" s="19">
        <v>2.6877251316153927E-2</v>
      </c>
      <c r="M43" s="19">
        <v>-2.3989739276703004E-2</v>
      </c>
      <c r="N43" s="1" t="s">
        <v>25</v>
      </c>
      <c r="P43" s="20">
        <v>-7.8216203595614653E-3</v>
      </c>
      <c r="Q43" s="20">
        <v>6.1056970205036531E-2</v>
      </c>
      <c r="R43" s="7">
        <v>655.73876647999998</v>
      </c>
      <c r="T43" s="22"/>
    </row>
    <row r="44" spans="1:20" x14ac:dyDescent="0.25">
      <c r="A44" s="5">
        <v>45108</v>
      </c>
      <c r="B44" s="6">
        <v>595</v>
      </c>
      <c r="C44" s="6">
        <v>2.5154999999999998</v>
      </c>
      <c r="D44" s="7">
        <v>66.389999999999972</v>
      </c>
      <c r="E44" s="7">
        <v>78.289473684210535</v>
      </c>
      <c r="F44" s="7">
        <v>11.899473684210562</v>
      </c>
      <c r="G44" s="8">
        <v>2.1653838241446874</v>
      </c>
      <c r="H44" s="8">
        <v>0.35011617585531241</v>
      </c>
      <c r="I44" s="8"/>
      <c r="K44" s="1">
        <v>2023</v>
      </c>
      <c r="L44" s="19">
        <v>0.13127361036157592</v>
      </c>
      <c r="M44" s="19">
        <v>2.5441107710782784E-2</v>
      </c>
      <c r="N44" s="1" t="s">
        <v>26</v>
      </c>
      <c r="P44" s="20">
        <v>-6.8243322743850587E-3</v>
      </c>
      <c r="Q44" s="20">
        <v>8.1706554300951639E-2</v>
      </c>
      <c r="R44" s="7">
        <v>669.92200000000003</v>
      </c>
      <c r="T44" s="22"/>
    </row>
    <row r="45" spans="1:20" x14ac:dyDescent="0.25">
      <c r="A45" s="5">
        <v>45139</v>
      </c>
      <c r="B45" s="6">
        <v>658.04349999999999</v>
      </c>
      <c r="C45" s="6">
        <v>3.1316000000000002</v>
      </c>
      <c r="D45" s="7">
        <v>65.607391304347829</v>
      </c>
      <c r="E45" s="7">
        <v>86.584671052631577</v>
      </c>
      <c r="F45" s="7">
        <v>20.977279748283749</v>
      </c>
      <c r="G45" s="8">
        <v>2.98110994324625</v>
      </c>
      <c r="H45" s="8">
        <v>0.15049005675375016</v>
      </c>
      <c r="I45" s="8"/>
      <c r="K45" s="1">
        <v>2023</v>
      </c>
      <c r="L45" s="19">
        <v>0.24492148678195202</v>
      </c>
      <c r="M45" s="19">
        <v>0.10595546218487395</v>
      </c>
      <c r="N45" s="1" t="s">
        <v>27</v>
      </c>
      <c r="P45" s="20">
        <v>-8.0559175453143173E-3</v>
      </c>
      <c r="Q45" s="20">
        <v>-3.2411211540217311E-2</v>
      </c>
      <c r="R45" s="7">
        <v>730.49419479999995</v>
      </c>
      <c r="T45" s="22"/>
    </row>
    <row r="46" spans="1:20" x14ac:dyDescent="0.25">
      <c r="A46" s="5">
        <v>45170</v>
      </c>
      <c r="B46" s="6">
        <v>641</v>
      </c>
      <c r="C46" s="6">
        <v>3.7347999999999999</v>
      </c>
      <c r="D46" s="7">
        <v>61.316499999999984</v>
      </c>
      <c r="E46" s="7">
        <v>84.342105263157904</v>
      </c>
      <c r="F46" s="7">
        <v>23.025605263157921</v>
      </c>
      <c r="G46" s="8">
        <v>3.232403167131094</v>
      </c>
      <c r="H46" s="8">
        <v>0.50239683286890591</v>
      </c>
      <c r="I46" s="8"/>
      <c r="K46" s="1">
        <v>2023</v>
      </c>
      <c r="L46" s="19">
        <v>0.19261719248946219</v>
      </c>
      <c r="M46" s="19">
        <v>-2.590026343243268E-2</v>
      </c>
      <c r="N46" s="1" t="s">
        <v>28</v>
      </c>
      <c r="P46" s="20">
        <v>-1.0987698554878467E-2</v>
      </c>
      <c r="Q46" s="20">
        <v>-3.2270239667861911E-2</v>
      </c>
      <c r="R46" s="7">
        <v>714.11879999999996</v>
      </c>
      <c r="T46" s="22"/>
    </row>
    <row r="47" spans="1:20" x14ac:dyDescent="0.25">
      <c r="A47" s="5">
        <v>45200</v>
      </c>
      <c r="B47" s="6">
        <v>592.27269999999999</v>
      </c>
      <c r="C47" s="6">
        <v>3.2168000000000001</v>
      </c>
      <c r="D47" s="7">
        <v>53.868181818181831</v>
      </c>
      <c r="E47" s="7">
        <v>77.930618421052628</v>
      </c>
      <c r="F47" s="7">
        <v>24.062436602870797</v>
      </c>
      <c r="G47" s="8">
        <v>3.2225846168725001</v>
      </c>
      <c r="H47" s="8">
        <v>-5.7846168724999814E-3</v>
      </c>
      <c r="I47" s="8"/>
      <c r="K47" s="1">
        <v>2023</v>
      </c>
      <c r="L47" s="19">
        <v>-0.13869551247724099</v>
      </c>
      <c r="M47" s="19">
        <v>-7.6017628705148277E-2</v>
      </c>
      <c r="N47" s="1" t="s">
        <v>29</v>
      </c>
      <c r="P47" s="20">
        <v>-1.4007970051926999E-2</v>
      </c>
      <c r="Q47" s="20">
        <v>-8.287831513260524E-2</v>
      </c>
      <c r="R47" s="7">
        <v>667.30161016</v>
      </c>
      <c r="T47" s="22"/>
    </row>
    <row r="48" spans="1:20" x14ac:dyDescent="0.25">
      <c r="A48" s="5">
        <v>45231</v>
      </c>
      <c r="B48" s="6">
        <v>560.75</v>
      </c>
      <c r="C48" s="6">
        <v>2.944</v>
      </c>
      <c r="D48" s="7">
        <v>51.671428571428564</v>
      </c>
      <c r="E48" s="7">
        <v>73.78289473684211</v>
      </c>
      <c r="F48" s="7">
        <v>22.111466165413546</v>
      </c>
      <c r="G48" s="8">
        <v>2.9984840224057501</v>
      </c>
      <c r="H48" s="8">
        <v>-5.4484022405750121E-2</v>
      </c>
      <c r="I48" s="8"/>
      <c r="K48" s="1">
        <v>2023</v>
      </c>
      <c r="L48" s="19">
        <v>-8.4804774931609095E-2</v>
      </c>
      <c r="M48" s="19">
        <v>-5.322328717835545E-2</v>
      </c>
      <c r="N48" s="1" t="s">
        <v>30</v>
      </c>
      <c r="P48" s="20">
        <v>-1.3962033067972834E-2</v>
      </c>
      <c r="Q48" s="20">
        <v>-8.1508257140827656E-4</v>
      </c>
      <c r="R48" s="7">
        <v>637.01459999999997</v>
      </c>
      <c r="T48" s="22"/>
    </row>
    <row r="49" spans="1:23" x14ac:dyDescent="0.25">
      <c r="A49" s="5">
        <v>45261</v>
      </c>
      <c r="B49" s="6">
        <v>546.125</v>
      </c>
      <c r="C49" s="6">
        <v>2.5878999999999999</v>
      </c>
      <c r="D49" s="7">
        <v>49.773000000000003</v>
      </c>
      <c r="E49" s="7">
        <v>71.858552631578945</v>
      </c>
      <c r="F49" s="7">
        <v>22.085552631578942</v>
      </c>
      <c r="G49" s="8">
        <v>2.8554678180845312</v>
      </c>
      <c r="H49" s="8">
        <v>-0.26756781808453134</v>
      </c>
      <c r="I49" s="8"/>
      <c r="K49" s="1">
        <v>2023</v>
      </c>
      <c r="L49" s="19">
        <v>-0.12095788043478262</v>
      </c>
      <c r="M49" s="19">
        <v>-2.608114132857775E-2</v>
      </c>
      <c r="N49" s="1" t="s">
        <v>31</v>
      </c>
      <c r="P49" s="20">
        <v>-1.3041858154266839E-2</v>
      </c>
      <c r="Q49" s="20">
        <v>-4.1496719276470362E-3</v>
      </c>
      <c r="R49" s="7">
        <v>622.96289999999999</v>
      </c>
      <c r="T49" s="22"/>
    </row>
    <row r="50" spans="1:23" x14ac:dyDescent="0.25">
      <c r="A50" s="5">
        <v>45292</v>
      </c>
      <c r="B50" s="6">
        <v>521.42859999999996</v>
      </c>
      <c r="C50" s="6">
        <v>2.5011000000000001</v>
      </c>
      <c r="D50" s="7">
        <v>47.540476190476184</v>
      </c>
      <c r="E50" s="7">
        <v>68.609026315789478</v>
      </c>
      <c r="F50" s="7">
        <v>21.068550125313294</v>
      </c>
      <c r="G50" s="8">
        <v>2.7617393873552216</v>
      </c>
      <c r="H50" s="8">
        <v>-0.26063938735522152</v>
      </c>
      <c r="I50" s="8">
        <v>245.25466126447782</v>
      </c>
      <c r="K50" s="1">
        <v>2024</v>
      </c>
      <c r="L50" s="19">
        <v>-3.3540708682715636E-2</v>
      </c>
      <c r="M50" s="19">
        <v>-4.5221149004348926E-2</v>
      </c>
      <c r="N50" s="1" t="s">
        <v>32</v>
      </c>
      <c r="P50" s="20">
        <v>-3.020387616410769E-3</v>
      </c>
      <c r="Q50" s="20">
        <v>-3.1697414345750463E-3</v>
      </c>
      <c r="R50" s="7">
        <v>599.23459888000002</v>
      </c>
      <c r="T50" s="22"/>
    </row>
    <row r="51" spans="1:23" x14ac:dyDescent="0.25">
      <c r="A51" s="5">
        <v>45323</v>
      </c>
      <c r="B51" s="6">
        <v>493.875</v>
      </c>
      <c r="C51" s="6">
        <v>2.5948000000000002</v>
      </c>
      <c r="D51" s="7">
        <v>45.639999999999993</v>
      </c>
      <c r="E51" s="7">
        <v>64.983552631578945</v>
      </c>
      <c r="F51" s="7">
        <v>19.343552631578952</v>
      </c>
      <c r="G51" s="8">
        <v>2.9281327310226564</v>
      </c>
      <c r="H51" s="8">
        <v>-0.33333273102265615</v>
      </c>
      <c r="I51" s="8">
        <v>201.06172689773439</v>
      </c>
      <c r="K51" s="1">
        <v>2024</v>
      </c>
      <c r="L51" s="19">
        <v>3.7463516052936852E-2</v>
      </c>
      <c r="M51" s="19">
        <v>-5.2842517652464727E-2</v>
      </c>
      <c r="N51" s="1" t="s">
        <v>33</v>
      </c>
      <c r="P51" s="20">
        <v>3.0295379954556889E-3</v>
      </c>
      <c r="Q51" s="20">
        <v>6.6240308692700811E-2</v>
      </c>
      <c r="R51" s="7">
        <v>572.76110000000006</v>
      </c>
      <c r="T51" s="22"/>
    </row>
    <row r="52" spans="1:23" x14ac:dyDescent="0.25">
      <c r="A52" s="5">
        <v>45352</v>
      </c>
      <c r="B52" s="6">
        <v>466.5</v>
      </c>
      <c r="C52" s="6">
        <v>2.6656</v>
      </c>
      <c r="D52" s="7">
        <v>47.468999999999994</v>
      </c>
      <c r="E52" s="7">
        <v>61.381578947368425</v>
      </c>
      <c r="F52" s="7">
        <v>13.912578947368431</v>
      </c>
      <c r="G52" s="8">
        <v>2.55675304940875</v>
      </c>
      <c r="H52" s="8">
        <v>0.10884695059124994</v>
      </c>
      <c r="I52" s="8">
        <v>210.82469505912499</v>
      </c>
      <c r="K52" s="1">
        <v>2024</v>
      </c>
      <c r="L52" s="19">
        <v>2.7285339910590345E-2</v>
      </c>
      <c r="M52" s="19">
        <v>-5.542900531511008E-2</v>
      </c>
      <c r="N52" s="1" t="s">
        <v>34</v>
      </c>
      <c r="P52" s="20">
        <v>3.0203876164121013E-3</v>
      </c>
      <c r="Q52" s="20">
        <v>-6.3666521462319992E-3</v>
      </c>
      <c r="R52" s="7">
        <v>546.45920000000001</v>
      </c>
      <c r="T52" s="22"/>
    </row>
    <row r="53" spans="1:23" x14ac:dyDescent="0.25">
      <c r="A53" s="5">
        <v>45383</v>
      </c>
      <c r="B53" s="6">
        <v>466.7045</v>
      </c>
      <c r="C53" s="6">
        <v>2.6368</v>
      </c>
      <c r="D53" s="7">
        <v>46.189999999999991</v>
      </c>
      <c r="E53" s="7">
        <v>61.408486842105269</v>
      </c>
      <c r="F53" s="7">
        <v>15.218486842105278</v>
      </c>
      <c r="G53" s="8">
        <v>2.6215420558218749</v>
      </c>
      <c r="H53" s="8">
        <v>1.5257944178125094E-2</v>
      </c>
      <c r="I53" s="8">
        <v>204.55029441781249</v>
      </c>
      <c r="K53" s="1">
        <v>2024</v>
      </c>
      <c r="L53" s="19">
        <v>-1.0804321728691502E-2</v>
      </c>
      <c r="M53" s="19">
        <v>4.3837084673103988E-4</v>
      </c>
      <c r="N53" s="1" t="s">
        <v>35</v>
      </c>
      <c r="P53" s="20">
        <v>3.0112923462985997E-3</v>
      </c>
      <c r="Q53" s="20">
        <v>-2.8327656560886982E-3</v>
      </c>
      <c r="R53" s="7">
        <v>546.65568359999997</v>
      </c>
      <c r="T53" s="22"/>
    </row>
    <row r="54" spans="1:23" x14ac:dyDescent="0.25">
      <c r="A54" s="5">
        <v>45413</v>
      </c>
      <c r="B54" s="6">
        <v>440.34</v>
      </c>
      <c r="C54" s="6">
        <v>2.4277000000000002</v>
      </c>
      <c r="D54" s="7">
        <v>44.612299999999998</v>
      </c>
      <c r="E54" s="7">
        <v>57.939473684210526</v>
      </c>
      <c r="F54" s="7">
        <v>13.327173684210528</v>
      </c>
      <c r="G54" s="8">
        <v>2.4313457317656249</v>
      </c>
      <c r="H54" s="8">
        <v>-3.6457317656246602E-3</v>
      </c>
      <c r="I54" s="8">
        <v>197.20542682343748</v>
      </c>
      <c r="K54" s="1">
        <v>2024</v>
      </c>
      <c r="L54" s="19">
        <v>-7.9300667475728059E-2</v>
      </c>
      <c r="M54" s="19">
        <v>-5.6490777354835875E-2</v>
      </c>
      <c r="N54" s="1" t="s">
        <v>36</v>
      </c>
      <c r="P54" s="20">
        <v>3.0022516887664441E-3</v>
      </c>
      <c r="Q54" s="20">
        <v>-2.2658865703946152E-3</v>
      </c>
      <c r="R54" s="7">
        <v>521.32467199999996</v>
      </c>
      <c r="T54" s="22"/>
      <c r="V54" s="7"/>
      <c r="W54" s="7"/>
    </row>
    <row r="55" spans="1:23" x14ac:dyDescent="0.25">
      <c r="A55" s="5">
        <v>45444</v>
      </c>
      <c r="B55" s="6">
        <v>441.58</v>
      </c>
      <c r="C55" s="6">
        <v>2.4277000000000002</v>
      </c>
      <c r="D55" s="7">
        <v>43.691699999999997</v>
      </c>
      <c r="E55" s="7">
        <v>58.102631578947367</v>
      </c>
      <c r="F55" s="7">
        <v>14.41093157894737</v>
      </c>
      <c r="G55" s="8">
        <v>2.3479876207913652</v>
      </c>
      <c r="H55" s="8">
        <v>7.9712379208634943E-2</v>
      </c>
      <c r="I55" s="8">
        <v>206.78123792086345</v>
      </c>
      <c r="J55" s="7"/>
      <c r="K55" s="1">
        <v>2024</v>
      </c>
      <c r="L55" s="19">
        <v>0</v>
      </c>
      <c r="M55" s="19">
        <v>2.8160058136894595E-3</v>
      </c>
      <c r="N55" s="1" t="s">
        <v>37</v>
      </c>
      <c r="P55" s="20">
        <v>2.9932651534048116E-3</v>
      </c>
      <c r="Q55" s="20">
        <v>5.0166090434546895E-3</v>
      </c>
      <c r="R55" s="7">
        <v>522.51606400000003</v>
      </c>
      <c r="T55" s="22"/>
      <c r="V55" s="7"/>
      <c r="W55" s="7"/>
    </row>
    <row r="56" spans="1:23" x14ac:dyDescent="0.25">
      <c r="A56" s="5">
        <v>45474</v>
      </c>
      <c r="B56" s="6">
        <v>471.82</v>
      </c>
      <c r="C56" s="6">
        <v>2.3199999999999998</v>
      </c>
      <c r="D56" s="7">
        <v>44.691699999999997</v>
      </c>
      <c r="E56" s="7">
        <v>62.909333333333329</v>
      </c>
      <c r="F56" s="7">
        <v>18.217633333333332</v>
      </c>
      <c r="G56" s="8">
        <v>2.5143675800112497</v>
      </c>
      <c r="H56" s="8">
        <v>-0.19436758001124987</v>
      </c>
      <c r="I56" s="8">
        <v>220.38324199887501</v>
      </c>
      <c r="K56" s="1">
        <v>2024</v>
      </c>
      <c r="L56" s="19">
        <v>-4.4362977303620821E-2</v>
      </c>
      <c r="M56" s="19">
        <v>6.8481362380542699E-2</v>
      </c>
      <c r="N56" s="1" t="s">
        <v>38</v>
      </c>
      <c r="P56" s="20">
        <v>2.9843322556577512E-3</v>
      </c>
      <c r="Q56" s="20">
        <v>-7.3861720067454062E-3</v>
      </c>
      <c r="R56" s="7">
        <v>551.57065599999999</v>
      </c>
      <c r="T56" s="22"/>
      <c r="V56" s="7"/>
      <c r="W56" s="7"/>
    </row>
    <row r="57" spans="1:23" x14ac:dyDescent="0.25">
      <c r="A57" s="5">
        <v>45505</v>
      </c>
      <c r="B57" s="6">
        <v>445.43</v>
      </c>
      <c r="C57" s="6">
        <v>2.11</v>
      </c>
      <c r="D57" s="7">
        <v>45.691699999999997</v>
      </c>
      <c r="E57" s="7">
        <v>59.390666666666668</v>
      </c>
      <c r="F57" s="7">
        <v>13.698966666666671</v>
      </c>
      <c r="G57" s="8">
        <v>2.3097106565812497</v>
      </c>
      <c r="H57" s="8">
        <v>-0.19971065658124987</v>
      </c>
      <c r="I57" s="8">
        <v>214.45893434187502</v>
      </c>
      <c r="K57" s="1">
        <v>2024</v>
      </c>
      <c r="L57" s="19">
        <v>-9.0517241379310387E-2</v>
      </c>
      <c r="M57" s="19">
        <v>-5.5932347081514067E-2</v>
      </c>
      <c r="N57" s="1" t="s">
        <v>39</v>
      </c>
      <c r="P57" s="20">
        <v>2.9754525167369206E-3</v>
      </c>
      <c r="Q57" s="20">
        <v>7.4411334986919098E-3</v>
      </c>
      <c r="R57" s="7">
        <v>526.21514400000001</v>
      </c>
      <c r="T57" s="22"/>
      <c r="V57" s="7"/>
      <c r="W57" s="7"/>
    </row>
    <row r="58" spans="1:23" x14ac:dyDescent="0.25">
      <c r="A58" s="5">
        <v>45536</v>
      </c>
      <c r="B58" s="6">
        <v>434.63</v>
      </c>
      <c r="C58" s="6">
        <v>2.02</v>
      </c>
      <c r="D58" s="7">
        <v>41.493000000000002</v>
      </c>
      <c r="E58" s="7">
        <v>57.950666666666663</v>
      </c>
      <c r="F58" s="7">
        <v>16.457666666666661</v>
      </c>
      <c r="G58" s="8">
        <v>2.1314703314242185</v>
      </c>
      <c r="H58" s="8">
        <v>-0.11147033142421847</v>
      </c>
      <c r="I58" s="8">
        <v>221.48296685757813</v>
      </c>
      <c r="K58" s="1">
        <v>2024</v>
      </c>
      <c r="L58" s="19">
        <v>-4.2654028436018843E-2</v>
      </c>
      <c r="M58" s="19">
        <v>-2.4246233976157883E-2</v>
      </c>
      <c r="N58" s="1" t="s">
        <v>40</v>
      </c>
      <c r="P58" s="20">
        <v>2.9666254635349887E-3</v>
      </c>
      <c r="Q58" s="20">
        <v>-1.0623946037099596E-2</v>
      </c>
      <c r="R58" s="7">
        <v>515.83850399999994</v>
      </c>
      <c r="T58" s="22"/>
      <c r="V58" s="7"/>
      <c r="W58" s="7"/>
    </row>
    <row r="59" spans="1:23" x14ac:dyDescent="0.25">
      <c r="A59" s="5">
        <v>45566</v>
      </c>
      <c r="B59" s="6">
        <v>470.17</v>
      </c>
      <c r="C59" s="6">
        <v>2.17</v>
      </c>
      <c r="D59" s="7">
        <v>43.290900000000001</v>
      </c>
      <c r="E59" s="7">
        <v>62.689333333333337</v>
      </c>
      <c r="F59" s="7">
        <v>19.398433333333337</v>
      </c>
      <c r="G59" s="8">
        <v>2.2325323760174998</v>
      </c>
      <c r="H59" s="8">
        <v>-6.2532376017499836E-2</v>
      </c>
      <c r="I59" s="8">
        <v>246.91676239825003</v>
      </c>
      <c r="K59" s="1">
        <v>2024</v>
      </c>
      <c r="L59" s="19">
        <v>7.4257425742574323E-2</v>
      </c>
      <c r="M59" s="19">
        <v>8.1770701516232336E-2</v>
      </c>
      <c r="N59" s="1" t="s">
        <v>41</v>
      </c>
      <c r="P59" s="20">
        <v>1.2324377618930793E-3</v>
      </c>
      <c r="Q59" s="20">
        <v>-2.2157831941367334E-3</v>
      </c>
      <c r="R59" s="7">
        <v>549.98533600000007</v>
      </c>
      <c r="T59" s="22"/>
      <c r="V59" s="7"/>
      <c r="W59" s="7"/>
    </row>
    <row r="60" spans="1:23" x14ac:dyDescent="0.25">
      <c r="A60" s="5">
        <v>45597</v>
      </c>
      <c r="B60" s="6">
        <v>483.9</v>
      </c>
      <c r="C60" s="6">
        <v>2.29</v>
      </c>
      <c r="D60" s="7">
        <v>44.668500000000002</v>
      </c>
      <c r="E60" s="7">
        <v>64.52</v>
      </c>
      <c r="F60" s="7">
        <v>19.851499999999994</v>
      </c>
      <c r="G60" s="8">
        <v>2.4390338017789062</v>
      </c>
      <c r="H60" s="8">
        <v>-0.14903380177890613</v>
      </c>
      <c r="I60" s="8">
        <v>239.99661982210935</v>
      </c>
      <c r="K60" s="1">
        <v>2024</v>
      </c>
      <c r="L60" s="19">
        <v>5.5299539170506895E-2</v>
      </c>
      <c r="M60" s="19">
        <v>2.9202203458323472E-2</v>
      </c>
      <c r="N60" s="1" t="s">
        <v>42</v>
      </c>
      <c r="P60" s="20">
        <v>2.9542097488921559E-3</v>
      </c>
      <c r="Q60" s="20">
        <v>-3.2114793303723577E-3</v>
      </c>
      <c r="R60" s="7">
        <v>563.17711999999995</v>
      </c>
      <c r="T60" s="22"/>
      <c r="V60" s="7"/>
      <c r="W60" s="7"/>
    </row>
    <row r="61" spans="1:23" x14ac:dyDescent="0.25">
      <c r="A61" s="5">
        <v>45627</v>
      </c>
      <c r="B61" s="6">
        <v>483.64</v>
      </c>
      <c r="C61" s="6">
        <v>2.5099999999999998</v>
      </c>
      <c r="D61" s="7">
        <v>41.42</v>
      </c>
      <c r="E61" s="7">
        <v>64.48533333333333</v>
      </c>
      <c r="F61" s="7">
        <v>23.065333333333328</v>
      </c>
      <c r="G61" s="8">
        <v>2.5148179093137504</v>
      </c>
      <c r="H61" s="8">
        <v>-4.8179093137505902E-3</v>
      </c>
      <c r="I61" s="8">
        <v>232.15820906862496</v>
      </c>
      <c r="K61" s="1">
        <v>2024</v>
      </c>
      <c r="L61" s="19">
        <v>9.6069868995632968E-2</v>
      </c>
      <c r="M61" s="19">
        <v>-5.3730109526761716E-4</v>
      </c>
      <c r="N61" s="1" t="s">
        <v>43</v>
      </c>
      <c r="P61" s="20">
        <v>3.0682376043207338E-3</v>
      </c>
      <c r="Q61" s="20">
        <v>-2.9133534411845963E-3</v>
      </c>
      <c r="R61" s="7">
        <v>562.92731200000003</v>
      </c>
      <c r="T61" s="22"/>
      <c r="V61" s="7"/>
      <c r="W61" s="7"/>
    </row>
    <row r="62" spans="1:23" x14ac:dyDescent="0.25">
      <c r="A62" s="5">
        <v>45658</v>
      </c>
      <c r="B62" s="6">
        <v>433.45</v>
      </c>
      <c r="C62" s="6">
        <v>2.76</v>
      </c>
      <c r="D62" s="7">
        <v>46.11</v>
      </c>
      <c r="E62" s="7">
        <v>57.793333333333329</v>
      </c>
      <c r="F62" s="7">
        <v>11.68333333333333</v>
      </c>
      <c r="G62" s="8">
        <v>2.0072675986513135</v>
      </c>
      <c r="H62" s="8">
        <v>0.75273240134868624</v>
      </c>
      <c r="I62" s="8">
        <v>232.72324013486863</v>
      </c>
      <c r="K62" s="1">
        <v>2025</v>
      </c>
      <c r="L62" s="19">
        <v>9.960159362549792E-2</v>
      </c>
      <c r="M62" s="19">
        <v>-0.10377553552228935</v>
      </c>
      <c r="N62" s="1" t="s">
        <v>44</v>
      </c>
      <c r="P62" s="20">
        <v>2.9364982258655026E-3</v>
      </c>
      <c r="Q62" s="20">
        <v>-6.8749785156918541E-4</v>
      </c>
      <c r="T62" s="22"/>
      <c r="V62" s="7"/>
      <c r="W62" s="7"/>
    </row>
    <row r="63" spans="1:23" x14ac:dyDescent="0.25">
      <c r="A63" s="5">
        <v>45689</v>
      </c>
      <c r="B63" s="6">
        <v>429.14</v>
      </c>
      <c r="C63" s="6">
        <v>2.7</v>
      </c>
      <c r="D63" s="7">
        <v>45.82</v>
      </c>
      <c r="E63" s="7">
        <v>57.218666666666664</v>
      </c>
      <c r="F63" s="7">
        <v>11.398666666666664</v>
      </c>
      <c r="G63" s="8">
        <v>1.7561055181408647</v>
      </c>
      <c r="H63" s="8">
        <v>0.94389448185913549</v>
      </c>
      <c r="I63" s="8">
        <v>253.52944818591351</v>
      </c>
      <c r="K63" s="1">
        <v>2025</v>
      </c>
      <c r="L63" s="23">
        <v>-2.1739130434782483E-2</v>
      </c>
      <c r="M63" s="23">
        <v>-9.9434767562579518E-3</v>
      </c>
      <c r="N63" s="1" t="s">
        <v>45</v>
      </c>
      <c r="P63" s="20">
        <v>4.1478589727950155E-3</v>
      </c>
      <c r="Q63" s="20">
        <v>0</v>
      </c>
      <c r="T63" s="22"/>
      <c r="V63" s="7"/>
      <c r="W63" s="7"/>
    </row>
    <row r="64" spans="1:23" x14ac:dyDescent="0.25">
      <c r="A64" s="5">
        <v>45717</v>
      </c>
      <c r="B64" s="6">
        <v>402.5</v>
      </c>
      <c r="C64" s="6">
        <v>2.4500000000000002</v>
      </c>
      <c r="D64" s="7">
        <v>42.1</v>
      </c>
      <c r="E64" s="7">
        <v>53.666666666666664</v>
      </c>
      <c r="F64" s="7">
        <v>11.566666666666663</v>
      </c>
      <c r="G64" s="8">
        <v>1.512941044456654</v>
      </c>
      <c r="H64" s="8">
        <v>0.93705895554334617</v>
      </c>
      <c r="I64" s="8">
        <v>251.2058955543346</v>
      </c>
      <c r="K64" s="1">
        <v>2025</v>
      </c>
      <c r="L64" s="23">
        <v>-9.259259259259256E-2</v>
      </c>
      <c r="M64" s="23">
        <v>-6.2077643659411819E-2</v>
      </c>
      <c r="N64" s="1" t="s">
        <v>46</v>
      </c>
      <c r="P64" s="20">
        <v>4.130725306767058E-3</v>
      </c>
      <c r="Q64" s="20">
        <v>-2.2703037391215153E-3</v>
      </c>
      <c r="T64" s="22"/>
      <c r="V64" s="7"/>
      <c r="W64" s="7"/>
    </row>
    <row r="65" spans="1:23" x14ac:dyDescent="0.25">
      <c r="A65" s="5">
        <v>45748</v>
      </c>
      <c r="B65" s="9">
        <v>410.32000000000016</v>
      </c>
      <c r="C65" s="9">
        <v>2.5731999999999999</v>
      </c>
      <c r="D65" s="7">
        <v>42.65</v>
      </c>
      <c r="E65" s="24">
        <v>54.709333333333355</v>
      </c>
      <c r="F65" s="24">
        <v>12.059333333333356</v>
      </c>
      <c r="G65" s="10">
        <v>1.5178214361020856</v>
      </c>
      <c r="H65" s="10">
        <v>1.0553785638979143</v>
      </c>
      <c r="I65" s="8">
        <v>258.53785638979161</v>
      </c>
      <c r="K65" s="1">
        <v>2025</v>
      </c>
      <c r="L65" s="23">
        <v>5.0285714285714267E-2</v>
      </c>
      <c r="M65" s="23">
        <v>1.9428571428571795E-2</v>
      </c>
      <c r="N65" s="1" t="s">
        <v>47</v>
      </c>
      <c r="P65" s="20">
        <v>4.1137326073803493E-3</v>
      </c>
      <c r="Q65" s="20">
        <v>-2.4133770039648228E-3</v>
      </c>
      <c r="T65" s="22"/>
      <c r="V65" s="7"/>
      <c r="W65" s="7"/>
    </row>
    <row r="66" spans="1:23" x14ac:dyDescent="0.25">
      <c r="A66" s="5">
        <v>45778</v>
      </c>
      <c r="B66" s="9">
        <v>424.62000000000012</v>
      </c>
      <c r="C66" s="9">
        <v>2.5461999999999998</v>
      </c>
      <c r="D66" s="7">
        <v>44.25</v>
      </c>
      <c r="E66" s="24">
        <v>56.616000000000014</v>
      </c>
      <c r="F66" s="24">
        <v>12.366000000000014</v>
      </c>
      <c r="G66" s="10">
        <v>1.6317828275280513</v>
      </c>
      <c r="H66" s="10">
        <v>0.91441717247194854</v>
      </c>
      <c r="I66" s="8">
        <v>261.44171724719502</v>
      </c>
      <c r="K66" s="1">
        <v>2025</v>
      </c>
      <c r="L66" s="23">
        <v>-1.0492771646199328E-2</v>
      </c>
      <c r="M66" s="23">
        <v>3.4850848118541444E-2</v>
      </c>
      <c r="N66" s="1" t="s">
        <v>48</v>
      </c>
      <c r="P66" s="20">
        <v>4.0968791420652462E-3</v>
      </c>
      <c r="Q66" s="20">
        <v>-3.594263003283138E-3</v>
      </c>
      <c r="T66" s="22"/>
      <c r="V66" s="7"/>
      <c r="W66" s="7"/>
    </row>
    <row r="67" spans="1:23" x14ac:dyDescent="0.25">
      <c r="A67" s="5">
        <v>45809</v>
      </c>
      <c r="B67" s="9">
        <v>434.09000000000015</v>
      </c>
      <c r="C67" s="9">
        <v>2.6409000000000002</v>
      </c>
      <c r="D67" s="7">
        <v>44.75</v>
      </c>
      <c r="E67" s="24">
        <v>57.878666666666689</v>
      </c>
      <c r="F67" s="24">
        <v>13.128666666666689</v>
      </c>
      <c r="G67" s="10">
        <v>1.677433307158513</v>
      </c>
      <c r="H67" s="10">
        <v>0.96346669284148723</v>
      </c>
      <c r="I67" s="8">
        <v>266.34666928414885</v>
      </c>
      <c r="K67" s="1">
        <v>2025</v>
      </c>
      <c r="L67" s="23">
        <v>3.7192679286780495E-2</v>
      </c>
      <c r="M67" s="23">
        <v>2.2302293815646967E-2</v>
      </c>
      <c r="N67" s="1" t="s">
        <v>49</v>
      </c>
      <c r="P67" s="20">
        <v>4.0801632065281535E-3</v>
      </c>
      <c r="Q67" s="20">
        <v>7.9775241927082519E-4</v>
      </c>
      <c r="T67" s="22"/>
      <c r="V67" s="7"/>
      <c r="W67" s="7"/>
    </row>
    <row r="68" spans="1:23" x14ac:dyDescent="0.25">
      <c r="A68" s="5">
        <v>45839</v>
      </c>
      <c r="B68" s="9">
        <v>439.13000000000011</v>
      </c>
      <c r="C68" s="9">
        <v>2.6913</v>
      </c>
      <c r="D68" s="7">
        <v>44.85</v>
      </c>
      <c r="E68" s="24">
        <v>58.550666666666679</v>
      </c>
      <c r="F68" s="24">
        <v>13.700666666666677</v>
      </c>
      <c r="G68" s="10">
        <v>1.7608804274017595</v>
      </c>
      <c r="H68" s="10">
        <v>0.93041957259824049</v>
      </c>
      <c r="I68" s="8">
        <v>263.04195725982413</v>
      </c>
      <c r="K68" s="1">
        <v>2025</v>
      </c>
      <c r="L68" s="23">
        <v>1.9084403044416609E-2</v>
      </c>
      <c r="M68" s="23">
        <v>1.1610495519362329E-2</v>
      </c>
      <c r="N68" s="1" t="s">
        <v>50</v>
      </c>
      <c r="P68" s="20">
        <v>4.063583124178205E-3</v>
      </c>
      <c r="Q68" s="20">
        <v>-1.4209468357940791E-3</v>
      </c>
      <c r="T68" s="22"/>
      <c r="V68" s="7"/>
      <c r="W68" s="7"/>
    </row>
    <row r="69" spans="1:23" x14ac:dyDescent="0.25">
      <c r="A69" s="5">
        <v>45870</v>
      </c>
      <c r="B69" s="9">
        <v>444.98000000000019</v>
      </c>
      <c r="C69" s="9">
        <v>2.7498</v>
      </c>
      <c r="D69" s="7">
        <v>43.65</v>
      </c>
      <c r="E69" s="24">
        <v>59.330666666666694</v>
      </c>
      <c r="F69" s="24">
        <v>15.680666666666696</v>
      </c>
      <c r="G69" s="10">
        <v>1.8649845881891087</v>
      </c>
      <c r="H69" s="10">
        <v>0.88481541181089129</v>
      </c>
      <c r="I69" s="8">
        <v>258.48154118108931</v>
      </c>
      <c r="K69" s="1">
        <v>2025</v>
      </c>
      <c r="L69" s="23">
        <v>2.1736707167539837E-2</v>
      </c>
      <c r="M69" s="23">
        <v>1.3321795368114397E-2</v>
      </c>
      <c r="N69" s="1" t="s">
        <v>51</v>
      </c>
      <c r="P69" s="20">
        <v>4.0471372455661569E-3</v>
      </c>
      <c r="Q69" s="20">
        <v>-1.5965015791482573E-3</v>
      </c>
      <c r="T69" s="22"/>
    </row>
    <row r="70" spans="1:23" x14ac:dyDescent="0.25">
      <c r="A70" s="5">
        <v>45901</v>
      </c>
      <c r="B70" s="9">
        <v>435.75000000000017</v>
      </c>
      <c r="C70" s="9">
        <v>2.6375000000000002</v>
      </c>
      <c r="D70" s="7">
        <v>41.05</v>
      </c>
      <c r="E70" s="24">
        <v>58.100000000000023</v>
      </c>
      <c r="F70" s="24">
        <v>17.050000000000026</v>
      </c>
      <c r="G70" s="10">
        <v>1.6939522431212002</v>
      </c>
      <c r="H70" s="10">
        <v>0.94354775687879999</v>
      </c>
      <c r="I70" s="8">
        <v>266.35477568788019</v>
      </c>
      <c r="K70" s="1">
        <v>2025</v>
      </c>
      <c r="L70" s="23">
        <v>-4.0839333769728703E-2</v>
      </c>
      <c r="M70" s="23">
        <v>-2.0742505281136303E-2</v>
      </c>
      <c r="N70" s="1" t="s">
        <v>52</v>
      </c>
      <c r="P70" s="20">
        <v>4.1493775933614252E-3</v>
      </c>
      <c r="Q70" s="20">
        <v>-5.2143080613209492E-4</v>
      </c>
      <c r="T70" s="22"/>
    </row>
    <row r="71" spans="1:23" x14ac:dyDescent="0.25">
      <c r="A71" s="5">
        <v>45931</v>
      </c>
      <c r="B71" s="9">
        <v>431.05000000000018</v>
      </c>
      <c r="C71" s="9">
        <v>2.7104999999999997</v>
      </c>
      <c r="D71" s="7">
        <v>41.1</v>
      </c>
      <c r="E71" s="24">
        <v>57.473333333333358</v>
      </c>
      <c r="F71" s="24">
        <v>16.373333333333356</v>
      </c>
      <c r="G71" s="25">
        <v>1.6939522431212002</v>
      </c>
      <c r="H71" s="10">
        <v>1.0165477568787995</v>
      </c>
      <c r="I71" s="8">
        <v>261.65477568788015</v>
      </c>
      <c r="K71" s="1">
        <v>2025</v>
      </c>
      <c r="L71" s="23">
        <v>2.767772511848321E-2</v>
      </c>
      <c r="M71" s="23">
        <v>-1.0786001147446878E-2</v>
      </c>
      <c r="N71" s="1" t="s">
        <v>53</v>
      </c>
      <c r="P71" s="20">
        <v>4.1322314049578868E-3</v>
      </c>
      <c r="Q71" s="20">
        <v>-2.4346132442959467E-3</v>
      </c>
      <c r="T71" s="22"/>
    </row>
    <row r="72" spans="1:23" x14ac:dyDescent="0.25">
      <c r="A72" s="5">
        <v>45962</v>
      </c>
      <c r="B72" s="9">
        <v>435.95000000000016</v>
      </c>
      <c r="C72" s="9">
        <v>2.7595000000000001</v>
      </c>
      <c r="D72" s="7">
        <v>42.45</v>
      </c>
      <c r="E72" s="24">
        <v>58.126666666666686</v>
      </c>
      <c r="F72" s="24">
        <v>15.676666666666684</v>
      </c>
      <c r="G72" s="25">
        <v>1.6939522431212002</v>
      </c>
      <c r="H72" s="10">
        <v>1.0655477568787999</v>
      </c>
      <c r="I72" s="8">
        <v>266.55477568788012</v>
      </c>
      <c r="K72" s="1">
        <v>2025</v>
      </c>
      <c r="L72" s="23">
        <v>1.8077845415975125E-2</v>
      </c>
      <c r="M72" s="23">
        <v>1.1367590766732327E-2</v>
      </c>
      <c r="N72" s="1" t="s">
        <v>54</v>
      </c>
      <c r="P72" s="20">
        <v>4.1152263374490961E-3</v>
      </c>
      <c r="Q72" s="20">
        <v>-9.4135694860888464E-3</v>
      </c>
      <c r="T72" s="22"/>
    </row>
    <row r="73" spans="1:23" x14ac:dyDescent="0.25">
      <c r="A73" s="5">
        <v>45992</v>
      </c>
      <c r="B73" s="9">
        <v>431.11000000000013</v>
      </c>
      <c r="C73" s="9">
        <v>2.7111000000000001</v>
      </c>
      <c r="D73" s="7">
        <v>42.95</v>
      </c>
      <c r="E73" s="24">
        <v>57.481333333333353</v>
      </c>
      <c r="F73" s="24">
        <v>14.53133333333335</v>
      </c>
      <c r="G73" s="25">
        <v>1.6939522431212002</v>
      </c>
      <c r="H73" s="10">
        <v>1.0171477568787999</v>
      </c>
      <c r="I73" s="8">
        <v>261.71477568788009</v>
      </c>
      <c r="K73" s="1">
        <v>2025</v>
      </c>
      <c r="L73" s="23">
        <v>-1.7539409313281351E-2</v>
      </c>
      <c r="M73" s="23">
        <v>-1.1102190618190177E-2</v>
      </c>
      <c r="N73" s="1" t="s">
        <v>55</v>
      </c>
      <c r="P73" s="20">
        <v>3.9812646370023241E-3</v>
      </c>
      <c r="Q73" s="20">
        <v>2.4285513163451178E-3</v>
      </c>
      <c r="T73" s="22"/>
    </row>
    <row r="74" spans="1:23" x14ac:dyDescent="0.25">
      <c r="A74" s="5">
        <v>46023</v>
      </c>
      <c r="B74" s="9">
        <v>440.72000000000014</v>
      </c>
      <c r="C74" s="9">
        <v>2.6727888000000002</v>
      </c>
      <c r="D74" s="7">
        <v>42.45</v>
      </c>
      <c r="E74" s="24">
        <v>58.762666666666682</v>
      </c>
      <c r="F74" s="24">
        <v>16.312666666666679</v>
      </c>
      <c r="G74" s="25">
        <v>2.2933192678346006</v>
      </c>
      <c r="H74" s="10">
        <v>0.37946953216539958</v>
      </c>
      <c r="I74" s="8">
        <v>211.38807321654008</v>
      </c>
      <c r="K74" s="1">
        <v>2026</v>
      </c>
      <c r="L74" s="23">
        <v>5.9498512537192738E-3</v>
      </c>
      <c r="M74" s="23">
        <v>2.2291294565192299E-2</v>
      </c>
      <c r="N74" s="1" t="s">
        <v>56</v>
      </c>
      <c r="P74" s="20">
        <v>8.0000000000000002E-3</v>
      </c>
      <c r="T74" s="22"/>
    </row>
    <row r="75" spans="1:23" x14ac:dyDescent="0.25">
      <c r="A75" s="5">
        <v>46054</v>
      </c>
      <c r="B75" s="9">
        <v>449.66000000000014</v>
      </c>
      <c r="C75" s="9">
        <v>2.6968438992000001</v>
      </c>
      <c r="D75" s="7">
        <v>40.75</v>
      </c>
      <c r="E75" s="24">
        <v>59.954666666666682</v>
      </c>
      <c r="F75" s="24">
        <v>19.204666666666682</v>
      </c>
      <c r="G75" s="25">
        <v>2.405163420065743</v>
      </c>
      <c r="H75" s="10">
        <v>0.2916804791342571</v>
      </c>
      <c r="I75" s="8">
        <v>209.14365799342585</v>
      </c>
      <c r="K75" s="1">
        <v>2026</v>
      </c>
      <c r="L75" s="23">
        <v>5.9498512537192738E-3</v>
      </c>
      <c r="M75" s="23">
        <v>2.0284988201125342E-2</v>
      </c>
      <c r="N75" s="1" t="s">
        <v>57</v>
      </c>
      <c r="P75" s="20">
        <v>9.0000000000000011E-3</v>
      </c>
      <c r="T75" s="22"/>
    </row>
    <row r="76" spans="1:23" x14ac:dyDescent="0.25">
      <c r="A76" s="5">
        <v>46082</v>
      </c>
      <c r="B76" s="9">
        <v>455</v>
      </c>
      <c r="C76" s="9">
        <v>2.7238123381920003</v>
      </c>
      <c r="D76" s="7">
        <v>41.8</v>
      </c>
      <c r="E76" s="24">
        <v>60.666666666666664</v>
      </c>
      <c r="F76" s="24">
        <v>18.866666666666667</v>
      </c>
      <c r="G76" s="25">
        <v>2.4697905032631855</v>
      </c>
      <c r="H76" s="10">
        <v>0.2540218349288148</v>
      </c>
      <c r="I76" s="8">
        <v>208.02094967368146</v>
      </c>
      <c r="K76" s="1">
        <v>2026</v>
      </c>
      <c r="L76" s="23">
        <v>5.9498512537192738E-3</v>
      </c>
      <c r="M76" s="23">
        <v>1.1875639371969671E-2</v>
      </c>
      <c r="N76" s="1" t="s">
        <v>58</v>
      </c>
      <c r="P76" s="20">
        <v>1.0000000000000002E-2</v>
      </c>
      <c r="T76" s="22"/>
    </row>
    <row r="77" spans="1:23" x14ac:dyDescent="0.25">
      <c r="A77" s="5">
        <v>46113</v>
      </c>
      <c r="B77" s="9">
        <v>460</v>
      </c>
      <c r="C77" s="9">
        <v>2.7483266492357283</v>
      </c>
      <c r="D77" s="7">
        <v>42.5</v>
      </c>
      <c r="E77" s="24">
        <v>61.333333333333336</v>
      </c>
      <c r="F77" s="24">
        <v>18.833333333333336</v>
      </c>
      <c r="G77" s="25">
        <v>2.4578187530165532</v>
      </c>
      <c r="H77" s="10">
        <v>0.29050789621917517</v>
      </c>
      <c r="I77" s="8">
        <v>214.2181246983447</v>
      </c>
      <c r="K77" s="1">
        <v>2026</v>
      </c>
      <c r="L77" s="23">
        <v>5.9146599070549755E-3</v>
      </c>
      <c r="M77" s="23">
        <v>1.098901098901095E-2</v>
      </c>
      <c r="N77" s="1" t="s">
        <v>59</v>
      </c>
      <c r="P77" s="20">
        <v>9.0000000000000011E-3</v>
      </c>
      <c r="T77" s="22"/>
    </row>
    <row r="78" spans="1:23" x14ac:dyDescent="0.25">
      <c r="A78" s="5">
        <v>46143</v>
      </c>
      <c r="B78" s="9">
        <v>462.5</v>
      </c>
      <c r="C78" s="9">
        <v>2.7703132624296143</v>
      </c>
      <c r="D78" s="7">
        <v>43.5</v>
      </c>
      <c r="E78" s="24">
        <v>61.666666666666664</v>
      </c>
      <c r="F78" s="24">
        <v>18.166666666666664</v>
      </c>
      <c r="G78" s="25">
        <v>2.4630967705183342</v>
      </c>
      <c r="H78" s="10">
        <v>0.30721649191128009</v>
      </c>
      <c r="I78" s="8">
        <v>216.19032294816657</v>
      </c>
      <c r="K78" s="1">
        <v>2026</v>
      </c>
      <c r="L78" s="23">
        <v>5.9146599070549755E-3</v>
      </c>
      <c r="M78" s="23">
        <v>5.4347826086955653E-3</v>
      </c>
      <c r="N78" s="1" t="s">
        <v>60</v>
      </c>
      <c r="P78" s="20">
        <v>8.0000000000000002E-3</v>
      </c>
      <c r="T78" s="22"/>
    </row>
    <row r="79" spans="1:23" x14ac:dyDescent="0.25">
      <c r="A79" s="5">
        <v>46174</v>
      </c>
      <c r="B79" s="9">
        <v>465</v>
      </c>
      <c r="C79" s="9">
        <v>2.7897054552666214</v>
      </c>
      <c r="D79" s="7">
        <v>44.5</v>
      </c>
      <c r="E79" s="24">
        <v>62</v>
      </c>
      <c r="F79" s="24">
        <v>17.5</v>
      </c>
      <c r="G79" s="25">
        <v>2.4494184727430741</v>
      </c>
      <c r="H79" s="10">
        <v>0.34028698252354728</v>
      </c>
      <c r="I79" s="8">
        <v>220.05815272569259</v>
      </c>
      <c r="K79" s="1">
        <v>2026</v>
      </c>
      <c r="L79" s="23">
        <v>5.9146599070549755E-3</v>
      </c>
      <c r="M79" s="23">
        <v>5.4054054054053502E-3</v>
      </c>
      <c r="N79" s="1" t="s">
        <v>61</v>
      </c>
      <c r="P79" s="20">
        <v>7.0000000000000001E-3</v>
      </c>
      <c r="T79" s="22"/>
    </row>
    <row r="80" spans="1:23" x14ac:dyDescent="0.25">
      <c r="A80" s="5">
        <v>46204</v>
      </c>
      <c r="B80" s="9">
        <v>467.5</v>
      </c>
      <c r="C80" s="9">
        <v>2.8064436879982213</v>
      </c>
      <c r="D80" s="7">
        <v>44.5</v>
      </c>
      <c r="E80" s="24">
        <v>62.333333333333336</v>
      </c>
      <c r="F80" s="24">
        <v>17.833333333333336</v>
      </c>
      <c r="G80" s="25">
        <v>2.4698325427986312</v>
      </c>
      <c r="H80" s="10">
        <v>0.33661114519959012</v>
      </c>
      <c r="I80" s="8">
        <v>220.5167457201369</v>
      </c>
      <c r="K80" s="1">
        <v>2026</v>
      </c>
      <c r="L80" s="23">
        <v>6.019879602407352E-3</v>
      </c>
      <c r="M80" s="23">
        <v>5.3763440860215006E-3</v>
      </c>
      <c r="N80" s="1" t="s">
        <v>62</v>
      </c>
      <c r="P80" s="20">
        <v>6.0000000000000001E-3</v>
      </c>
      <c r="T80" s="22"/>
    </row>
    <row r="81" spans="1:20" x14ac:dyDescent="0.25">
      <c r="A81" s="5">
        <v>46235</v>
      </c>
      <c r="B81" s="9">
        <v>470</v>
      </c>
      <c r="C81" s="9">
        <v>2.8204759064382126</v>
      </c>
      <c r="D81" s="7">
        <v>43.5</v>
      </c>
      <c r="E81" s="24">
        <v>62.666666666666664</v>
      </c>
      <c r="F81" s="24">
        <v>19.166666666666664</v>
      </c>
      <c r="G81" s="25">
        <v>2.4955982100198106</v>
      </c>
      <c r="H81" s="10">
        <v>0.32487769641840192</v>
      </c>
      <c r="I81" s="8">
        <v>220.44017899801895</v>
      </c>
      <c r="K81" s="1">
        <v>2026</v>
      </c>
      <c r="L81" s="23">
        <v>6.019879602407352E-3</v>
      </c>
      <c r="M81" s="23">
        <v>5.3475935828877219E-3</v>
      </c>
      <c r="N81" s="1" t="s">
        <v>63</v>
      </c>
      <c r="P81" s="20">
        <v>5.0000000000000001E-3</v>
      </c>
      <c r="T81" s="22"/>
    </row>
    <row r="82" spans="1:20" x14ac:dyDescent="0.25">
      <c r="A82" s="5">
        <v>46266</v>
      </c>
      <c r="B82" s="9">
        <v>472.5</v>
      </c>
      <c r="C82" s="9">
        <v>2.8317578100639653</v>
      </c>
      <c r="D82" s="7">
        <v>45.75</v>
      </c>
      <c r="E82" s="24">
        <v>63</v>
      </c>
      <c r="F82" s="24">
        <v>17.25</v>
      </c>
      <c r="G82" s="25">
        <v>2.4884099520769145</v>
      </c>
      <c r="H82" s="10">
        <v>0.34334785798705081</v>
      </c>
      <c r="I82" s="8">
        <v>223.65900479230854</v>
      </c>
      <c r="K82" s="1">
        <v>2026</v>
      </c>
      <c r="L82" s="23">
        <v>6.019879602407352E-3</v>
      </c>
      <c r="M82" s="23">
        <v>5.3191489361701372E-3</v>
      </c>
      <c r="N82" s="1" t="s">
        <v>64</v>
      </c>
      <c r="P82" s="20">
        <v>4.0000000000000001E-3</v>
      </c>
      <c r="T82" s="22"/>
    </row>
    <row r="83" spans="1:20" x14ac:dyDescent="0.25">
      <c r="A83" s="5">
        <v>46296</v>
      </c>
      <c r="B83" s="9">
        <v>475</v>
      </c>
      <c r="C83" s="9">
        <v>2.8459165991142852</v>
      </c>
      <c r="D83" s="7">
        <v>45</v>
      </c>
      <c r="E83" s="24">
        <v>63.333333333333336</v>
      </c>
      <c r="F83" s="24">
        <v>18.333333333333336</v>
      </c>
      <c r="G83" s="25">
        <v>2.5204900145989586</v>
      </c>
      <c r="H83" s="10">
        <v>0.32542658451532658</v>
      </c>
      <c r="I83" s="8">
        <v>222.95099854010414</v>
      </c>
      <c r="K83" s="1">
        <v>2026</v>
      </c>
      <c r="L83" s="23">
        <v>5.9838575006965211E-3</v>
      </c>
      <c r="M83" s="23">
        <v>5.2910052910053462E-3</v>
      </c>
      <c r="N83" s="1" t="s">
        <v>65</v>
      </c>
      <c r="P83" s="20">
        <v>5.0000000000000001E-3</v>
      </c>
      <c r="T83" s="22"/>
    </row>
    <row r="84" spans="1:20" x14ac:dyDescent="0.25">
      <c r="A84" s="5">
        <v>46327</v>
      </c>
      <c r="B84" s="9">
        <v>477.5</v>
      </c>
      <c r="C84" s="9">
        <v>2.862992098708971</v>
      </c>
      <c r="D84" s="7">
        <v>47</v>
      </c>
      <c r="E84" s="24">
        <v>63.666666666666664</v>
      </c>
      <c r="F84" s="24">
        <v>16.666666666666664</v>
      </c>
      <c r="G84" s="25">
        <v>2.5277104099191363</v>
      </c>
      <c r="H84" s="10">
        <v>0.33528168878983466</v>
      </c>
      <c r="I84" s="8">
        <v>224.72895900808638</v>
      </c>
      <c r="K84" s="1">
        <v>2026</v>
      </c>
      <c r="L84" s="23">
        <v>5.9838575006965211E-3</v>
      </c>
      <c r="M84" s="23">
        <v>5.2631578947368585E-3</v>
      </c>
      <c r="N84" s="1" t="s">
        <v>66</v>
      </c>
      <c r="P84" s="20">
        <v>6.0000000000000001E-3</v>
      </c>
      <c r="T84" s="22"/>
    </row>
    <row r="85" spans="1:20" x14ac:dyDescent="0.25">
      <c r="A85" s="5">
        <v>46357</v>
      </c>
      <c r="B85" s="9">
        <v>480</v>
      </c>
      <c r="C85" s="9">
        <v>2.8830330433999336</v>
      </c>
      <c r="D85" s="7">
        <v>47.5</v>
      </c>
      <c r="E85" s="24">
        <v>64</v>
      </c>
      <c r="F85" s="24">
        <v>16.5</v>
      </c>
      <c r="G85" s="25">
        <v>2.5076448331555241</v>
      </c>
      <c r="H85" s="10">
        <v>0.37538821024440949</v>
      </c>
      <c r="I85" s="8">
        <v>229.23551668444759</v>
      </c>
      <c r="K85" s="1">
        <v>2026</v>
      </c>
      <c r="L85" s="23">
        <v>5.9838575006965211E-3</v>
      </c>
      <c r="M85" s="23">
        <v>5.2356020942407877E-3</v>
      </c>
      <c r="N85" s="1" t="s">
        <v>67</v>
      </c>
      <c r="P85" s="20">
        <v>7.0000000000000001E-3</v>
      </c>
      <c r="T85" s="22"/>
    </row>
    <row r="86" spans="1:20" x14ac:dyDescent="0.25">
      <c r="A86" s="5">
        <v>46388</v>
      </c>
      <c r="B86" s="9">
        <v>485</v>
      </c>
      <c r="C86" s="9">
        <v>2.906097307747133</v>
      </c>
      <c r="D86" s="7">
        <v>46</v>
      </c>
      <c r="E86" s="24">
        <v>64.666666666666671</v>
      </c>
      <c r="F86" s="24">
        <v>18.666666666666671</v>
      </c>
      <c r="G86" s="25">
        <v>2.6276102361879192</v>
      </c>
      <c r="H86" s="10">
        <v>0.27848707155921382</v>
      </c>
      <c r="I86" s="8">
        <v>222.23897638120809</v>
      </c>
      <c r="K86" s="1">
        <v>2027</v>
      </c>
      <c r="L86" s="23">
        <v>7.0549176926264501E-3</v>
      </c>
      <c r="M86" s="23">
        <v>1.0416666666666741E-2</v>
      </c>
      <c r="N86" s="1" t="s">
        <v>68</v>
      </c>
      <c r="P86" s="20">
        <v>8.0000000000000002E-3</v>
      </c>
      <c r="T86" s="22"/>
    </row>
    <row r="87" spans="1:20" x14ac:dyDescent="0.25">
      <c r="A87" s="5">
        <v>46419</v>
      </c>
      <c r="B87" s="9">
        <v>487.5</v>
      </c>
      <c r="C87" s="9">
        <v>2.9264399889013628</v>
      </c>
      <c r="D87" s="7">
        <v>44.25</v>
      </c>
      <c r="E87" s="24">
        <v>65</v>
      </c>
      <c r="F87" s="24">
        <v>20.75</v>
      </c>
      <c r="G87" s="25">
        <v>2.7020179532774784</v>
      </c>
      <c r="H87" s="10">
        <v>0.22442203562388441</v>
      </c>
      <c r="I87" s="8">
        <v>217.29820467225215</v>
      </c>
      <c r="K87" s="1">
        <v>2027</v>
      </c>
      <c r="L87" s="23">
        <v>7.0549176926264501E-3</v>
      </c>
      <c r="M87" s="23">
        <v>5.1546391752577136E-3</v>
      </c>
      <c r="N87" s="1" t="s">
        <v>69</v>
      </c>
      <c r="P87" s="20">
        <v>7.0000000000000001E-3</v>
      </c>
      <c r="T87" s="22"/>
    </row>
    <row r="88" spans="1:20" x14ac:dyDescent="0.25">
      <c r="A88" s="5">
        <v>46447</v>
      </c>
      <c r="B88" s="9">
        <v>490</v>
      </c>
      <c r="C88" s="9">
        <v>2.943998628834771</v>
      </c>
      <c r="D88" s="7">
        <v>44.75</v>
      </c>
      <c r="E88" s="24">
        <v>65.333333333333329</v>
      </c>
      <c r="F88" s="24">
        <v>20.583333333333329</v>
      </c>
      <c r="G88" s="25">
        <v>2.7379891421866773</v>
      </c>
      <c r="H88" s="10">
        <v>0.20600948664809371</v>
      </c>
      <c r="I88" s="8">
        <v>216.20108578133227</v>
      </c>
      <c r="K88" s="1">
        <v>2027</v>
      </c>
      <c r="L88" s="23">
        <v>7.0549176926264501E-3</v>
      </c>
      <c r="M88" s="23">
        <v>5.12820512820511E-3</v>
      </c>
      <c r="N88" s="1" t="s">
        <v>70</v>
      </c>
      <c r="P88" s="20">
        <v>6.0000000000000001E-3</v>
      </c>
      <c r="T88" s="22"/>
    </row>
    <row r="89" spans="1:20" x14ac:dyDescent="0.25">
      <c r="A89" s="5">
        <v>46478</v>
      </c>
      <c r="B89" s="9">
        <v>492.5</v>
      </c>
      <c r="C89" s="9">
        <v>2.958718621978945</v>
      </c>
      <c r="D89" s="7">
        <v>45.5</v>
      </c>
      <c r="E89" s="24">
        <v>65.666666666666671</v>
      </c>
      <c r="F89" s="24">
        <v>20.166666666666671</v>
      </c>
      <c r="G89" s="25">
        <v>2.5823309074112988</v>
      </c>
      <c r="H89" s="10">
        <v>0.37638771456764619</v>
      </c>
      <c r="I89" s="8">
        <v>234.2669092588701</v>
      </c>
      <c r="K89" s="1">
        <v>2027</v>
      </c>
      <c r="L89" s="23">
        <v>7.0054945054949247E-3</v>
      </c>
      <c r="M89" s="23">
        <v>5.1020408163264808E-3</v>
      </c>
      <c r="N89" s="1" t="s">
        <v>71</v>
      </c>
      <c r="P89" s="20">
        <v>5.0000000000000001E-3</v>
      </c>
      <c r="T89" s="22"/>
    </row>
    <row r="90" spans="1:20" x14ac:dyDescent="0.25">
      <c r="A90" s="5">
        <v>46508</v>
      </c>
      <c r="B90" s="9">
        <v>495</v>
      </c>
      <c r="C90" s="9">
        <v>2.9705534964668607</v>
      </c>
      <c r="D90" s="7">
        <v>46</v>
      </c>
      <c r="E90" s="24">
        <v>66</v>
      </c>
      <c r="F90" s="24">
        <v>20</v>
      </c>
      <c r="G90" s="25">
        <v>2.5839296909643044</v>
      </c>
      <c r="H90" s="10">
        <v>0.38662380550255637</v>
      </c>
      <c r="I90" s="8">
        <v>236.60703090356958</v>
      </c>
      <c r="K90" s="1">
        <v>2027</v>
      </c>
      <c r="L90" s="23">
        <v>7.0054945054949247E-3</v>
      </c>
      <c r="M90" s="23">
        <v>5.0761421319795996E-3</v>
      </c>
      <c r="N90" s="1" t="s">
        <v>72</v>
      </c>
      <c r="P90" s="20">
        <v>4.0000000000000001E-3</v>
      </c>
      <c r="T90" s="22"/>
    </row>
    <row r="91" spans="1:20" x14ac:dyDescent="0.25">
      <c r="A91" s="5">
        <v>46539</v>
      </c>
      <c r="B91" s="9">
        <v>497.5</v>
      </c>
      <c r="C91" s="9">
        <v>2.9824357104527284</v>
      </c>
      <c r="D91" s="7">
        <v>46.75</v>
      </c>
      <c r="E91" s="24">
        <v>66.333333333333329</v>
      </c>
      <c r="F91" s="24">
        <v>19.583333333333329</v>
      </c>
      <c r="G91" s="25">
        <v>2.551119821254233</v>
      </c>
      <c r="H91" s="10">
        <v>0.43131588919849539</v>
      </c>
      <c r="I91" s="8">
        <v>242.38801787457669</v>
      </c>
      <c r="K91" s="1">
        <v>2027</v>
      </c>
      <c r="L91" s="23">
        <v>7.0054945054949247E-3</v>
      </c>
      <c r="M91" s="23">
        <v>5.050505050504972E-3</v>
      </c>
      <c r="N91" s="1" t="s">
        <v>73</v>
      </c>
      <c r="P91" s="20">
        <v>4.0000000000000001E-3</v>
      </c>
      <c r="T91" s="22"/>
    </row>
    <row r="92" spans="1:20" x14ac:dyDescent="0.25">
      <c r="A92" s="5">
        <v>46569</v>
      </c>
      <c r="B92" s="9">
        <v>500</v>
      </c>
      <c r="C92" s="9">
        <v>2.9943654532945394</v>
      </c>
      <c r="D92" s="7">
        <v>47</v>
      </c>
      <c r="E92" s="24">
        <v>66.666666666666671</v>
      </c>
      <c r="F92" s="24">
        <v>19.666666666666671</v>
      </c>
      <c r="G92" s="25">
        <v>2.7698030391267214</v>
      </c>
      <c r="H92" s="10">
        <v>0.22456241416781797</v>
      </c>
      <c r="I92" s="8">
        <v>223.01969608732787</v>
      </c>
      <c r="K92" s="1">
        <v>2027</v>
      </c>
      <c r="L92" s="23">
        <v>6.9567589687622444E-3</v>
      </c>
      <c r="M92" s="23">
        <v>5.0251256281406143E-3</v>
      </c>
      <c r="N92" s="1" t="s">
        <v>74</v>
      </c>
      <c r="P92" s="20">
        <v>4.0000000000000001E-3</v>
      </c>
      <c r="T92" s="22"/>
    </row>
    <row r="93" spans="1:20" x14ac:dyDescent="0.25">
      <c r="A93" s="5">
        <v>46600</v>
      </c>
      <c r="B93" s="9">
        <v>502.5</v>
      </c>
      <c r="C93" s="9">
        <v>3.0063429151077177</v>
      </c>
      <c r="D93" s="7">
        <v>46</v>
      </c>
      <c r="E93" s="24">
        <v>67</v>
      </c>
      <c r="F93" s="24">
        <v>21</v>
      </c>
      <c r="G93" s="25">
        <v>2.8172330666645182</v>
      </c>
      <c r="H93" s="10">
        <v>0.18910984844319945</v>
      </c>
      <c r="I93" s="8">
        <v>220.77669333354817</v>
      </c>
      <c r="K93" s="1">
        <v>2027</v>
      </c>
      <c r="L93" s="23">
        <v>6.9567589687622444E-3</v>
      </c>
      <c r="M93" s="23">
        <v>4.9999999999998934E-3</v>
      </c>
      <c r="N93" s="1" t="s">
        <v>75</v>
      </c>
      <c r="P93" s="20">
        <v>4.0000000000000001E-3</v>
      </c>
      <c r="T93" s="22"/>
    </row>
    <row r="94" spans="1:20" x14ac:dyDescent="0.25">
      <c r="A94" s="5">
        <v>46631</v>
      </c>
      <c r="B94" s="9">
        <v>498</v>
      </c>
      <c r="C94" s="9">
        <v>3.0183682867681485</v>
      </c>
      <c r="D94" s="7">
        <v>45.75</v>
      </c>
      <c r="E94" s="24">
        <v>66.400000000000006</v>
      </c>
      <c r="F94" s="24">
        <v>20.650000000000006</v>
      </c>
      <c r="G94" s="25">
        <v>2.7406049542547817</v>
      </c>
      <c r="H94" s="10">
        <v>0.27776333251336682</v>
      </c>
      <c r="I94" s="8">
        <v>223.93950457452183</v>
      </c>
      <c r="K94" s="1">
        <v>2027</v>
      </c>
      <c r="L94" s="23">
        <v>6.9567589687622444E-3</v>
      </c>
      <c r="M94" s="23">
        <v>-8.9552238805969964E-3</v>
      </c>
      <c r="N94" s="1" t="s">
        <v>76</v>
      </c>
      <c r="P94" s="20">
        <v>4.0000000000000001E-3</v>
      </c>
      <c r="T94" s="22"/>
    </row>
    <row r="95" spans="1:20" x14ac:dyDescent="0.25">
      <c r="A95" s="5">
        <v>46661</v>
      </c>
      <c r="B95" s="9">
        <v>500</v>
      </c>
      <c r="C95" s="9">
        <v>3.0304417599152211</v>
      </c>
      <c r="D95" s="7">
        <v>47</v>
      </c>
      <c r="E95" s="24">
        <v>66.666666666666671</v>
      </c>
      <c r="F95" s="24">
        <v>19.666666666666671</v>
      </c>
      <c r="G95" s="25">
        <v>2.7083912348556849</v>
      </c>
      <c r="H95" s="10">
        <v>0.32205052505953624</v>
      </c>
      <c r="I95" s="8">
        <v>229.16087651443149</v>
      </c>
      <c r="K95" s="1">
        <v>2027</v>
      </c>
      <c r="L95" s="23">
        <v>7.0441614738558922E-3</v>
      </c>
      <c r="M95" s="23">
        <v>4.0160642570281624E-3</v>
      </c>
      <c r="N95" s="1" t="s">
        <v>77</v>
      </c>
      <c r="P95" s="20">
        <v>4.0000000000000001E-3</v>
      </c>
      <c r="T95" s="22"/>
    </row>
    <row r="96" spans="1:20" x14ac:dyDescent="0.25">
      <c r="A96" s="5">
        <v>46692</v>
      </c>
      <c r="B96" s="9">
        <v>502.5</v>
      </c>
      <c r="C96" s="9">
        <v>3.045593968714797</v>
      </c>
      <c r="D96" s="7">
        <v>48.5</v>
      </c>
      <c r="E96" s="24">
        <v>67</v>
      </c>
      <c r="F96" s="24">
        <v>18.5</v>
      </c>
      <c r="G96" s="25">
        <v>2.744428936702012</v>
      </c>
      <c r="H96" s="10">
        <v>0.30116503201278499</v>
      </c>
      <c r="I96" s="8">
        <v>228.05710632979878</v>
      </c>
      <c r="K96" s="1">
        <v>2027</v>
      </c>
      <c r="L96" s="23">
        <v>7.0441614738558922E-3</v>
      </c>
      <c r="M96" s="23">
        <v>4.9999999999998934E-3</v>
      </c>
      <c r="N96" s="1" t="s">
        <v>78</v>
      </c>
      <c r="P96" s="20">
        <v>5.0000000000000001E-3</v>
      </c>
      <c r="T96" s="22"/>
    </row>
    <row r="97" spans="1:20" x14ac:dyDescent="0.25">
      <c r="A97" s="5">
        <v>46722</v>
      </c>
      <c r="B97" s="9">
        <v>505</v>
      </c>
      <c r="C97" s="9">
        <v>3.0638675325270857</v>
      </c>
      <c r="D97" s="7">
        <v>48</v>
      </c>
      <c r="E97" s="24">
        <v>67.333333333333329</v>
      </c>
      <c r="F97" s="24">
        <v>19.333333333333329</v>
      </c>
      <c r="G97" s="25">
        <v>2.7467933874761967</v>
      </c>
      <c r="H97" s="10">
        <v>0.31707414505088893</v>
      </c>
      <c r="I97" s="8">
        <v>230.32066125238032</v>
      </c>
      <c r="K97" s="1">
        <v>2027</v>
      </c>
      <c r="L97" s="23">
        <v>7.0441614738558922E-3</v>
      </c>
      <c r="M97" s="23">
        <v>4.9751243781095411E-3</v>
      </c>
      <c r="N97" s="1" t="s">
        <v>79</v>
      </c>
      <c r="P97" s="20">
        <v>6.0000000000000001E-3</v>
      </c>
      <c r="T97" s="22"/>
    </row>
    <row r="98" spans="1:20" x14ac:dyDescent="0.25">
      <c r="A98" s="5">
        <v>46753</v>
      </c>
      <c r="B98" s="9">
        <v>467.5</v>
      </c>
      <c r="C98" s="9">
        <v>3.0853146052547751</v>
      </c>
      <c r="D98" s="7">
        <v>47.5</v>
      </c>
      <c r="E98" s="24">
        <v>62.333333333333336</v>
      </c>
      <c r="F98" s="24">
        <v>14.833333333333336</v>
      </c>
      <c r="G98" s="25">
        <v>3.072277942783145</v>
      </c>
      <c r="H98" s="10">
        <v>1.3036662471630045E-2</v>
      </c>
      <c r="I98" s="8">
        <v>160.27220572168551</v>
      </c>
      <c r="K98" s="1">
        <v>2028</v>
      </c>
      <c r="L98" s="23">
        <v>6.9948883508199611E-3</v>
      </c>
      <c r="M98" s="23">
        <v>-7.4257425742574212E-2</v>
      </c>
      <c r="N98" s="1" t="s">
        <v>80</v>
      </c>
      <c r="P98" s="20">
        <v>7.0000000000000001E-3</v>
      </c>
      <c r="T98" s="22"/>
    </row>
    <row r="99" spans="1:20" x14ac:dyDescent="0.25">
      <c r="A99" s="5">
        <v>46784</v>
      </c>
      <c r="B99" s="9">
        <v>470</v>
      </c>
      <c r="C99" s="9">
        <v>3.1038264928863035</v>
      </c>
      <c r="D99" s="7">
        <v>45.5</v>
      </c>
      <c r="E99" s="24">
        <v>62.666666666666664</v>
      </c>
      <c r="F99" s="24">
        <v>17.166666666666664</v>
      </c>
      <c r="G99" s="25">
        <v>3.1702621329774705</v>
      </c>
      <c r="H99" s="10">
        <v>-6.6435640091166981E-2</v>
      </c>
      <c r="I99" s="8">
        <v>152.97378670225294</v>
      </c>
      <c r="K99" s="1">
        <v>2028</v>
      </c>
      <c r="L99" s="23">
        <v>6.9948883508199611E-3</v>
      </c>
      <c r="M99" s="23">
        <v>5.3475935828877219E-3</v>
      </c>
      <c r="N99" s="1" t="s">
        <v>81</v>
      </c>
      <c r="P99" s="20">
        <v>6.0000000000000001E-3</v>
      </c>
      <c r="T99" s="22"/>
    </row>
    <row r="100" spans="1:20" x14ac:dyDescent="0.25">
      <c r="A100" s="5">
        <v>46813</v>
      </c>
      <c r="B100" s="9">
        <v>472.5</v>
      </c>
      <c r="C100" s="9">
        <v>2.9193456253507351</v>
      </c>
      <c r="D100" s="7">
        <v>46</v>
      </c>
      <c r="E100" s="24">
        <v>63</v>
      </c>
      <c r="F100" s="24">
        <v>17</v>
      </c>
      <c r="G100" s="25">
        <v>3.1989413669262468</v>
      </c>
      <c r="H100" s="10">
        <v>-0.2795957415755117</v>
      </c>
      <c r="I100" s="8">
        <v>152.60586330737533</v>
      </c>
      <c r="K100" s="1">
        <v>2028</v>
      </c>
      <c r="L100" s="23">
        <v>6.9948883508199611E-3</v>
      </c>
      <c r="M100" s="23">
        <v>5.3191489361701372E-3</v>
      </c>
      <c r="N100" s="1" t="s">
        <v>82</v>
      </c>
      <c r="P100" s="20">
        <v>5.0000000000000001E-3</v>
      </c>
      <c r="T100" s="22"/>
    </row>
    <row r="101" spans="1:20" x14ac:dyDescent="0.25">
      <c r="A101" s="5">
        <v>46844</v>
      </c>
      <c r="B101" s="9">
        <v>475</v>
      </c>
      <c r="C101" s="9">
        <v>2.9310230078521382</v>
      </c>
      <c r="D101" s="7">
        <v>47</v>
      </c>
      <c r="E101" s="24">
        <v>63.333333333333336</v>
      </c>
      <c r="F101" s="24">
        <v>16.333333333333336</v>
      </c>
      <c r="G101" s="25">
        <v>2.7583787992810742</v>
      </c>
      <c r="H101" s="10">
        <v>0.172644208571064</v>
      </c>
      <c r="I101" s="8">
        <v>199.16212007189256</v>
      </c>
      <c r="K101" s="1">
        <v>2028</v>
      </c>
      <c r="L101" s="23">
        <v>6.9462997595515219E-3</v>
      </c>
      <c r="M101" s="23">
        <v>5.2910052910053462E-3</v>
      </c>
      <c r="N101" s="1" t="s">
        <v>83</v>
      </c>
      <c r="P101" s="20">
        <v>4.0000000000000001E-3</v>
      </c>
      <c r="T101" s="22"/>
    </row>
    <row r="102" spans="1:20" x14ac:dyDescent="0.25">
      <c r="A102" s="5">
        <v>46874</v>
      </c>
      <c r="B102" s="9">
        <v>497.5</v>
      </c>
      <c r="C102" s="9">
        <v>2.9486091458992512</v>
      </c>
      <c r="D102" s="7">
        <v>48</v>
      </c>
      <c r="E102" s="24">
        <v>66.333333333333329</v>
      </c>
      <c r="F102" s="24">
        <v>18.333333333333329</v>
      </c>
      <c r="G102" s="25">
        <v>2.9365763663870839</v>
      </c>
      <c r="H102" s="10">
        <v>1.2032779512167302E-2</v>
      </c>
      <c r="I102" s="8">
        <v>203.84236336129163</v>
      </c>
      <c r="K102" s="1">
        <v>2028</v>
      </c>
      <c r="L102" s="23">
        <v>6.9462997595515219E-3</v>
      </c>
      <c r="M102" s="23">
        <v>4.7368421052631504E-2</v>
      </c>
      <c r="N102" s="1" t="s">
        <v>84</v>
      </c>
      <c r="P102" s="20">
        <v>6.0000000000000001E-3</v>
      </c>
      <c r="T102" s="22"/>
    </row>
    <row r="103" spans="1:20" x14ac:dyDescent="0.25">
      <c r="A103" s="5">
        <v>46905</v>
      </c>
      <c r="B103" s="9">
        <v>512.5</v>
      </c>
      <c r="C103" s="9">
        <v>2.972198019066445</v>
      </c>
      <c r="D103" s="7">
        <v>48.5</v>
      </c>
      <c r="E103" s="24">
        <v>68.333333333333329</v>
      </c>
      <c r="F103" s="24">
        <v>19.833333333333329</v>
      </c>
      <c r="G103" s="25">
        <v>3.0377590598609334</v>
      </c>
      <c r="H103" s="10">
        <v>-6.5561040794488434E-2</v>
      </c>
      <c r="I103" s="8">
        <v>208.72409401390667</v>
      </c>
      <c r="K103" s="1">
        <v>2028</v>
      </c>
      <c r="L103" s="23">
        <v>6.9462997595515219E-3</v>
      </c>
      <c r="M103" s="23">
        <v>3.015075376884413E-2</v>
      </c>
      <c r="N103" s="1" t="s">
        <v>85</v>
      </c>
      <c r="P103" s="20">
        <v>8.0000000000000002E-3</v>
      </c>
      <c r="T103" s="22"/>
    </row>
    <row r="104" spans="1:20" x14ac:dyDescent="0.25">
      <c r="A104" s="5">
        <v>46935</v>
      </c>
      <c r="B104" s="9">
        <v>517.5</v>
      </c>
      <c r="C104" s="9">
        <v>3.0019199992571095</v>
      </c>
      <c r="D104" s="7">
        <v>48</v>
      </c>
      <c r="E104" s="24">
        <v>69</v>
      </c>
      <c r="F104" s="24">
        <v>21</v>
      </c>
      <c r="G104" s="25">
        <v>3.5126651152905195</v>
      </c>
      <c r="H104" s="10">
        <v>-0.51074511603341</v>
      </c>
      <c r="I104" s="8">
        <v>166.23348847094803</v>
      </c>
      <c r="K104" s="1">
        <v>2028</v>
      </c>
      <c r="L104" s="23">
        <v>7.0310427169004708E-3</v>
      </c>
      <c r="M104" s="23">
        <v>9.7560975609756184E-3</v>
      </c>
      <c r="N104" s="1" t="s">
        <v>86</v>
      </c>
      <c r="P104" s="20">
        <v>0.01</v>
      </c>
      <c r="T104" s="22"/>
    </row>
    <row r="105" spans="1:20" x14ac:dyDescent="0.25">
      <c r="A105" s="5">
        <v>46966</v>
      </c>
      <c r="B105" s="9">
        <v>522.5</v>
      </c>
      <c r="C105" s="9">
        <v>3.0379430392481948</v>
      </c>
      <c r="D105" s="7">
        <v>47.5</v>
      </c>
      <c r="E105" s="24">
        <v>69.666666666666671</v>
      </c>
      <c r="F105" s="24">
        <v>22.166666666666671</v>
      </c>
      <c r="G105" s="25">
        <v>3.561693926381321</v>
      </c>
      <c r="H105" s="10">
        <v>-0.52375088713312623</v>
      </c>
      <c r="I105" s="8">
        <v>166.33060736186792</v>
      </c>
      <c r="K105" s="1">
        <v>2028</v>
      </c>
      <c r="L105" s="23">
        <v>7.0310427169004708E-3</v>
      </c>
      <c r="M105" s="23">
        <v>9.6618357487923134E-3</v>
      </c>
      <c r="N105" s="1" t="s">
        <v>87</v>
      </c>
      <c r="P105" s="20">
        <v>1.2E-2</v>
      </c>
      <c r="T105" s="22"/>
    </row>
    <row r="106" spans="1:20" x14ac:dyDescent="0.25">
      <c r="A106" s="5">
        <v>46997</v>
      </c>
      <c r="B106" s="9">
        <v>550</v>
      </c>
      <c r="C106" s="9">
        <v>3.0804742417976696</v>
      </c>
      <c r="D106" s="7">
        <v>50</v>
      </c>
      <c r="E106" s="24">
        <v>73.333333333333329</v>
      </c>
      <c r="F106" s="24">
        <v>23.333333333333329</v>
      </c>
      <c r="G106" s="25">
        <v>3.1232280693442296</v>
      </c>
      <c r="H106" s="10">
        <v>-4.2753827546559986E-2</v>
      </c>
      <c r="I106" s="8">
        <v>237.67719306557706</v>
      </c>
      <c r="K106" s="1">
        <v>2028</v>
      </c>
      <c r="L106" s="23">
        <v>7.0310427169004708E-3</v>
      </c>
      <c r="M106" s="23">
        <v>5.2631578947368363E-2</v>
      </c>
      <c r="N106" s="1" t="s">
        <v>88</v>
      </c>
      <c r="P106" s="20">
        <v>1.4E-2</v>
      </c>
      <c r="T106" s="22"/>
    </row>
    <row r="107" spans="1:20" x14ac:dyDescent="0.25">
      <c r="A107" s="5">
        <v>47027</v>
      </c>
      <c r="B107" s="9">
        <v>560</v>
      </c>
      <c r="C107" s="9">
        <v>3.1297618296664322</v>
      </c>
      <c r="D107" s="7">
        <v>49.75</v>
      </c>
      <c r="E107" s="24">
        <v>74.666666666666671</v>
      </c>
      <c r="F107" s="24">
        <v>24.916666666666671</v>
      </c>
      <c r="G107" s="25">
        <v>3.6988034669429335</v>
      </c>
      <c r="H107" s="10">
        <v>-0.56904163727650126</v>
      </c>
      <c r="I107" s="8">
        <v>190.11965330570666</v>
      </c>
      <c r="K107" s="1">
        <v>2028</v>
      </c>
      <c r="L107" s="23">
        <v>6.9819523119489801E-3</v>
      </c>
      <c r="M107" s="23">
        <v>1.8181818181818077E-2</v>
      </c>
      <c r="N107" s="1" t="s">
        <v>89</v>
      </c>
      <c r="P107" s="20">
        <v>1.6E-2</v>
      </c>
      <c r="T107" s="22"/>
    </row>
    <row r="108" spans="1:20" x14ac:dyDescent="0.25">
      <c r="A108" s="5">
        <v>47058</v>
      </c>
      <c r="B108" s="9">
        <v>570</v>
      </c>
      <c r="C108" s="9">
        <v>3.1860975426004279</v>
      </c>
      <c r="D108" s="7">
        <v>50</v>
      </c>
      <c r="E108" s="24">
        <v>76</v>
      </c>
      <c r="F108" s="24">
        <v>26</v>
      </c>
      <c r="G108" s="25">
        <v>3.8466798495901329</v>
      </c>
      <c r="H108" s="10">
        <v>-0.66058230698970499</v>
      </c>
      <c r="I108" s="8">
        <v>185.33201504098673</v>
      </c>
      <c r="K108" s="1">
        <v>2028</v>
      </c>
      <c r="L108" s="23">
        <v>6.9819523119489801E-3</v>
      </c>
      <c r="M108" s="23">
        <v>1.7857142857142794E-2</v>
      </c>
      <c r="N108" s="1" t="s">
        <v>90</v>
      </c>
      <c r="P108" s="20">
        <v>1.8000000000000002E-2</v>
      </c>
      <c r="T108" s="22"/>
    </row>
    <row r="109" spans="1:20" x14ac:dyDescent="0.25">
      <c r="A109" s="5">
        <v>47088</v>
      </c>
      <c r="B109" s="9">
        <v>582.5</v>
      </c>
      <c r="C109" s="9">
        <v>3.7498194934524363</v>
      </c>
      <c r="D109" s="7">
        <v>50.75</v>
      </c>
      <c r="E109" s="24">
        <v>77.666666666666671</v>
      </c>
      <c r="F109" s="24">
        <v>26.916666666666671</v>
      </c>
      <c r="G109" s="25">
        <v>3.9311619348404849</v>
      </c>
      <c r="H109" s="10">
        <v>-0.18134244138804867</v>
      </c>
      <c r="I109" s="8">
        <v>189.38380651595151</v>
      </c>
      <c r="K109" s="1">
        <v>2028</v>
      </c>
      <c r="L109" s="23">
        <v>6.9819523119489801E-3</v>
      </c>
      <c r="M109" s="23">
        <v>2.1929824561403466E-2</v>
      </c>
      <c r="N109" s="1" t="s">
        <v>91</v>
      </c>
      <c r="P109" s="20">
        <v>2.0000000000000004E-2</v>
      </c>
      <c r="T109" s="22"/>
    </row>
    <row r="110" spans="1:20" x14ac:dyDescent="0.25">
      <c r="A110" s="5">
        <v>47119</v>
      </c>
      <c r="B110" s="9">
        <v>582.5</v>
      </c>
      <c r="C110" s="9">
        <v>3.8135664248411278</v>
      </c>
      <c r="D110" s="7">
        <v>51</v>
      </c>
      <c r="E110" s="24">
        <v>77.666666666666671</v>
      </c>
      <c r="F110" s="24">
        <v>26.666666666666671</v>
      </c>
      <c r="G110" s="25">
        <v>3.7591794855055141</v>
      </c>
      <c r="H110" s="10">
        <v>5.4386939335613782E-2</v>
      </c>
      <c r="I110" s="8">
        <v>206.58205144944861</v>
      </c>
      <c r="K110" s="1">
        <v>2029</v>
      </c>
      <c r="L110" s="23">
        <v>7.0643642072205637E-3</v>
      </c>
      <c r="M110" s="23">
        <v>0</v>
      </c>
      <c r="N110" s="1" t="s">
        <v>92</v>
      </c>
      <c r="P110" s="20">
        <v>1.7000000000000005E-2</v>
      </c>
      <c r="T110" s="22"/>
    </row>
    <row r="111" spans="1:20" x14ac:dyDescent="0.25">
      <c r="A111" s="5">
        <v>47150</v>
      </c>
      <c r="B111" s="9">
        <v>570</v>
      </c>
      <c r="C111" s="9">
        <v>3.8669563547889036</v>
      </c>
      <c r="D111" s="7">
        <v>49</v>
      </c>
      <c r="E111" s="24">
        <v>76</v>
      </c>
      <c r="F111" s="24">
        <v>27</v>
      </c>
      <c r="G111" s="25">
        <v>3.6598717207394156</v>
      </c>
      <c r="H111" s="10">
        <v>0.20708463404948807</v>
      </c>
      <c r="I111" s="8">
        <v>204.01282792605843</v>
      </c>
      <c r="K111" s="1">
        <v>2029</v>
      </c>
      <c r="L111" s="23">
        <v>7.0643642072205637E-3</v>
      </c>
      <c r="M111" s="23">
        <v>-2.1459227467811148E-2</v>
      </c>
      <c r="N111" s="1" t="s">
        <v>93</v>
      </c>
      <c r="P111" s="20">
        <v>1.4000000000000005E-2</v>
      </c>
      <c r="T111" s="22"/>
    </row>
    <row r="112" spans="1:20" x14ac:dyDescent="0.25">
      <c r="A112" s="5">
        <v>47178</v>
      </c>
      <c r="B112" s="9">
        <v>577.5</v>
      </c>
      <c r="C112" s="9">
        <v>3.7094928746915814</v>
      </c>
      <c r="D112" s="7">
        <v>50</v>
      </c>
      <c r="E112" s="24">
        <v>77</v>
      </c>
      <c r="F112" s="24">
        <v>27</v>
      </c>
      <c r="G112" s="25">
        <v>3.6989014680037333</v>
      </c>
      <c r="H112" s="10">
        <v>1.0591406687848082E-2</v>
      </c>
      <c r="I112" s="8">
        <v>207.60985319962668</v>
      </c>
      <c r="K112" s="1">
        <v>2029</v>
      </c>
      <c r="L112" s="23">
        <v>7.0643642072205637E-3</v>
      </c>
      <c r="M112" s="23">
        <v>1.3157894736842035E-2</v>
      </c>
      <c r="N112" s="1" t="s">
        <v>94</v>
      </c>
      <c r="P112" s="20">
        <v>1.1000000000000006E-2</v>
      </c>
      <c r="T112" s="22"/>
    </row>
    <row r="113" spans="1:20" x14ac:dyDescent="0.25">
      <c r="A113" s="5">
        <v>47209</v>
      </c>
      <c r="B113" s="9">
        <v>582.5</v>
      </c>
      <c r="C113" s="9">
        <v>3.5391688176891138</v>
      </c>
      <c r="D113" s="7">
        <v>50.5</v>
      </c>
      <c r="E113" s="24">
        <v>77.666666666666671</v>
      </c>
      <c r="F113" s="24">
        <v>27.166666666666671</v>
      </c>
      <c r="G113" s="25">
        <v>3.4678018728947846</v>
      </c>
      <c r="H113" s="10">
        <v>7.1366944794329257E-2</v>
      </c>
      <c r="I113" s="8">
        <v>235.71981271052152</v>
      </c>
      <c r="K113" s="1">
        <v>2029</v>
      </c>
      <c r="L113" s="23">
        <v>7.0148090413100217E-3</v>
      </c>
      <c r="M113" s="23">
        <v>8.6580086580085869E-3</v>
      </c>
      <c r="N113" s="1" t="s">
        <v>95</v>
      </c>
      <c r="P113" s="20">
        <v>8.0000000000000071E-3</v>
      </c>
      <c r="T113" s="22"/>
    </row>
    <row r="114" spans="1:20" x14ac:dyDescent="0.25">
      <c r="A114" s="5">
        <v>47239</v>
      </c>
      <c r="B114" s="9">
        <v>615</v>
      </c>
      <c r="C114" s="9">
        <v>3.5568646617775594</v>
      </c>
      <c r="D114" s="7">
        <v>51</v>
      </c>
      <c r="E114" s="24">
        <v>82</v>
      </c>
      <c r="F114" s="24">
        <v>31</v>
      </c>
      <c r="G114" s="25">
        <v>3.7639845663686344</v>
      </c>
      <c r="H114" s="10">
        <v>-0.20711990459107499</v>
      </c>
      <c r="I114" s="8">
        <v>238.60154336313656</v>
      </c>
      <c r="K114" s="1">
        <v>2029</v>
      </c>
      <c r="L114" s="23">
        <v>7.0148090413100217E-3</v>
      </c>
      <c r="M114" s="23">
        <v>5.579399141630903E-2</v>
      </c>
      <c r="N114" s="1" t="s">
        <v>96</v>
      </c>
      <c r="P114" s="20">
        <v>5.000000000000007E-3</v>
      </c>
      <c r="T114" s="22"/>
    </row>
    <row r="115" spans="1:20" x14ac:dyDescent="0.25">
      <c r="A115" s="5">
        <v>47270</v>
      </c>
      <c r="B115" s="9">
        <v>615</v>
      </c>
      <c r="C115" s="9">
        <v>3.5639783911011147</v>
      </c>
      <c r="D115" s="7">
        <v>51</v>
      </c>
      <c r="E115" s="24">
        <v>82</v>
      </c>
      <c r="F115" s="24">
        <v>31</v>
      </c>
      <c r="G115" s="25">
        <v>3.7396121610124409</v>
      </c>
      <c r="H115" s="10">
        <v>-0.17563376991132618</v>
      </c>
      <c r="I115" s="8">
        <v>241.03878389875592</v>
      </c>
      <c r="K115" s="1">
        <v>2029</v>
      </c>
      <c r="L115" s="23">
        <v>7.0148090413100217E-3</v>
      </c>
      <c r="M115" s="23">
        <v>0</v>
      </c>
      <c r="N115" s="1" t="s">
        <v>97</v>
      </c>
      <c r="P115" s="20">
        <v>2.000000000000007E-3</v>
      </c>
      <c r="T115" s="22"/>
    </row>
    <row r="116" spans="1:20" x14ac:dyDescent="0.25">
      <c r="A116" s="5">
        <v>47300</v>
      </c>
      <c r="B116" s="9">
        <v>635</v>
      </c>
      <c r="C116" s="9">
        <v>3.6104144127100133</v>
      </c>
      <c r="D116" s="7">
        <v>50.5</v>
      </c>
      <c r="E116" s="24">
        <v>84.666666666666671</v>
      </c>
      <c r="F116" s="24">
        <v>34.166666666666671</v>
      </c>
      <c r="G116" s="25">
        <v>4.4346914295432267</v>
      </c>
      <c r="H116" s="10">
        <v>-0.82427701683321342</v>
      </c>
      <c r="I116" s="8">
        <v>191.53085704567735</v>
      </c>
      <c r="K116" s="1">
        <v>2029</v>
      </c>
      <c r="L116" s="23">
        <v>6.965944272446345E-3</v>
      </c>
      <c r="M116" s="23">
        <v>3.2520325203251987E-2</v>
      </c>
      <c r="N116" s="1" t="s">
        <v>98</v>
      </c>
      <c r="P116" s="20">
        <v>-9.9999999999999308E-4</v>
      </c>
      <c r="T116" s="22"/>
    </row>
    <row r="117" spans="1:20" x14ac:dyDescent="0.25">
      <c r="A117" s="5">
        <v>47331</v>
      </c>
      <c r="B117" s="9">
        <v>632.5</v>
      </c>
      <c r="C117" s="9">
        <v>3.7959727550591733</v>
      </c>
      <c r="D117" s="7">
        <v>50</v>
      </c>
      <c r="E117" s="24">
        <v>84.333333333333329</v>
      </c>
      <c r="F117" s="24">
        <v>34.333333333333329</v>
      </c>
      <c r="G117" s="25">
        <v>4.395180015436142</v>
      </c>
      <c r="H117" s="10">
        <v>-0.5992072603769687</v>
      </c>
      <c r="I117" s="8">
        <v>192.98199845638578</v>
      </c>
      <c r="K117" s="1">
        <v>2029</v>
      </c>
      <c r="L117" s="23">
        <v>6.965944272446345E-3</v>
      </c>
      <c r="M117" s="23">
        <v>-3.937007874015741E-3</v>
      </c>
      <c r="N117" s="1" t="s">
        <v>99</v>
      </c>
      <c r="P117" s="20">
        <v>-3.9999999999999931E-3</v>
      </c>
      <c r="T117" s="22"/>
    </row>
    <row r="118" spans="1:20" x14ac:dyDescent="0.25">
      <c r="A118" s="5">
        <v>47362</v>
      </c>
      <c r="B118" s="9">
        <v>627.5</v>
      </c>
      <c r="C118" s="9">
        <v>3.7694009457737589</v>
      </c>
      <c r="D118" s="7">
        <v>53</v>
      </c>
      <c r="E118" s="24">
        <v>83.666666666666671</v>
      </c>
      <c r="F118" s="24">
        <v>30.666666666666671</v>
      </c>
      <c r="G118" s="25">
        <v>4.2210209869916318</v>
      </c>
      <c r="H118" s="10">
        <v>-0.4516200412178728</v>
      </c>
      <c r="I118" s="8">
        <v>205.39790130083685</v>
      </c>
      <c r="K118" s="1">
        <v>2029</v>
      </c>
      <c r="L118" s="23">
        <v>6.965944272446345E-3</v>
      </c>
      <c r="M118" s="23">
        <v>-7.905138339920903E-3</v>
      </c>
      <c r="N118" s="1" t="s">
        <v>100</v>
      </c>
      <c r="P118" s="20">
        <v>-6.9999999999999932E-3</v>
      </c>
      <c r="T118" s="22"/>
    </row>
    <row r="119" spans="1:20" x14ac:dyDescent="0.25">
      <c r="A119" s="5">
        <v>47392</v>
      </c>
      <c r="B119" s="9">
        <v>620</v>
      </c>
      <c r="C119" s="9">
        <v>3.7317069363160216</v>
      </c>
      <c r="D119" s="7">
        <v>54.5</v>
      </c>
      <c r="E119" s="24">
        <v>82.666666666666671</v>
      </c>
      <c r="F119" s="24">
        <v>28.166666666666671</v>
      </c>
      <c r="G119" s="25">
        <v>4.2497846849266381</v>
      </c>
      <c r="H119" s="10">
        <v>-0.51807774861061651</v>
      </c>
      <c r="I119" s="8">
        <v>195.02153150733619</v>
      </c>
      <c r="K119" s="1">
        <v>2029</v>
      </c>
      <c r="L119" s="23">
        <v>7.0458621573143976E-3</v>
      </c>
      <c r="M119" s="23">
        <v>-1.195219123505975E-2</v>
      </c>
      <c r="N119" s="1" t="s">
        <v>101</v>
      </c>
      <c r="P119" s="20">
        <v>-9.9999999999999933E-3</v>
      </c>
      <c r="T119" s="22"/>
    </row>
    <row r="120" spans="1:20" x14ac:dyDescent="0.25">
      <c r="A120" s="5">
        <v>47423</v>
      </c>
      <c r="B120" s="9">
        <v>612.5</v>
      </c>
      <c r="C120" s="9">
        <v>3.6831947461439132</v>
      </c>
      <c r="D120" s="7">
        <v>56</v>
      </c>
      <c r="E120" s="24">
        <v>81.666666666666671</v>
      </c>
      <c r="F120" s="24">
        <v>25.666666666666671</v>
      </c>
      <c r="G120" s="25">
        <v>4.2104062966938116</v>
      </c>
      <c r="H120" s="10">
        <v>-0.52721155054989843</v>
      </c>
      <c r="I120" s="8">
        <v>191.45937033061887</v>
      </c>
      <c r="K120" s="1">
        <v>2029</v>
      </c>
      <c r="L120" s="23">
        <v>7.0458621573143976E-3</v>
      </c>
      <c r="M120" s="23">
        <v>-1.2096774193548376E-2</v>
      </c>
      <c r="N120" s="1" t="s">
        <v>102</v>
      </c>
      <c r="P120" s="20">
        <v>-1.2999999999999994E-2</v>
      </c>
      <c r="T120" s="22"/>
    </row>
    <row r="121" spans="1:20" x14ac:dyDescent="0.25">
      <c r="A121" s="5">
        <v>47453</v>
      </c>
      <c r="B121" s="9">
        <v>602.5</v>
      </c>
      <c r="C121" s="9">
        <v>3.9242636302056102</v>
      </c>
      <c r="D121" s="7">
        <v>59.25</v>
      </c>
      <c r="E121" s="24">
        <v>80.333333333333329</v>
      </c>
      <c r="F121" s="24">
        <v>21.083333333333329</v>
      </c>
      <c r="G121" s="25">
        <v>4.1599627501049579</v>
      </c>
      <c r="H121" s="10">
        <v>-0.23569911989934766</v>
      </c>
      <c r="I121" s="8">
        <v>186.50372498950424</v>
      </c>
      <c r="K121" s="1">
        <v>2029</v>
      </c>
      <c r="L121" s="23">
        <v>7.0458621573143976E-3</v>
      </c>
      <c r="M121" s="23">
        <v>-1.6326530612244872E-2</v>
      </c>
      <c r="N121" s="1" t="s">
        <v>103</v>
      </c>
      <c r="P121" s="20">
        <v>-1.5999999999999993E-2</v>
      </c>
      <c r="T121" s="22"/>
    </row>
    <row r="122" spans="1:20" x14ac:dyDescent="0.25">
      <c r="A122" s="5">
        <v>47484</v>
      </c>
      <c r="B122" s="9">
        <v>602.5</v>
      </c>
      <c r="C122" s="9">
        <v>3.9949003755493111</v>
      </c>
      <c r="D122" s="7">
        <v>58.5</v>
      </c>
      <c r="E122" s="24">
        <v>80.333333333333329</v>
      </c>
      <c r="F122" s="24">
        <v>21.833333333333329</v>
      </c>
      <c r="G122" s="25">
        <v>4.2132308790679431</v>
      </c>
      <c r="H122" s="10">
        <v>-0.21833050351863204</v>
      </c>
      <c r="I122" s="8">
        <v>181.17691209320571</v>
      </c>
      <c r="K122" s="1">
        <v>2030</v>
      </c>
      <c r="L122" s="23">
        <v>6.9965653224774993E-3</v>
      </c>
      <c r="M122" s="23">
        <v>0</v>
      </c>
      <c r="N122" s="1" t="s">
        <v>104</v>
      </c>
      <c r="P122" s="20">
        <v>1.8000000000000006E-2</v>
      </c>
      <c r="T122" s="22"/>
    </row>
    <row r="123" spans="1:20" x14ac:dyDescent="0.25">
      <c r="A123" s="5">
        <v>47515</v>
      </c>
      <c r="B123" s="9">
        <v>612.5</v>
      </c>
      <c r="C123" s="9">
        <v>4.0548238811825508</v>
      </c>
      <c r="D123" s="7">
        <v>58.25</v>
      </c>
      <c r="E123" s="24">
        <v>81.666666666666671</v>
      </c>
      <c r="F123" s="24">
        <v>23.416666666666671</v>
      </c>
      <c r="G123" s="25">
        <v>4.3465958476080591</v>
      </c>
      <c r="H123" s="10">
        <v>-0.29177196642550829</v>
      </c>
      <c r="I123" s="8">
        <v>177.8404152391941</v>
      </c>
      <c r="K123" s="1">
        <v>2030</v>
      </c>
      <c r="L123" s="23">
        <v>6.9965653224774993E-3</v>
      </c>
      <c r="M123" s="23">
        <v>1.6597510373443924E-2</v>
      </c>
      <c r="N123" s="1" t="s">
        <v>105</v>
      </c>
      <c r="P123" s="20">
        <v>1.5000000000000006E-2</v>
      </c>
      <c r="T123" s="22"/>
    </row>
    <row r="124" spans="1:20" x14ac:dyDescent="0.25">
      <c r="A124" s="5">
        <v>47543</v>
      </c>
      <c r="B124" s="9">
        <v>620</v>
      </c>
      <c r="C124" s="9">
        <v>4.1034817677567412</v>
      </c>
      <c r="D124" s="7">
        <v>59</v>
      </c>
      <c r="E124" s="24">
        <v>82.666666666666671</v>
      </c>
      <c r="F124" s="24">
        <v>23.666666666666671</v>
      </c>
      <c r="G124" s="25">
        <v>4.3783698878188337</v>
      </c>
      <c r="H124" s="10">
        <v>-0.27488812006209251</v>
      </c>
      <c r="I124" s="8">
        <v>182.16301121811665</v>
      </c>
      <c r="K124" s="1">
        <v>2030</v>
      </c>
      <c r="L124" s="23">
        <v>6.9965653224774993E-3</v>
      </c>
      <c r="M124" s="23">
        <v>1.2244897959183598E-2</v>
      </c>
      <c r="N124" s="1" t="s">
        <v>106</v>
      </c>
      <c r="P124" s="20">
        <v>1.2000000000000007E-2</v>
      </c>
      <c r="T124" s="22"/>
    </row>
    <row r="125" spans="1:20" x14ac:dyDescent="0.25">
      <c r="A125" s="5">
        <v>47574</v>
      </c>
      <c r="B125" s="9">
        <v>625</v>
      </c>
      <c r="C125" s="9">
        <v>4.1404131036665524</v>
      </c>
      <c r="D125" s="7">
        <v>59</v>
      </c>
      <c r="E125" s="24">
        <v>83.333333333333329</v>
      </c>
      <c r="F125" s="24">
        <v>24.333333333333329</v>
      </c>
      <c r="G125" s="25">
        <v>3.8107992620885951</v>
      </c>
      <c r="H125" s="10">
        <v>0.32961384157795726</v>
      </c>
      <c r="I125" s="8">
        <v>243.92007379114051</v>
      </c>
      <c r="K125" s="1">
        <v>2030</v>
      </c>
      <c r="L125" s="23">
        <v>6.9479535118750491E-3</v>
      </c>
      <c r="M125" s="23">
        <v>8.0645161290322509E-3</v>
      </c>
      <c r="N125" s="1" t="s">
        <v>107</v>
      </c>
      <c r="P125" s="20">
        <v>9.000000000000008E-3</v>
      </c>
      <c r="T125" s="22"/>
    </row>
    <row r="126" spans="1:20" x14ac:dyDescent="0.25">
      <c r="A126" s="5">
        <v>47604</v>
      </c>
      <c r="B126" s="9">
        <v>630</v>
      </c>
      <c r="C126" s="9">
        <v>4.1652555822885518</v>
      </c>
      <c r="D126" s="7">
        <v>59.75</v>
      </c>
      <c r="E126" s="24">
        <v>84</v>
      </c>
      <c r="F126" s="24">
        <v>24.25</v>
      </c>
      <c r="G126" s="25">
        <v>3.8202813473389465</v>
      </c>
      <c r="H126" s="10">
        <v>0.34497423494960522</v>
      </c>
      <c r="I126" s="8">
        <v>247.97186526610534</v>
      </c>
      <c r="K126" s="1">
        <v>2030</v>
      </c>
      <c r="L126" s="23">
        <v>6.9479535118750491E-3</v>
      </c>
      <c r="M126" s="23">
        <v>8.0000000000000071E-3</v>
      </c>
      <c r="N126" s="1" t="s">
        <v>108</v>
      </c>
      <c r="P126" s="20">
        <v>6.0000000000000071E-3</v>
      </c>
      <c r="T126" s="22"/>
    </row>
    <row r="127" spans="1:20" x14ac:dyDescent="0.25">
      <c r="A127" s="5">
        <v>47635</v>
      </c>
      <c r="B127" s="9">
        <v>632.5</v>
      </c>
      <c r="C127" s="9">
        <v>3.9777513490354171</v>
      </c>
      <c r="D127" s="7">
        <v>59.75</v>
      </c>
      <c r="E127" s="24">
        <v>84.333333333333329</v>
      </c>
      <c r="F127" s="24">
        <v>24.583333333333329</v>
      </c>
      <c r="G127" s="25">
        <v>3.7927848068640215</v>
      </c>
      <c r="H127" s="10">
        <v>0.18496654217139552</v>
      </c>
      <c r="I127" s="8">
        <v>253.22151931359787</v>
      </c>
      <c r="K127" s="1">
        <v>2030</v>
      </c>
      <c r="L127" s="23">
        <v>6.9479535118750491E-3</v>
      </c>
      <c r="M127" s="23">
        <v>3.9682539682539542E-3</v>
      </c>
      <c r="N127" s="1" t="s">
        <v>109</v>
      </c>
      <c r="P127" s="20">
        <v>3.000000000000007E-3</v>
      </c>
      <c r="T127" s="22"/>
    </row>
    <row r="128" spans="1:20" x14ac:dyDescent="0.25">
      <c r="A128" s="5">
        <v>47665</v>
      </c>
      <c r="B128" s="9">
        <v>637.5</v>
      </c>
      <c r="C128" s="9">
        <v>3.9777513490354171</v>
      </c>
      <c r="D128" s="7">
        <v>59.75</v>
      </c>
      <c r="E128" s="24">
        <v>85</v>
      </c>
      <c r="F128" s="24">
        <v>25.25</v>
      </c>
      <c r="G128" s="25">
        <v>4.524347759725905</v>
      </c>
      <c r="H128" s="10">
        <v>-0.54659641069048792</v>
      </c>
      <c r="I128" s="8">
        <v>185.0652240274095</v>
      </c>
      <c r="K128" s="1">
        <v>2030</v>
      </c>
      <c r="L128" s="23">
        <v>7.025467319031975E-3</v>
      </c>
      <c r="M128" s="23">
        <v>7.905138339920903E-3</v>
      </c>
      <c r="N128" s="1" t="s">
        <v>110</v>
      </c>
      <c r="P128" s="20">
        <v>6.9388939039072284E-18</v>
      </c>
      <c r="T128" s="22"/>
    </row>
    <row r="129" spans="1:20" x14ac:dyDescent="0.25">
      <c r="A129" s="5">
        <v>47696</v>
      </c>
      <c r="B129" s="9">
        <v>635</v>
      </c>
      <c r="C129" s="9">
        <v>3.9658180949883106</v>
      </c>
      <c r="D129" s="7">
        <v>59.75</v>
      </c>
      <c r="E129" s="24">
        <v>84.666666666666671</v>
      </c>
      <c r="F129" s="24">
        <v>24.916666666666671</v>
      </c>
      <c r="G129" s="25">
        <v>4.4803914444488662</v>
      </c>
      <c r="H129" s="10">
        <v>-0.51457334946055555</v>
      </c>
      <c r="I129" s="8">
        <v>186.96085555511337</v>
      </c>
      <c r="K129" s="1">
        <v>2030</v>
      </c>
      <c r="L129" s="23">
        <v>7.025467319031975E-3</v>
      </c>
      <c r="M129" s="23">
        <v>-3.9215686274509665E-3</v>
      </c>
      <c r="N129" s="1" t="s">
        <v>111</v>
      </c>
      <c r="P129" s="20">
        <v>-2.9999999999999931E-3</v>
      </c>
      <c r="T129" s="22"/>
    </row>
    <row r="130" spans="1:20" x14ac:dyDescent="0.25">
      <c r="A130" s="5">
        <v>47727</v>
      </c>
      <c r="B130" s="9">
        <v>630</v>
      </c>
      <c r="C130" s="9">
        <v>3.9420231864183806</v>
      </c>
      <c r="D130" s="7">
        <v>59.75</v>
      </c>
      <c r="E130" s="24">
        <v>84</v>
      </c>
      <c r="F130" s="24">
        <v>24.25</v>
      </c>
      <c r="G130" s="25">
        <v>4.3762305436573214</v>
      </c>
      <c r="H130" s="10">
        <v>-0.43420735723894088</v>
      </c>
      <c r="I130" s="8">
        <v>192.37694563426783</v>
      </c>
      <c r="K130" s="1">
        <v>2030</v>
      </c>
      <c r="L130" s="23">
        <v>7.025467319031975E-3</v>
      </c>
      <c r="M130" s="23">
        <v>-7.8740157480314821E-3</v>
      </c>
      <c r="N130" s="1" t="s">
        <v>112</v>
      </c>
      <c r="P130" s="20">
        <v>-5.9999999999999932E-3</v>
      </c>
      <c r="T130" s="22"/>
    </row>
    <row r="131" spans="1:20" x14ac:dyDescent="0.25">
      <c r="A131" s="5">
        <v>47757</v>
      </c>
      <c r="B131" s="9">
        <v>625</v>
      </c>
      <c r="C131" s="9">
        <v>3.9065449777406154</v>
      </c>
      <c r="D131" s="7">
        <v>59.75</v>
      </c>
      <c r="E131" s="24">
        <v>83.333333333333329</v>
      </c>
      <c r="F131" s="24">
        <v>23.583333333333329</v>
      </c>
      <c r="G131" s="25">
        <v>4.3325770652414182</v>
      </c>
      <c r="H131" s="10">
        <v>-0.42603208750080279</v>
      </c>
      <c r="I131" s="8">
        <v>191.74229347585816</v>
      </c>
      <c r="K131" s="1">
        <v>2030</v>
      </c>
      <c r="L131" s="23">
        <v>6.9764544661761185E-3</v>
      </c>
      <c r="M131" s="23">
        <v>-7.9365079365079083E-3</v>
      </c>
      <c r="N131" s="1" t="s">
        <v>113</v>
      </c>
      <c r="P131" s="20">
        <v>-8.9999999999999941E-3</v>
      </c>
      <c r="T131" s="22"/>
    </row>
    <row r="132" spans="1:20" x14ac:dyDescent="0.25">
      <c r="A132" s="5">
        <v>47788</v>
      </c>
      <c r="B132" s="9">
        <v>617.5</v>
      </c>
      <c r="C132" s="9">
        <v>3.8596664380077281</v>
      </c>
      <c r="D132" s="7">
        <v>59.75</v>
      </c>
      <c r="E132" s="24">
        <v>82.333333333333329</v>
      </c>
      <c r="F132" s="24">
        <v>22.583333333333329</v>
      </c>
      <c r="G132" s="25">
        <v>4.3252781912308471</v>
      </c>
      <c r="H132" s="10">
        <v>-0.46561175322311898</v>
      </c>
      <c r="I132" s="8">
        <v>184.97218087691527</v>
      </c>
      <c r="K132" s="1">
        <v>2030</v>
      </c>
      <c r="L132" s="23">
        <v>6.9764544661761185E-3</v>
      </c>
      <c r="M132" s="23">
        <v>-1.2000000000000011E-2</v>
      </c>
      <c r="N132" s="1" t="s">
        <v>114</v>
      </c>
      <c r="P132" s="20">
        <v>-1.1999999999999993E-2</v>
      </c>
      <c r="T132" s="22"/>
    </row>
    <row r="133" spans="1:20" x14ac:dyDescent="0.25">
      <c r="A133" s="5">
        <v>47818</v>
      </c>
      <c r="B133" s="9">
        <v>587.5</v>
      </c>
      <c r="C133" s="9">
        <v>4.0017714414376124</v>
      </c>
      <c r="D133" s="7">
        <v>61</v>
      </c>
      <c r="E133" s="24">
        <v>78.333333333333329</v>
      </c>
      <c r="F133" s="24">
        <v>17.333333333333329</v>
      </c>
      <c r="G133" s="25">
        <v>3.9532349249154723</v>
      </c>
      <c r="H133" s="10">
        <v>4.8536516522140083E-2</v>
      </c>
      <c r="I133" s="8">
        <v>192.17650750845274</v>
      </c>
      <c r="K133" s="1">
        <v>2030</v>
      </c>
      <c r="L133" s="23">
        <v>6.9764544661761185E-3</v>
      </c>
      <c r="M133" s="23">
        <v>-4.8582995951417018E-2</v>
      </c>
      <c r="N133" s="1" t="s">
        <v>115</v>
      </c>
      <c r="P133" s="20">
        <v>-1.4999999999999993E-2</v>
      </c>
      <c r="T133" s="22"/>
    </row>
    <row r="134" spans="1:20" x14ac:dyDescent="0.25">
      <c r="A134" s="5">
        <v>47849</v>
      </c>
      <c r="B134" s="9">
        <v>592.5</v>
      </c>
      <c r="C134" s="9">
        <v>4.0297838415276761</v>
      </c>
      <c r="D134" s="7">
        <v>61</v>
      </c>
      <c r="E134" s="24">
        <v>79</v>
      </c>
      <c r="F134" s="24">
        <v>18</v>
      </c>
      <c r="G134" s="25">
        <v>4.0269223486642796</v>
      </c>
      <c r="H134" s="10">
        <v>2.861492863396542E-3</v>
      </c>
      <c r="I134" s="8">
        <v>189.80776513357205</v>
      </c>
      <c r="K134" s="1">
        <v>2031</v>
      </c>
      <c r="L134" s="23">
        <v>6.433254979587133E-3</v>
      </c>
      <c r="M134" s="23">
        <v>8.5106382978723527E-3</v>
      </c>
      <c r="N134" s="1" t="s">
        <v>116</v>
      </c>
      <c r="P134" s="20">
        <v>7.0000000000000001E-3</v>
      </c>
      <c r="T134" s="22"/>
    </row>
    <row r="135" spans="1:20" x14ac:dyDescent="0.25">
      <c r="A135" s="5">
        <v>47880</v>
      </c>
      <c r="B135" s="9">
        <v>595</v>
      </c>
      <c r="C135" s="9">
        <v>4.0539625445768426</v>
      </c>
      <c r="D135" s="7">
        <v>61.25</v>
      </c>
      <c r="E135" s="24">
        <v>79.333333333333329</v>
      </c>
      <c r="F135" s="24">
        <v>18.083333333333329</v>
      </c>
      <c r="G135" s="25">
        <v>4.0745941457969757</v>
      </c>
      <c r="H135" s="10">
        <v>-2.0631601220133078E-2</v>
      </c>
      <c r="I135" s="8">
        <v>187.54058542030242</v>
      </c>
      <c r="K135" s="1">
        <v>2031</v>
      </c>
      <c r="L135" s="23">
        <v>6.433254979587133E-3</v>
      </c>
      <c r="M135" s="23">
        <v>4.2194092827003704E-3</v>
      </c>
      <c r="N135" s="1" t="s">
        <v>117</v>
      </c>
      <c r="P135" s="20">
        <v>6.0000000000000001E-3</v>
      </c>
      <c r="T135" s="22"/>
    </row>
    <row r="136" spans="1:20" x14ac:dyDescent="0.25">
      <c r="A136" s="5">
        <v>47908</v>
      </c>
      <c r="B136" s="9">
        <v>597.5</v>
      </c>
      <c r="C136" s="9">
        <v>4.074232357299727</v>
      </c>
      <c r="D136" s="7">
        <v>61.25</v>
      </c>
      <c r="E136" s="24">
        <v>79.666666666666671</v>
      </c>
      <c r="F136" s="24">
        <v>18.416666666666671</v>
      </c>
      <c r="G136" s="25">
        <v>4.1014700106782449</v>
      </c>
      <c r="H136" s="10">
        <v>-2.7237653378517912E-2</v>
      </c>
      <c r="I136" s="8">
        <v>187.35299893217552</v>
      </c>
      <c r="K136" s="1">
        <v>2031</v>
      </c>
      <c r="L136" s="23">
        <v>6.433254979587133E-3</v>
      </c>
      <c r="M136" s="23">
        <v>4.2016806722688926E-3</v>
      </c>
      <c r="N136" s="1" t="s">
        <v>118</v>
      </c>
      <c r="P136" s="20">
        <v>5.0000000000000001E-3</v>
      </c>
      <c r="T136" s="22"/>
    </row>
    <row r="137" spans="1:20" x14ac:dyDescent="0.25">
      <c r="A137" s="5">
        <v>47939</v>
      </c>
      <c r="B137" s="9">
        <v>600</v>
      </c>
      <c r="C137" s="9">
        <v>4.090529286728926</v>
      </c>
      <c r="D137" s="7">
        <v>61.5</v>
      </c>
      <c r="E137" s="24">
        <v>80</v>
      </c>
      <c r="F137" s="24">
        <v>18.5</v>
      </c>
      <c r="G137" s="25">
        <v>3.6569795667970597</v>
      </c>
      <c r="H137" s="10">
        <v>0.43354971993186631</v>
      </c>
      <c r="I137" s="8">
        <v>234.30204332029405</v>
      </c>
      <c r="K137" s="1">
        <v>2031</v>
      </c>
      <c r="L137" s="23">
        <v>6.3921327596798694E-3</v>
      </c>
      <c r="M137" s="23">
        <v>4.1841004184099972E-3</v>
      </c>
      <c r="N137" s="1" t="s">
        <v>119</v>
      </c>
      <c r="P137" s="20">
        <v>4.0000000000000001E-3</v>
      </c>
      <c r="T137" s="22"/>
    </row>
    <row r="138" spans="1:20" x14ac:dyDescent="0.25">
      <c r="A138" s="5">
        <v>47969</v>
      </c>
      <c r="B138" s="9">
        <v>602.5</v>
      </c>
      <c r="C138" s="9">
        <v>4.1150724624492998</v>
      </c>
      <c r="D138" s="7">
        <v>61.75</v>
      </c>
      <c r="E138" s="24">
        <v>80.333333333333329</v>
      </c>
      <c r="F138" s="24">
        <v>18.583333333333329</v>
      </c>
      <c r="G138" s="25">
        <v>3.6494467784152533</v>
      </c>
      <c r="H138" s="10">
        <v>0.46562568403404647</v>
      </c>
      <c r="I138" s="8">
        <v>237.55532215847467</v>
      </c>
      <c r="K138" s="1">
        <v>2031</v>
      </c>
      <c r="L138" s="23">
        <v>6.3921327596798694E-3</v>
      </c>
      <c r="M138" s="23">
        <v>4.1666666666666519E-3</v>
      </c>
      <c r="N138" s="1" t="s">
        <v>120</v>
      </c>
      <c r="P138" s="20">
        <v>6.0000000000000001E-3</v>
      </c>
      <c r="T138" s="22"/>
    </row>
    <row r="139" spans="1:20" x14ac:dyDescent="0.25">
      <c r="A139" s="5">
        <v>48000</v>
      </c>
      <c r="B139" s="9">
        <v>607.5</v>
      </c>
      <c r="C139" s="9">
        <v>4.1479930421488946</v>
      </c>
      <c r="D139" s="7">
        <v>61.75</v>
      </c>
      <c r="E139" s="24">
        <v>81</v>
      </c>
      <c r="F139" s="24">
        <v>19.25</v>
      </c>
      <c r="G139" s="25">
        <v>3.652366328019482</v>
      </c>
      <c r="H139" s="10">
        <v>0.49562671412941262</v>
      </c>
      <c r="I139" s="8">
        <v>242.26336719805181</v>
      </c>
      <c r="K139" s="1">
        <v>2031</v>
      </c>
      <c r="L139" s="23">
        <v>6.3921327596798694E-3</v>
      </c>
      <c r="M139" s="23">
        <v>8.2987551867219622E-3</v>
      </c>
      <c r="N139" s="1" t="s">
        <v>121</v>
      </c>
      <c r="P139" s="20">
        <v>8.0000000000000002E-3</v>
      </c>
      <c r="T139" s="22"/>
    </row>
    <row r="140" spans="1:20" x14ac:dyDescent="0.25">
      <c r="A140" s="5">
        <v>48030</v>
      </c>
      <c r="B140" s="9">
        <v>612.5</v>
      </c>
      <c r="C140" s="9">
        <v>4.1894729725703836</v>
      </c>
      <c r="D140" s="7">
        <v>62.5</v>
      </c>
      <c r="E140" s="24">
        <v>81.666666666666671</v>
      </c>
      <c r="F140" s="24">
        <v>19.166666666666671</v>
      </c>
      <c r="G140" s="25">
        <v>4.1109957695434449</v>
      </c>
      <c r="H140" s="10">
        <v>7.8477203026938724E-2</v>
      </c>
      <c r="I140" s="8">
        <v>201.40042304565549</v>
      </c>
      <c r="K140" s="1">
        <v>2031</v>
      </c>
      <c r="L140" s="23">
        <v>6.3515329180412472E-3</v>
      </c>
      <c r="M140" s="23">
        <v>8.2304526748970819E-3</v>
      </c>
      <c r="N140" s="1" t="s">
        <v>122</v>
      </c>
      <c r="P140" s="20">
        <v>0.01</v>
      </c>
      <c r="T140" s="22"/>
    </row>
    <row r="141" spans="1:20" x14ac:dyDescent="0.25">
      <c r="A141" s="5">
        <v>48061</v>
      </c>
      <c r="B141" s="9">
        <v>620</v>
      </c>
      <c r="C141" s="9">
        <v>4.239746648241228</v>
      </c>
      <c r="D141" s="7">
        <v>62.75</v>
      </c>
      <c r="E141" s="24">
        <v>82.666666666666671</v>
      </c>
      <c r="F141" s="24">
        <v>19.916666666666671</v>
      </c>
      <c r="G141" s="25">
        <v>4.1688790712407924</v>
      </c>
      <c r="H141" s="10">
        <v>7.0867577000435666E-2</v>
      </c>
      <c r="I141" s="8">
        <v>203.11209287592078</v>
      </c>
      <c r="K141" s="1">
        <v>2031</v>
      </c>
      <c r="L141" s="23">
        <v>6.3515329180412472E-3</v>
      </c>
      <c r="M141" s="23">
        <v>1.2244897959183598E-2</v>
      </c>
      <c r="N141" s="1" t="s">
        <v>123</v>
      </c>
      <c r="P141" s="20">
        <v>1.2E-2</v>
      </c>
      <c r="T141" s="22"/>
    </row>
    <row r="142" spans="1:20" x14ac:dyDescent="0.25">
      <c r="A142" s="5">
        <v>48092</v>
      </c>
      <c r="B142" s="9">
        <v>627.5</v>
      </c>
      <c r="C142" s="9">
        <v>4.2991031013166054</v>
      </c>
      <c r="D142" s="7">
        <v>62.5</v>
      </c>
      <c r="E142" s="24">
        <v>83.666666666666671</v>
      </c>
      <c r="F142" s="24">
        <v>21.166666666666671</v>
      </c>
      <c r="G142" s="25">
        <v>4.1824624633957077</v>
      </c>
      <c r="H142" s="10">
        <v>0.11664063792089774</v>
      </c>
      <c r="I142" s="8">
        <v>209.25375366042925</v>
      </c>
      <c r="K142" s="1">
        <v>2031</v>
      </c>
      <c r="L142" s="23">
        <v>6.3515329180412472E-3</v>
      </c>
      <c r="M142" s="23">
        <v>1.2096774193548487E-2</v>
      </c>
      <c r="N142" s="1" t="s">
        <v>124</v>
      </c>
      <c r="P142" s="20">
        <v>1.4E-2</v>
      </c>
      <c r="T142" s="22"/>
    </row>
    <row r="143" spans="1:20" x14ac:dyDescent="0.25">
      <c r="A143" s="5">
        <v>48122</v>
      </c>
      <c r="B143" s="9">
        <v>637.5</v>
      </c>
      <c r="C143" s="9">
        <v>4.3678887509376709</v>
      </c>
      <c r="D143" s="7">
        <v>62.5</v>
      </c>
      <c r="E143" s="24">
        <v>85</v>
      </c>
      <c r="F143" s="24">
        <v>22.5</v>
      </c>
      <c r="G143" s="25">
        <v>4.4686067550223063</v>
      </c>
      <c r="H143" s="10">
        <v>-0.10071800408463538</v>
      </c>
      <c r="I143" s="8">
        <v>190.63932449776939</v>
      </c>
      <c r="K143" s="1">
        <v>2031</v>
      </c>
      <c r="L143" s="23">
        <v>6.4328195169311986E-3</v>
      </c>
      <c r="M143" s="23">
        <v>1.5936254980079667E-2</v>
      </c>
      <c r="N143" s="1" t="s">
        <v>125</v>
      </c>
      <c r="P143" s="20">
        <v>1.6E-2</v>
      </c>
      <c r="T143" s="22"/>
    </row>
    <row r="144" spans="1:20" x14ac:dyDescent="0.25">
      <c r="A144" s="5">
        <v>48153</v>
      </c>
      <c r="B144" s="9">
        <v>610</v>
      </c>
      <c r="C144" s="9">
        <v>4.446510748454549</v>
      </c>
      <c r="D144" s="7">
        <v>62.5</v>
      </c>
      <c r="E144" s="24">
        <v>81.333333333333329</v>
      </c>
      <c r="F144" s="24">
        <v>18.833333333333329</v>
      </c>
      <c r="G144" s="25">
        <v>4.2658917909325798</v>
      </c>
      <c r="H144" s="10">
        <v>0.18061895752196921</v>
      </c>
      <c r="I144" s="8">
        <v>183.410820906742</v>
      </c>
      <c r="K144" s="1">
        <v>2031</v>
      </c>
      <c r="L144" s="23">
        <v>6.4328195169311986E-3</v>
      </c>
      <c r="M144" s="23">
        <v>-4.3137254901960742E-2</v>
      </c>
      <c r="N144" s="1" t="s">
        <v>126</v>
      </c>
      <c r="P144" s="20">
        <v>1.8000000000000002E-2</v>
      </c>
      <c r="T144" s="22"/>
    </row>
    <row r="145" spans="1:20" x14ac:dyDescent="0.25">
      <c r="A145" s="5">
        <v>48183</v>
      </c>
      <c r="B145" s="9">
        <v>622.5</v>
      </c>
      <c r="C145" s="9">
        <v>4.5354409634236399</v>
      </c>
      <c r="D145" s="7">
        <v>62.5</v>
      </c>
      <c r="E145" s="24">
        <v>83</v>
      </c>
      <c r="F145" s="24">
        <v>20.5</v>
      </c>
      <c r="G145" s="25">
        <v>4.3556872054180777</v>
      </c>
      <c r="H145" s="10">
        <v>0.17975375800556215</v>
      </c>
      <c r="I145" s="8">
        <v>186.93127945819225</v>
      </c>
      <c r="K145" s="1">
        <v>2031</v>
      </c>
      <c r="L145" s="23">
        <v>6.4328195169311986E-3</v>
      </c>
      <c r="M145" s="23">
        <v>2.0491803278688492E-2</v>
      </c>
      <c r="N145" s="1" t="s">
        <v>127</v>
      </c>
      <c r="P145" s="20">
        <v>2.0000000000000004E-2</v>
      </c>
      <c r="T145" s="22"/>
    </row>
    <row r="146" spans="1:20" x14ac:dyDescent="0.25">
      <c r="A146" s="5">
        <v>48214</v>
      </c>
      <c r="B146" s="9">
        <v>622.5</v>
      </c>
      <c r="C146" s="9">
        <v>4.6125434598018415</v>
      </c>
      <c r="D146" s="7">
        <v>62.5</v>
      </c>
      <c r="E146" s="24">
        <v>83</v>
      </c>
      <c r="F146" s="24">
        <v>20.5</v>
      </c>
      <c r="G146" s="25">
        <v>4.20878498908524</v>
      </c>
      <c r="H146" s="10">
        <v>0.40375847071660154</v>
      </c>
      <c r="I146" s="8">
        <v>201.62150109147598</v>
      </c>
      <c r="K146" s="1">
        <v>2032</v>
      </c>
      <c r="L146" s="23">
        <v>5.4269175108543344E-3</v>
      </c>
      <c r="M146" s="23">
        <v>0</v>
      </c>
      <c r="N146" s="1" t="s">
        <v>128</v>
      </c>
      <c r="P146" s="20">
        <v>1.7000000000000005E-2</v>
      </c>
      <c r="T146" s="22"/>
    </row>
    <row r="147" spans="1:20" x14ac:dyDescent="0.25">
      <c r="A147" s="5">
        <v>48245</v>
      </c>
      <c r="B147" s="9">
        <v>615</v>
      </c>
      <c r="C147" s="9">
        <v>4.6771190682390671</v>
      </c>
      <c r="D147" s="7">
        <v>62.5</v>
      </c>
      <c r="E147" s="24">
        <v>82</v>
      </c>
      <c r="F147" s="24">
        <v>19.5</v>
      </c>
      <c r="G147" s="25">
        <v>4.1681573944414341</v>
      </c>
      <c r="H147" s="10">
        <v>0.50896167379763302</v>
      </c>
      <c r="I147" s="8">
        <v>198.18426055585661</v>
      </c>
      <c r="K147" s="1">
        <v>2032</v>
      </c>
      <c r="L147" s="23">
        <v>5.4269175108543344E-3</v>
      </c>
      <c r="M147" s="23">
        <v>-1.2048192771084376E-2</v>
      </c>
      <c r="N147" s="1" t="s">
        <v>129</v>
      </c>
      <c r="P147" s="20">
        <v>1.4000000000000005E-2</v>
      </c>
      <c r="T147" s="22"/>
    </row>
    <row r="148" spans="1:20" x14ac:dyDescent="0.25">
      <c r="A148" s="5">
        <v>48274</v>
      </c>
      <c r="B148" s="9">
        <v>592.5</v>
      </c>
      <c r="C148" s="9">
        <v>4.7285673779896973</v>
      </c>
      <c r="D148" s="7">
        <v>62.5</v>
      </c>
      <c r="E148" s="24">
        <v>79</v>
      </c>
      <c r="F148" s="24">
        <v>16.5</v>
      </c>
      <c r="G148" s="25">
        <v>3.9314930341248169</v>
      </c>
      <c r="H148" s="10">
        <v>0.79707434386488041</v>
      </c>
      <c r="I148" s="8">
        <v>199.35069658751831</v>
      </c>
      <c r="K148" s="1">
        <v>2032</v>
      </c>
      <c r="L148" s="23">
        <v>5.4269175108543344E-3</v>
      </c>
      <c r="M148" s="23">
        <v>-3.6585365853658569E-2</v>
      </c>
      <c r="N148" s="1" t="s">
        <v>130</v>
      </c>
      <c r="P148" s="20">
        <v>1.1000000000000006E-2</v>
      </c>
      <c r="T148" s="22"/>
    </row>
    <row r="149" spans="1:20" x14ac:dyDescent="0.25">
      <c r="A149" s="5">
        <v>48305</v>
      </c>
      <c r="B149" s="9">
        <v>597.5</v>
      </c>
      <c r="C149" s="9">
        <v>4.7663959170136145</v>
      </c>
      <c r="D149" s="7">
        <v>62.5</v>
      </c>
      <c r="E149" s="24">
        <v>79.666666666666671</v>
      </c>
      <c r="F149" s="24">
        <v>17.166666666666671</v>
      </c>
      <c r="G149" s="25">
        <v>3.6354236486942728</v>
      </c>
      <c r="H149" s="10">
        <v>1.1309722683193417</v>
      </c>
      <c r="I149" s="8">
        <v>233.95763513057273</v>
      </c>
      <c r="K149" s="1">
        <v>2032</v>
      </c>
      <c r="L149" s="23">
        <v>5.2776778217580311E-3</v>
      </c>
      <c r="M149" s="23">
        <v>8.4388185654007408E-3</v>
      </c>
      <c r="N149" s="1" t="s">
        <v>131</v>
      </c>
      <c r="P149" s="20">
        <v>8.0000000000000071E-3</v>
      </c>
      <c r="T149" s="22"/>
    </row>
    <row r="150" spans="1:20" x14ac:dyDescent="0.25">
      <c r="A150" s="5">
        <v>48335</v>
      </c>
      <c r="B150" s="9">
        <v>600</v>
      </c>
      <c r="C150" s="9">
        <v>4.2902278965986822</v>
      </c>
      <c r="D150" s="7">
        <v>62.25</v>
      </c>
      <c r="E150" s="24">
        <v>80</v>
      </c>
      <c r="F150" s="24">
        <v>17.75</v>
      </c>
      <c r="G150" s="25">
        <v>3.6215035813241139</v>
      </c>
      <c r="H150" s="10">
        <v>0.66872431527456833</v>
      </c>
      <c r="I150" s="8">
        <v>237.84964186758862</v>
      </c>
      <c r="K150" s="1">
        <v>2032</v>
      </c>
      <c r="L150" s="23">
        <v>5.2776778217580311E-3</v>
      </c>
      <c r="M150" s="23">
        <v>4.1841004184099972E-3</v>
      </c>
      <c r="N150" s="1" t="s">
        <v>132</v>
      </c>
      <c r="P150" s="20">
        <v>5.000000000000007E-3</v>
      </c>
      <c r="T150" s="22"/>
    </row>
    <row r="151" spans="1:20" x14ac:dyDescent="0.25">
      <c r="A151" s="5">
        <v>48366</v>
      </c>
      <c r="B151" s="9">
        <v>592.5</v>
      </c>
      <c r="C151" s="9">
        <v>3.7644865292190905</v>
      </c>
      <c r="D151" s="7">
        <v>62.25</v>
      </c>
      <c r="E151" s="24">
        <v>79</v>
      </c>
      <c r="F151" s="24">
        <v>16.75</v>
      </c>
      <c r="G151" s="25">
        <v>3.5075472660470735</v>
      </c>
      <c r="H151" s="10">
        <v>0.2569392631720171</v>
      </c>
      <c r="I151" s="8">
        <v>241.74527339529266</v>
      </c>
      <c r="K151" s="1">
        <v>2032</v>
      </c>
      <c r="L151" s="23">
        <v>5.2776778217580311E-3</v>
      </c>
      <c r="M151" s="23">
        <v>-1.2499999999999956E-2</v>
      </c>
      <c r="N151" s="1" t="s">
        <v>133</v>
      </c>
      <c r="P151" s="20">
        <v>-5.9999999999999932E-3</v>
      </c>
      <c r="T151" s="22"/>
    </row>
    <row r="152" spans="1:20" x14ac:dyDescent="0.25">
      <c r="A152" s="5">
        <v>48396</v>
      </c>
      <c r="B152" s="9">
        <v>582.5</v>
      </c>
      <c r="C152" s="9">
        <v>3.7607220426898715</v>
      </c>
      <c r="D152" s="7">
        <v>62.25</v>
      </c>
      <c r="E152" s="24">
        <v>77.666666666666671</v>
      </c>
      <c r="F152" s="24">
        <v>15.416666666666671</v>
      </c>
      <c r="G152" s="25">
        <v>3.9176294333454815</v>
      </c>
      <c r="H152" s="10">
        <v>-0.15690739065560999</v>
      </c>
      <c r="I152" s="8">
        <v>190.73705666545186</v>
      </c>
      <c r="K152" s="1">
        <v>2032</v>
      </c>
      <c r="L152" s="23">
        <v>5.1306526667469488E-3</v>
      </c>
      <c r="M152" s="23">
        <v>-1.6877637130801704E-2</v>
      </c>
      <c r="N152" s="1" t="s">
        <v>134</v>
      </c>
      <c r="P152" s="20">
        <v>-9.9999999999999308E-4</v>
      </c>
      <c r="T152" s="22"/>
    </row>
    <row r="153" spans="1:20" x14ac:dyDescent="0.25">
      <c r="A153" s="5">
        <v>48427</v>
      </c>
      <c r="B153" s="9">
        <v>580</v>
      </c>
      <c r="C153" s="9">
        <v>3.7456791545191122</v>
      </c>
      <c r="D153" s="7">
        <v>62.5</v>
      </c>
      <c r="E153" s="24">
        <v>77.333333333333329</v>
      </c>
      <c r="F153" s="24">
        <v>14.833333333333329</v>
      </c>
      <c r="G153" s="25">
        <v>3.8592644648053662</v>
      </c>
      <c r="H153" s="10">
        <v>-0.11358531028625407</v>
      </c>
      <c r="I153" s="8">
        <v>194.07355351946336</v>
      </c>
      <c r="K153" s="1">
        <v>2032</v>
      </c>
      <c r="L153" s="23">
        <v>5.1306526667469488E-3</v>
      </c>
      <c r="M153" s="23">
        <v>-4.2918454935622075E-3</v>
      </c>
      <c r="N153" s="1" t="s">
        <v>135</v>
      </c>
      <c r="P153" s="20">
        <v>-3.9999999999999931E-3</v>
      </c>
      <c r="T153" s="22"/>
    </row>
    <row r="154" spans="1:20" x14ac:dyDescent="0.25">
      <c r="A154" s="5">
        <v>48458</v>
      </c>
      <c r="B154" s="9">
        <v>575</v>
      </c>
      <c r="C154" s="9">
        <v>3.7194594004374784</v>
      </c>
      <c r="D154" s="7">
        <v>62.5</v>
      </c>
      <c r="E154" s="24">
        <v>76.666666666666671</v>
      </c>
      <c r="F154" s="24">
        <v>14.166666666666671</v>
      </c>
      <c r="G154" s="25">
        <v>3.7361472487367835</v>
      </c>
      <c r="H154" s="10">
        <v>-1.6687848299305141E-2</v>
      </c>
      <c r="I154" s="8">
        <v>201.38527512632163</v>
      </c>
      <c r="K154" s="1">
        <v>2032</v>
      </c>
      <c r="L154" s="23">
        <v>5.1306526667469488E-3</v>
      </c>
      <c r="M154" s="23">
        <v>-8.6206896551723755E-3</v>
      </c>
      <c r="N154" s="1" t="s">
        <v>136</v>
      </c>
      <c r="P154" s="20">
        <v>-6.9999999999999932E-3</v>
      </c>
      <c r="T154" s="22"/>
    </row>
    <row r="155" spans="1:20" x14ac:dyDescent="0.25">
      <c r="A155" s="5">
        <v>48488</v>
      </c>
      <c r="B155" s="9">
        <v>570</v>
      </c>
      <c r="C155" s="9">
        <v>3.6822648064331034</v>
      </c>
      <c r="D155" s="7">
        <v>62.5</v>
      </c>
      <c r="E155" s="24">
        <v>76</v>
      </c>
      <c r="F155" s="24">
        <v>13.5</v>
      </c>
      <c r="G155" s="25">
        <v>3.6337409386430828</v>
      </c>
      <c r="H155" s="10">
        <v>4.8523867790020603E-2</v>
      </c>
      <c r="I155" s="8">
        <v>206.62590613569171</v>
      </c>
      <c r="K155" s="1">
        <v>2032</v>
      </c>
      <c r="L155" s="23">
        <v>5.1044634377963582E-3</v>
      </c>
      <c r="M155" s="23">
        <v>-8.6956521739129933E-3</v>
      </c>
      <c r="N155" s="1" t="s">
        <v>137</v>
      </c>
      <c r="P155" s="20">
        <v>-9.9999999999999933E-3</v>
      </c>
      <c r="T155" s="22"/>
    </row>
    <row r="156" spans="1:20" x14ac:dyDescent="0.25">
      <c r="A156" s="5">
        <v>48519</v>
      </c>
      <c r="B156" s="9">
        <v>562.5</v>
      </c>
      <c r="C156" s="9">
        <v>3.6343953639494733</v>
      </c>
      <c r="D156" s="7">
        <v>63</v>
      </c>
      <c r="E156" s="24">
        <v>75</v>
      </c>
      <c r="F156" s="24">
        <v>12</v>
      </c>
      <c r="G156" s="25">
        <v>3.6238730283438243</v>
      </c>
      <c r="H156" s="10">
        <v>1.0522335605648969E-2</v>
      </c>
      <c r="I156" s="8">
        <v>200.11269716561759</v>
      </c>
      <c r="K156" s="1">
        <v>2032</v>
      </c>
      <c r="L156" s="23">
        <v>5.1044634377963582E-3</v>
      </c>
      <c r="M156" s="23">
        <v>-1.3157894736842146E-2</v>
      </c>
      <c r="N156" s="1" t="s">
        <v>138</v>
      </c>
      <c r="P156" s="20">
        <v>-1.2999999999999994E-2</v>
      </c>
      <c r="T156" s="22"/>
    </row>
    <row r="157" spans="1:20" x14ac:dyDescent="0.25">
      <c r="A157" s="5">
        <v>48549</v>
      </c>
      <c r="B157" s="9">
        <v>552.5</v>
      </c>
      <c r="C157" s="9">
        <v>4.0762450381262818</v>
      </c>
      <c r="D157" s="7">
        <v>62.25</v>
      </c>
      <c r="E157" s="24">
        <v>73.666666666666671</v>
      </c>
      <c r="F157" s="24">
        <v>11.416666666666671</v>
      </c>
      <c r="G157" s="25">
        <v>3.4966898171040435</v>
      </c>
      <c r="H157" s="10">
        <v>0.57955522102223833</v>
      </c>
      <c r="I157" s="8">
        <v>202.83101828959565</v>
      </c>
      <c r="K157" s="1">
        <v>2032</v>
      </c>
      <c r="L157" s="23">
        <v>5.1044634377963582E-3</v>
      </c>
      <c r="M157" s="23">
        <v>-1.7777777777777781E-2</v>
      </c>
      <c r="N157" s="1" t="s">
        <v>139</v>
      </c>
      <c r="P157" s="20">
        <v>-1.5999999999999993E-2</v>
      </c>
      <c r="T157" s="22"/>
    </row>
    <row r="158" spans="1:20" x14ac:dyDescent="0.25">
      <c r="A158" s="5">
        <v>48580</v>
      </c>
      <c r="B158" s="9">
        <v>562.5</v>
      </c>
      <c r="C158" s="9">
        <v>4.1496174488125552</v>
      </c>
      <c r="D158" s="7">
        <v>62.25</v>
      </c>
      <c r="E158" s="24">
        <v>75</v>
      </c>
      <c r="F158" s="24">
        <v>12.75</v>
      </c>
      <c r="G158" s="25">
        <v>3.6573305044062869</v>
      </c>
      <c r="H158" s="10">
        <v>0.4922869444062683</v>
      </c>
      <c r="I158" s="8">
        <v>196.76694955937131</v>
      </c>
      <c r="K158" s="1">
        <v>2033</v>
      </c>
      <c r="L158" s="23">
        <v>4.3699066965863231E-3</v>
      </c>
      <c r="M158" s="23">
        <v>1.8099547511312153E-2</v>
      </c>
      <c r="N158" s="1" t="s">
        <v>140</v>
      </c>
      <c r="P158" s="20">
        <v>1.8000000000000006E-2</v>
      </c>
      <c r="T158" s="22"/>
    </row>
    <row r="159" spans="1:20" x14ac:dyDescent="0.25">
      <c r="A159" s="5">
        <v>48611</v>
      </c>
      <c r="B159" s="9">
        <v>563</v>
      </c>
      <c r="C159" s="9">
        <v>3.7118617105447438</v>
      </c>
      <c r="D159" s="7">
        <v>62.25</v>
      </c>
      <c r="E159" s="24">
        <v>75.066666666666663</v>
      </c>
      <c r="F159" s="24">
        <v>12.816666666666663</v>
      </c>
      <c r="G159" s="25">
        <v>3.7167029097624811</v>
      </c>
      <c r="H159" s="10">
        <v>-4.8411992177372909E-3</v>
      </c>
      <c r="I159" s="8">
        <v>191.32970902375189</v>
      </c>
      <c r="K159" s="1">
        <v>2033</v>
      </c>
      <c r="L159" s="23">
        <v>4.3699066965863231E-3</v>
      </c>
      <c r="M159" s="23">
        <v>8.8888888888893902E-4</v>
      </c>
      <c r="N159" s="1" t="s">
        <v>141</v>
      </c>
      <c r="P159" s="20">
        <v>1.5000000000000006E-2</v>
      </c>
      <c r="T159" s="22"/>
    </row>
    <row r="160" spans="1:20" x14ac:dyDescent="0.25">
      <c r="A160" s="5">
        <v>48639</v>
      </c>
      <c r="B160" s="9">
        <v>570</v>
      </c>
      <c r="C160" s="9">
        <v>3.7564040510712808</v>
      </c>
      <c r="D160" s="7">
        <v>62.25</v>
      </c>
      <c r="E160" s="24">
        <v>76</v>
      </c>
      <c r="F160" s="24">
        <v>13.75</v>
      </c>
      <c r="G160" s="25">
        <v>3.7842063692875554</v>
      </c>
      <c r="H160" s="10">
        <v>-2.7802318216274546E-2</v>
      </c>
      <c r="I160" s="8">
        <v>191.57936307124447</v>
      </c>
      <c r="K160" s="1">
        <v>2033</v>
      </c>
      <c r="L160" s="23">
        <v>4.3699066965863231E-3</v>
      </c>
      <c r="M160" s="23">
        <v>1.243339253996445E-2</v>
      </c>
      <c r="N160" s="1" t="s">
        <v>142</v>
      </c>
      <c r="P160" s="20">
        <v>1.2000000000000007E-2</v>
      </c>
      <c r="T160" s="22"/>
    </row>
    <row r="161" spans="1:20" x14ac:dyDescent="0.25">
      <c r="A161" s="5">
        <v>48670</v>
      </c>
      <c r="B161" s="9">
        <v>575</v>
      </c>
      <c r="C161" s="9">
        <v>3.7902116875309222</v>
      </c>
      <c r="D161" s="7">
        <v>62.25</v>
      </c>
      <c r="E161" s="24">
        <v>76.666666666666671</v>
      </c>
      <c r="F161" s="24">
        <v>14.416666666666671</v>
      </c>
      <c r="G161" s="25">
        <v>3.4560229632798909</v>
      </c>
      <c r="H161" s="10">
        <v>0.3341887242510313</v>
      </c>
      <c r="I161" s="8">
        <v>229.39770367201089</v>
      </c>
      <c r="K161" s="1">
        <v>2033</v>
      </c>
      <c r="L161" s="23">
        <v>4.2333019755416146E-3</v>
      </c>
      <c r="M161" s="23">
        <v>8.7719298245614308E-3</v>
      </c>
      <c r="N161" s="1" t="s">
        <v>143</v>
      </c>
      <c r="P161" s="20">
        <v>9.000000000000008E-3</v>
      </c>
      <c r="T161" s="22"/>
    </row>
    <row r="162" spans="1:20" x14ac:dyDescent="0.25">
      <c r="A162" s="5">
        <v>48700</v>
      </c>
      <c r="B162" s="9">
        <v>567.5</v>
      </c>
      <c r="C162" s="9">
        <v>3.3129529576561079</v>
      </c>
      <c r="D162" s="7">
        <v>62.25</v>
      </c>
      <c r="E162" s="24">
        <v>75.666666666666671</v>
      </c>
      <c r="F162" s="24">
        <v>13.416666666666671</v>
      </c>
      <c r="G162" s="25">
        <v>3.335818377765388</v>
      </c>
      <c r="H162" s="10">
        <v>-2.2865420109280166E-2</v>
      </c>
      <c r="I162" s="8">
        <v>233.9181622234612</v>
      </c>
      <c r="K162" s="1">
        <v>2033</v>
      </c>
      <c r="L162" s="23">
        <v>4.2333019755416146E-3</v>
      </c>
      <c r="M162" s="23">
        <v>-1.3043478260869601E-2</v>
      </c>
      <c r="N162" s="1" t="s">
        <v>144</v>
      </c>
      <c r="P162" s="20">
        <v>6.0000000000000071E-3</v>
      </c>
      <c r="T162" s="22"/>
    </row>
    <row r="163" spans="1:20" x14ac:dyDescent="0.25">
      <c r="A163" s="5">
        <v>48731</v>
      </c>
      <c r="B163" s="9">
        <v>572.5</v>
      </c>
      <c r="C163" s="9">
        <v>3.3427695342750128</v>
      </c>
      <c r="D163" s="7">
        <v>62.25</v>
      </c>
      <c r="E163" s="24">
        <v>76.333333333333329</v>
      </c>
      <c r="F163" s="24">
        <v>14.083333333333329</v>
      </c>
      <c r="G163" s="25">
        <v>3.3095701075279256</v>
      </c>
      <c r="H163" s="10">
        <v>3.3199426747087202E-2</v>
      </c>
      <c r="I163" s="8">
        <v>241.54298924720746</v>
      </c>
      <c r="K163" s="1">
        <v>2033</v>
      </c>
      <c r="L163" s="23">
        <v>4.2333019755416146E-3</v>
      </c>
      <c r="M163" s="23">
        <v>8.8105726872247381E-3</v>
      </c>
      <c r="N163" s="1" t="s">
        <v>145</v>
      </c>
      <c r="P163" s="20">
        <v>9.000000000000008E-3</v>
      </c>
      <c r="T163" s="22"/>
    </row>
    <row r="164" spans="1:20" x14ac:dyDescent="0.25">
      <c r="A164" s="5">
        <v>48761</v>
      </c>
      <c r="B164" s="9">
        <v>575</v>
      </c>
      <c r="C164" s="9">
        <v>3.3628261514806628</v>
      </c>
      <c r="D164" s="7">
        <v>61.25</v>
      </c>
      <c r="E164" s="24">
        <v>76.666666666666671</v>
      </c>
      <c r="F164" s="24">
        <v>15.416666666666671</v>
      </c>
      <c r="G164" s="25">
        <v>3.363606744683898</v>
      </c>
      <c r="H164" s="10">
        <v>-7.8059320323520254E-4</v>
      </c>
      <c r="I164" s="8">
        <v>238.63932553161021</v>
      </c>
      <c r="K164" s="1">
        <v>2033</v>
      </c>
      <c r="L164" s="23">
        <v>3.9812646370021021E-3</v>
      </c>
      <c r="M164" s="23">
        <v>4.366812227074135E-3</v>
      </c>
      <c r="N164" s="1" t="s">
        <v>146</v>
      </c>
      <c r="P164" s="20">
        <v>6.0000000000000071E-3</v>
      </c>
      <c r="T164" s="22"/>
    </row>
    <row r="165" spans="1:20" x14ac:dyDescent="0.25">
      <c r="A165" s="5">
        <v>48792</v>
      </c>
      <c r="B165" s="9">
        <v>562.5</v>
      </c>
      <c r="C165" s="9">
        <v>3.3527376730262208</v>
      </c>
      <c r="D165" s="7">
        <v>61</v>
      </c>
      <c r="E165" s="24">
        <v>75</v>
      </c>
      <c r="F165" s="24">
        <v>14</v>
      </c>
      <c r="G165" s="25">
        <v>3.2205188574720474</v>
      </c>
      <c r="H165" s="10">
        <v>0.13221881555417347</v>
      </c>
      <c r="I165" s="8">
        <v>240.44811425279528</v>
      </c>
      <c r="K165" s="1">
        <v>2033</v>
      </c>
      <c r="L165" s="23">
        <v>3.9812646370021021E-3</v>
      </c>
      <c r="M165" s="23">
        <v>-2.1739130434782594E-2</v>
      </c>
      <c r="N165" s="1" t="s">
        <v>147</v>
      </c>
      <c r="P165" s="20">
        <v>-2.9999999999999931E-3</v>
      </c>
      <c r="T165" s="22"/>
    </row>
    <row r="166" spans="1:20" x14ac:dyDescent="0.25">
      <c r="A166" s="5">
        <v>48823</v>
      </c>
      <c r="B166" s="9">
        <v>560</v>
      </c>
      <c r="C166" s="9">
        <v>3.3326212469880634</v>
      </c>
      <c r="D166" s="7">
        <v>61</v>
      </c>
      <c r="E166" s="24">
        <v>74.666666666666671</v>
      </c>
      <c r="F166" s="24">
        <v>13.666666666666671</v>
      </c>
      <c r="G166" s="25">
        <v>3.1332338215617725</v>
      </c>
      <c r="H166" s="10">
        <v>0.19938742542629084</v>
      </c>
      <c r="I166" s="8">
        <v>246.67661784382273</v>
      </c>
      <c r="K166" s="1">
        <v>2033</v>
      </c>
      <c r="L166" s="23">
        <v>3.9812646370021021E-3</v>
      </c>
      <c r="M166" s="23">
        <v>-4.4444444444444731E-3</v>
      </c>
      <c r="N166" s="1" t="s">
        <v>148</v>
      </c>
      <c r="P166" s="20">
        <v>-5.9999999999999932E-3</v>
      </c>
      <c r="T166" s="22"/>
    </row>
    <row r="167" spans="1:20" x14ac:dyDescent="0.25">
      <c r="A167" s="5">
        <v>48853</v>
      </c>
      <c r="B167" s="9">
        <v>545</v>
      </c>
      <c r="C167" s="9">
        <v>3.3026276557651708</v>
      </c>
      <c r="D167" s="7">
        <v>61</v>
      </c>
      <c r="E167" s="24">
        <v>72.666666666666671</v>
      </c>
      <c r="F167" s="24">
        <v>11.666666666666671</v>
      </c>
      <c r="G167" s="25">
        <v>3.4351417416680272</v>
      </c>
      <c r="H167" s="10">
        <v>-0.1325140859028564</v>
      </c>
      <c r="I167" s="8">
        <v>201.48582583319728</v>
      </c>
      <c r="K167" s="1">
        <v>2033</v>
      </c>
      <c r="L167" s="23">
        <v>4.1987403778873666E-3</v>
      </c>
      <c r="M167" s="23">
        <v>-2.6785714285714302E-2</v>
      </c>
      <c r="N167" s="1" t="s">
        <v>149</v>
      </c>
      <c r="P167" s="20">
        <v>-8.9999999999999941E-3</v>
      </c>
      <c r="T167" s="22"/>
    </row>
    <row r="168" spans="1:20" x14ac:dyDescent="0.25">
      <c r="A168" s="5">
        <v>48884</v>
      </c>
      <c r="B168" s="9">
        <v>527.5</v>
      </c>
      <c r="C168" s="9">
        <v>3.2629961238959888</v>
      </c>
      <c r="D168" s="7">
        <v>61.25</v>
      </c>
      <c r="E168" s="24">
        <v>70.333333333333329</v>
      </c>
      <c r="F168" s="24">
        <v>9.0833333333333286</v>
      </c>
      <c r="G168" s="25">
        <v>3.3126020342360727</v>
      </c>
      <c r="H168" s="10">
        <v>-4.9605910340083881E-2</v>
      </c>
      <c r="I168" s="8">
        <v>196.23979657639273</v>
      </c>
      <c r="K168" s="1">
        <v>2033</v>
      </c>
      <c r="L168" s="23">
        <v>4.1987403778873666E-3</v>
      </c>
      <c r="M168" s="23">
        <v>-3.2110091743119296E-2</v>
      </c>
      <c r="N168" s="1" t="s">
        <v>150</v>
      </c>
      <c r="P168" s="20">
        <v>-1.1999999999999993E-2</v>
      </c>
      <c r="T168" s="22"/>
    </row>
    <row r="169" spans="1:20" x14ac:dyDescent="0.25">
      <c r="A169" s="5">
        <v>48914</v>
      </c>
      <c r="B169" s="9">
        <v>510</v>
      </c>
      <c r="C169" s="9">
        <v>3.214051182037549</v>
      </c>
      <c r="D169" s="7">
        <v>61.25</v>
      </c>
      <c r="E169" s="24">
        <v>68</v>
      </c>
      <c r="F169" s="24">
        <v>6.75</v>
      </c>
      <c r="G169" s="25">
        <v>3.0942733136028382</v>
      </c>
      <c r="H169" s="10">
        <v>0.11977786843471083</v>
      </c>
      <c r="I169" s="8">
        <v>200.5726686397162</v>
      </c>
      <c r="K169" s="1">
        <v>2033</v>
      </c>
      <c r="L169" s="23">
        <v>4.1987403778873666E-3</v>
      </c>
      <c r="M169" s="23">
        <v>-3.3175355450236976E-2</v>
      </c>
      <c r="N169" s="1" t="s">
        <v>151</v>
      </c>
      <c r="P169" s="20">
        <v>-1.4999999999999993E-2</v>
      </c>
      <c r="T169" s="22"/>
    </row>
    <row r="170" spans="1:20" x14ac:dyDescent="0.25">
      <c r="A170" s="5">
        <v>48945</v>
      </c>
      <c r="B170" s="9">
        <v>492.5</v>
      </c>
      <c r="C170" s="9">
        <v>3.1658404143069858</v>
      </c>
      <c r="D170" s="7">
        <v>61.5</v>
      </c>
      <c r="E170" s="24">
        <v>65.666666666666671</v>
      </c>
      <c r="F170" s="24">
        <v>4.1666666666666714</v>
      </c>
      <c r="G170" s="25">
        <v>2.8932857424244798</v>
      </c>
      <c r="H170" s="10">
        <v>0.27255467188250604</v>
      </c>
      <c r="I170" s="8">
        <v>203.17142575755202</v>
      </c>
      <c r="K170" s="1">
        <v>2034</v>
      </c>
      <c r="L170" s="23">
        <v>4.0650406504101344E-3</v>
      </c>
      <c r="M170" s="23">
        <v>-3.4313725490196068E-2</v>
      </c>
      <c r="N170" s="1" t="s">
        <v>152</v>
      </c>
      <c r="P170" s="20">
        <v>-1.4999999999999993E-2</v>
      </c>
      <c r="T170" s="22"/>
    </row>
    <row r="171" spans="1:20" x14ac:dyDescent="0.25">
      <c r="A171" s="5">
        <v>48976</v>
      </c>
      <c r="B171" s="9">
        <v>475</v>
      </c>
      <c r="C171" s="9">
        <v>3.1848354567928276</v>
      </c>
      <c r="D171" s="7">
        <v>61.5</v>
      </c>
      <c r="E171" s="24">
        <v>63.333333333333336</v>
      </c>
      <c r="F171" s="24">
        <v>1.8333333333333357</v>
      </c>
      <c r="G171" s="25">
        <v>2.7580742378598289</v>
      </c>
      <c r="H171" s="10">
        <v>0.42676121893299879</v>
      </c>
      <c r="I171" s="8">
        <v>199.19257621401709</v>
      </c>
      <c r="K171" s="1">
        <v>2034</v>
      </c>
      <c r="L171" s="23">
        <v>4.0650406504101344E-3</v>
      </c>
      <c r="M171" s="23">
        <v>-3.5532994923857864E-2</v>
      </c>
      <c r="N171" s="1" t="s">
        <v>153</v>
      </c>
      <c r="P171" s="20">
        <v>6.0000000000000001E-3</v>
      </c>
      <c r="T171" s="22"/>
    </row>
    <row r="172" spans="1:20" x14ac:dyDescent="0.25">
      <c r="A172" s="5">
        <v>49004</v>
      </c>
      <c r="B172" s="9">
        <v>467.5</v>
      </c>
      <c r="C172" s="9">
        <v>3.2007596340767916</v>
      </c>
      <c r="D172" s="7">
        <v>61.75</v>
      </c>
      <c r="E172" s="24">
        <v>62.333333333333336</v>
      </c>
      <c r="F172" s="24">
        <v>0.5833333333333357</v>
      </c>
      <c r="G172" s="25">
        <v>2.6407529540426737</v>
      </c>
      <c r="H172" s="10">
        <v>0.56000668003411791</v>
      </c>
      <c r="I172" s="8">
        <v>203.42470459573263</v>
      </c>
      <c r="K172" s="1">
        <v>2034</v>
      </c>
      <c r="L172" s="23">
        <v>4.0650406504101344E-3</v>
      </c>
      <c r="M172" s="23">
        <v>-1.5789473684210575E-2</v>
      </c>
      <c r="N172" s="1" t="s">
        <v>154</v>
      </c>
      <c r="P172" s="20">
        <v>5.0000000000000001E-3</v>
      </c>
      <c r="T172" s="22"/>
    </row>
    <row r="173" spans="1:20" x14ac:dyDescent="0.25">
      <c r="A173" s="5">
        <v>49035</v>
      </c>
      <c r="B173" s="9">
        <v>470</v>
      </c>
      <c r="C173" s="9">
        <v>3.213562672613099</v>
      </c>
      <c r="D173" s="7">
        <v>61.75</v>
      </c>
      <c r="E173" s="24">
        <v>62.666666666666664</v>
      </c>
      <c r="F173" s="24">
        <v>0.9166666666666643</v>
      </c>
      <c r="G173" s="25">
        <v>2.7451184403487194</v>
      </c>
      <c r="H173" s="10">
        <v>0.46844423226437959</v>
      </c>
      <c r="I173" s="8">
        <v>195.48815596512804</v>
      </c>
      <c r="K173" s="1">
        <v>2034</v>
      </c>
      <c r="L173" s="23">
        <v>4.0485829959511221E-3</v>
      </c>
      <c r="M173" s="23">
        <v>5.3475935828877219E-3</v>
      </c>
      <c r="N173" s="1" t="s">
        <v>155</v>
      </c>
      <c r="P173" s="20">
        <v>4.0000000000000001E-3</v>
      </c>
      <c r="T173" s="22"/>
    </row>
    <row r="174" spans="1:20" x14ac:dyDescent="0.25">
      <c r="A174" s="5">
        <v>49065</v>
      </c>
      <c r="B174" s="9">
        <v>467.5</v>
      </c>
      <c r="C174" s="9">
        <v>3.2328440486487775</v>
      </c>
      <c r="D174" s="7">
        <v>62</v>
      </c>
      <c r="E174" s="24">
        <v>62.333333333333336</v>
      </c>
      <c r="F174" s="24">
        <v>0.3333333333333357</v>
      </c>
      <c r="G174" s="25">
        <v>2.6632132466107192</v>
      </c>
      <c r="H174" s="10">
        <v>0.56963080203805827</v>
      </c>
      <c r="I174" s="8">
        <v>201.17867533892809</v>
      </c>
      <c r="K174" s="1">
        <v>2034</v>
      </c>
      <c r="L174" s="23">
        <v>4.0485829959511221E-3</v>
      </c>
      <c r="M174" s="23">
        <v>-5.3191489361702482E-3</v>
      </c>
      <c r="N174" s="1" t="s">
        <v>156</v>
      </c>
      <c r="P174" s="20">
        <v>6.0000000000000001E-3</v>
      </c>
      <c r="T174" s="22"/>
    </row>
    <row r="175" spans="1:20" x14ac:dyDescent="0.25">
      <c r="A175" s="5">
        <v>49096</v>
      </c>
      <c r="B175" s="9">
        <v>470</v>
      </c>
      <c r="C175" s="9">
        <v>3.2587068010379676</v>
      </c>
      <c r="D175" s="7">
        <v>62</v>
      </c>
      <c r="E175" s="24">
        <v>62.666666666666664</v>
      </c>
      <c r="F175" s="24">
        <v>0.6666666666666643</v>
      </c>
      <c r="G175" s="25">
        <v>2.6473810664524104</v>
      </c>
      <c r="H175" s="10">
        <v>0.61132573458555717</v>
      </c>
      <c r="I175" s="8">
        <v>205.26189335475897</v>
      </c>
      <c r="K175" s="1">
        <v>2034</v>
      </c>
      <c r="L175" s="23">
        <v>4.0485829959511221E-3</v>
      </c>
      <c r="M175" s="23">
        <v>5.3475935828877219E-3</v>
      </c>
      <c r="N175" s="1" t="s">
        <v>157</v>
      </c>
      <c r="P175" s="20">
        <v>8.0000000000000002E-3</v>
      </c>
      <c r="T175" s="22"/>
    </row>
    <row r="176" spans="1:20" x14ac:dyDescent="0.25">
      <c r="A176" s="5">
        <v>49126</v>
      </c>
      <c r="B176" s="9">
        <v>480</v>
      </c>
      <c r="C176" s="9">
        <v>3.2912938690483471</v>
      </c>
      <c r="D176" s="7">
        <v>61.75</v>
      </c>
      <c r="E176" s="24">
        <v>64</v>
      </c>
      <c r="F176" s="24">
        <v>2.25</v>
      </c>
      <c r="G176" s="25">
        <v>2.763242575467451</v>
      </c>
      <c r="H176" s="10">
        <v>0.52805129358089609</v>
      </c>
      <c r="I176" s="8">
        <v>203.67574245325488</v>
      </c>
      <c r="K176" s="1">
        <v>2034</v>
      </c>
      <c r="L176" s="23">
        <v>4.1474654377797737E-3</v>
      </c>
      <c r="M176" s="23">
        <v>2.1276595744680771E-2</v>
      </c>
      <c r="N176" s="1" t="s">
        <v>158</v>
      </c>
      <c r="P176" s="20">
        <v>0.01</v>
      </c>
      <c r="T176" s="22"/>
    </row>
    <row r="177" spans="1:20" x14ac:dyDescent="0.25">
      <c r="A177" s="5">
        <v>49157</v>
      </c>
      <c r="B177" s="9">
        <v>490</v>
      </c>
      <c r="C177" s="9">
        <v>3.3307893954769274</v>
      </c>
      <c r="D177" s="7">
        <v>61.5</v>
      </c>
      <c r="E177" s="24">
        <v>65.333333333333329</v>
      </c>
      <c r="F177" s="24">
        <v>3.8333333333333286</v>
      </c>
      <c r="G177" s="25">
        <v>2.9116144630577145</v>
      </c>
      <c r="H177" s="10">
        <v>0.41917493241921289</v>
      </c>
      <c r="I177" s="8">
        <v>198.83855369422855</v>
      </c>
      <c r="K177" s="1">
        <v>2034</v>
      </c>
      <c r="L177" s="23">
        <v>4.1474654377797737E-3</v>
      </c>
      <c r="M177" s="23">
        <v>2.0833333333333259E-2</v>
      </c>
      <c r="N177" s="1" t="s">
        <v>159</v>
      </c>
      <c r="P177" s="20">
        <v>1.2E-2</v>
      </c>
      <c r="T177" s="22"/>
    </row>
    <row r="178" spans="1:20" x14ac:dyDescent="0.25">
      <c r="A178" s="5">
        <v>49188</v>
      </c>
      <c r="B178" s="9">
        <v>502.5</v>
      </c>
      <c r="C178" s="9">
        <v>3.3774204470136042</v>
      </c>
      <c r="D178" s="7">
        <v>61.5</v>
      </c>
      <c r="E178" s="24">
        <v>67</v>
      </c>
      <c r="F178" s="24">
        <v>5.5</v>
      </c>
      <c r="G178" s="25">
        <v>2.9434972469891316</v>
      </c>
      <c r="H178" s="10">
        <v>0.4339232000244726</v>
      </c>
      <c r="I178" s="8">
        <v>208.15027530108682</v>
      </c>
      <c r="K178" s="1">
        <v>2034</v>
      </c>
      <c r="L178" s="23">
        <v>4.1474654377797737E-3</v>
      </c>
      <c r="M178" s="23">
        <v>2.5510204081632626E-2</v>
      </c>
      <c r="N178" s="1" t="s">
        <v>160</v>
      </c>
      <c r="P178" s="20">
        <v>1.4E-2</v>
      </c>
      <c r="T178" s="22"/>
    </row>
    <row r="179" spans="1:20" x14ac:dyDescent="0.25">
      <c r="A179" s="5">
        <v>49218</v>
      </c>
      <c r="B179" s="9">
        <v>515</v>
      </c>
      <c r="C179" s="9">
        <v>3.431459174165822</v>
      </c>
      <c r="D179" s="7">
        <v>61.5</v>
      </c>
      <c r="E179" s="24">
        <v>68.666666666666671</v>
      </c>
      <c r="F179" s="24">
        <v>7.1666666666666714</v>
      </c>
      <c r="G179" s="25">
        <v>3.0574535622661716</v>
      </c>
      <c r="H179" s="10">
        <v>0.37400561189965043</v>
      </c>
      <c r="I179" s="8">
        <v>209.25464377338284</v>
      </c>
      <c r="K179" s="1">
        <v>2034</v>
      </c>
      <c r="L179" s="23">
        <v>4.1303350160639685E-3</v>
      </c>
      <c r="M179" s="23">
        <v>2.4875621890547261E-2</v>
      </c>
      <c r="N179" s="1" t="s">
        <v>161</v>
      </c>
      <c r="P179" s="20">
        <v>1.6E-2</v>
      </c>
      <c r="T179" s="22"/>
    </row>
    <row r="180" spans="1:20" x14ac:dyDescent="0.25">
      <c r="A180" s="5">
        <v>49249</v>
      </c>
      <c r="B180" s="9">
        <v>530</v>
      </c>
      <c r="C180" s="9">
        <v>3.4932254393008066</v>
      </c>
      <c r="D180" s="7">
        <v>61.25</v>
      </c>
      <c r="E180" s="24">
        <v>70.666666666666671</v>
      </c>
      <c r="F180" s="24">
        <v>9.4166666666666714</v>
      </c>
      <c r="G180" s="25">
        <v>3.2951909361624807</v>
      </c>
      <c r="H180" s="10">
        <v>0.19803450313832593</v>
      </c>
      <c r="I180" s="8">
        <v>200.48090638375191</v>
      </c>
      <c r="K180" s="1">
        <v>2034</v>
      </c>
      <c r="L180" s="23">
        <v>4.1303350160639685E-3</v>
      </c>
      <c r="M180" s="23">
        <v>2.9126213592232997E-2</v>
      </c>
      <c r="N180" s="1" t="s">
        <v>162</v>
      </c>
      <c r="P180" s="20">
        <v>1.8000000000000002E-2</v>
      </c>
      <c r="T180" s="22"/>
    </row>
    <row r="181" spans="1:20" x14ac:dyDescent="0.25">
      <c r="A181" s="5">
        <v>49279</v>
      </c>
      <c r="B181" s="9">
        <v>545</v>
      </c>
      <c r="C181" s="9">
        <v>3.563089948086823</v>
      </c>
      <c r="D181" s="7">
        <v>61.25</v>
      </c>
      <c r="E181" s="24">
        <v>72.666666666666671</v>
      </c>
      <c r="F181" s="24">
        <v>11.416666666666671</v>
      </c>
      <c r="G181" s="25">
        <v>3.4164461254500922</v>
      </c>
      <c r="H181" s="10">
        <v>0.14664382263673081</v>
      </c>
      <c r="I181" s="8">
        <v>203.35538745499076</v>
      </c>
      <c r="K181" s="1">
        <v>2034</v>
      </c>
      <c r="L181" s="23">
        <v>4.1303350160639685E-3</v>
      </c>
      <c r="M181" s="23">
        <v>2.8301886792452935E-2</v>
      </c>
      <c r="N181" s="1" t="s">
        <v>163</v>
      </c>
      <c r="P181" s="20">
        <v>2.0000000000000004E-2</v>
      </c>
      <c r="T181" s="22"/>
    </row>
    <row r="182" spans="1:20" s="33" customFormat="1" x14ac:dyDescent="0.25">
      <c r="A182" s="26">
        <v>49310</v>
      </c>
      <c r="B182" s="27">
        <v>550</v>
      </c>
      <c r="C182" s="27">
        <v>3.6236624772042991</v>
      </c>
      <c r="D182" s="28">
        <v>61.25</v>
      </c>
      <c r="E182" s="29">
        <v>73.333333333333329</v>
      </c>
      <c r="F182" s="29">
        <v>12.083333333333329</v>
      </c>
      <c r="G182" s="30">
        <v>3.4164461254500922</v>
      </c>
      <c r="H182" s="31">
        <v>0.20721635175420694</v>
      </c>
      <c r="I182" s="32">
        <v>208.35538745499076</v>
      </c>
      <c r="K182" s="33">
        <v>2035</v>
      </c>
      <c r="L182" s="34">
        <v>3.9990859232172937E-3</v>
      </c>
      <c r="M182" s="34">
        <v>9.1743119266054496E-3</v>
      </c>
      <c r="N182" s="33" t="s">
        <v>164</v>
      </c>
      <c r="P182" s="35">
        <v>1.7000000000000005E-2</v>
      </c>
      <c r="T182" s="36"/>
    </row>
    <row r="183" spans="1:20" x14ac:dyDescent="0.25">
      <c r="A183" s="5">
        <v>49341</v>
      </c>
      <c r="B183" s="9">
        <v>552.5</v>
      </c>
      <c r="C183" s="9">
        <v>3.6743937518851593</v>
      </c>
      <c r="D183" s="28">
        <v>61.25</v>
      </c>
      <c r="E183" s="24">
        <v>73.666666666666671</v>
      </c>
      <c r="F183" s="24">
        <v>12.416666666666671</v>
      </c>
      <c r="G183" s="25">
        <v>3.4164461254500922</v>
      </c>
      <c r="H183" s="10">
        <v>0.25794762643506708</v>
      </c>
      <c r="I183" s="8">
        <v>210.85538745499076</v>
      </c>
      <c r="K183" s="1">
        <v>2035</v>
      </c>
      <c r="L183" s="23">
        <v>3.9990859232172937E-3</v>
      </c>
      <c r="M183" s="23">
        <v>4.5454545454546302E-3</v>
      </c>
      <c r="N183" s="1" t="s">
        <v>165</v>
      </c>
      <c r="P183" s="20">
        <v>1.4000000000000005E-2</v>
      </c>
      <c r="T183" s="22"/>
    </row>
    <row r="184" spans="1:20" x14ac:dyDescent="0.25">
      <c r="A184" s="5">
        <v>49369</v>
      </c>
      <c r="B184" s="9">
        <v>542.5</v>
      </c>
      <c r="C184" s="9">
        <v>3.7148120831558962</v>
      </c>
      <c r="D184" s="28">
        <v>61.25</v>
      </c>
      <c r="E184" s="24">
        <v>72.333333333333329</v>
      </c>
      <c r="F184" s="24">
        <v>11.083333333333329</v>
      </c>
      <c r="G184" s="25">
        <v>3.4164461254500922</v>
      </c>
      <c r="H184" s="10">
        <v>0.29836595770580399</v>
      </c>
      <c r="I184" s="8">
        <v>200.85538745499076</v>
      </c>
      <c r="K184" s="1">
        <v>2035</v>
      </c>
      <c r="L184" s="23">
        <v>3.9990859232172937E-3</v>
      </c>
      <c r="M184" s="23">
        <v>-1.8099547511312264E-2</v>
      </c>
      <c r="N184" s="1" t="s">
        <v>166</v>
      </c>
      <c r="P184" s="20">
        <v>1.1000000000000006E-2</v>
      </c>
      <c r="T184" s="22"/>
    </row>
    <row r="185" spans="1:20" x14ac:dyDescent="0.25">
      <c r="A185" s="5">
        <v>49400</v>
      </c>
      <c r="B185" s="9">
        <v>532.5</v>
      </c>
      <c r="C185" s="9">
        <v>3.7445305798211432</v>
      </c>
      <c r="D185" s="28">
        <v>61.25</v>
      </c>
      <c r="E185" s="24">
        <v>71</v>
      </c>
      <c r="F185" s="24">
        <v>9.75</v>
      </c>
      <c r="G185" s="25">
        <v>3.4164461254500922</v>
      </c>
      <c r="H185" s="10">
        <v>0.32808445437105105</v>
      </c>
      <c r="I185" s="8">
        <v>190.85538745499076</v>
      </c>
      <c r="K185" s="1">
        <v>2035</v>
      </c>
      <c r="L185" s="23">
        <v>4.0969614202814864E-3</v>
      </c>
      <c r="M185" s="23">
        <v>-1.8433179723502335E-2</v>
      </c>
      <c r="N185" s="1" t="s">
        <v>167</v>
      </c>
      <c r="P185" s="20">
        <v>8.0000000000000071E-3</v>
      </c>
      <c r="T185" s="22"/>
    </row>
    <row r="186" spans="1:20" x14ac:dyDescent="0.25">
      <c r="A186" s="5">
        <v>49430</v>
      </c>
      <c r="B186" s="9">
        <v>520</v>
      </c>
      <c r="C186" s="9">
        <v>3.763253232720249</v>
      </c>
      <c r="D186" s="28">
        <v>61.25</v>
      </c>
      <c r="E186" s="24">
        <v>69.333333333333329</v>
      </c>
      <c r="F186" s="24">
        <v>8.0833333333333286</v>
      </c>
      <c r="G186" s="25">
        <v>3.4164461254500922</v>
      </c>
      <c r="H186" s="10">
        <v>0.34680710727015684</v>
      </c>
      <c r="I186" s="8">
        <v>178.35538745499076</v>
      </c>
      <c r="K186" s="1">
        <v>2035</v>
      </c>
      <c r="L186" s="23">
        <v>4.0969614202814864E-3</v>
      </c>
      <c r="M186" s="23">
        <v>-2.3474178403755874E-2</v>
      </c>
      <c r="N186" s="1" t="s">
        <v>168</v>
      </c>
      <c r="P186" s="20">
        <v>5.000000000000007E-3</v>
      </c>
      <c r="T186" s="22"/>
    </row>
    <row r="187" spans="1:20" x14ac:dyDescent="0.25">
      <c r="A187" s="5">
        <v>49461</v>
      </c>
      <c r="B187" s="9">
        <v>502.5</v>
      </c>
      <c r="C187" s="9">
        <v>3.7406737133239276</v>
      </c>
      <c r="D187" s="28">
        <v>61.25</v>
      </c>
      <c r="E187" s="24">
        <v>67</v>
      </c>
      <c r="F187" s="24">
        <v>5.75</v>
      </c>
      <c r="G187" s="25">
        <v>3.4164461254500922</v>
      </c>
      <c r="H187" s="10">
        <v>0.32422758787383543</v>
      </c>
      <c r="I187" s="8">
        <v>160.85538745499076</v>
      </c>
      <c r="K187" s="1">
        <v>2035</v>
      </c>
      <c r="L187" s="23">
        <v>4.0969614202814864E-3</v>
      </c>
      <c r="M187" s="23">
        <v>-3.3653846153846145E-2</v>
      </c>
      <c r="N187" s="1" t="s">
        <v>169</v>
      </c>
      <c r="P187" s="20">
        <v>-5.9999999999999932E-3</v>
      </c>
      <c r="T187" s="22"/>
    </row>
    <row r="188" spans="1:20" x14ac:dyDescent="0.25">
      <c r="A188" s="5">
        <v>49491</v>
      </c>
      <c r="B188" s="9">
        <v>487.5</v>
      </c>
      <c r="C188" s="9">
        <v>3.7369330396106037</v>
      </c>
      <c r="D188" s="28">
        <v>61.25</v>
      </c>
      <c r="E188" s="24">
        <v>65</v>
      </c>
      <c r="F188" s="24">
        <v>3.75</v>
      </c>
      <c r="G188" s="25">
        <v>3.4164461254500922</v>
      </c>
      <c r="H188" s="10">
        <v>0.32048691416051156</v>
      </c>
      <c r="I188" s="8">
        <v>145.85538745499076</v>
      </c>
      <c r="K188" s="1">
        <v>2035</v>
      </c>
      <c r="L188" s="23">
        <v>4.1935849484338039E-3</v>
      </c>
      <c r="M188" s="23">
        <v>-2.9850746268656692E-2</v>
      </c>
      <c r="N188" s="1" t="s">
        <v>170</v>
      </c>
      <c r="P188" s="20">
        <v>-9.9999999999999308E-4</v>
      </c>
      <c r="T188" s="22"/>
    </row>
    <row r="189" spans="1:20" x14ac:dyDescent="0.25">
      <c r="A189" s="5">
        <v>49522</v>
      </c>
      <c r="B189" s="9">
        <v>470</v>
      </c>
      <c r="C189" s="9">
        <v>3.7219853074521612</v>
      </c>
      <c r="D189" s="28">
        <v>61.25</v>
      </c>
      <c r="E189" s="24">
        <v>62.666666666666664</v>
      </c>
      <c r="F189" s="24">
        <v>1.4166666666666643</v>
      </c>
      <c r="G189" s="25">
        <v>3.4164461254500922</v>
      </c>
      <c r="H189" s="10">
        <v>0.30553918200206898</v>
      </c>
      <c r="I189" s="8">
        <v>128.35538745499076</v>
      </c>
      <c r="K189" s="1">
        <v>2035</v>
      </c>
      <c r="L189" s="23">
        <v>4.1935849484338039E-3</v>
      </c>
      <c r="M189" s="23">
        <v>-3.5897435897435881E-2</v>
      </c>
      <c r="N189" s="1" t="s">
        <v>171</v>
      </c>
      <c r="P189" s="20">
        <v>-3.9999999999999931E-3</v>
      </c>
      <c r="T189" s="22"/>
    </row>
    <row r="190" spans="1:20" x14ac:dyDescent="0.25">
      <c r="A190" s="5">
        <v>49553</v>
      </c>
      <c r="B190" s="9">
        <v>452.5</v>
      </c>
      <c r="C190" s="9">
        <v>3.6959314102999961</v>
      </c>
      <c r="D190" s="28">
        <v>61.25</v>
      </c>
      <c r="E190" s="24">
        <v>60.333333333333336</v>
      </c>
      <c r="F190" s="24">
        <v>-0.9166666666666643</v>
      </c>
      <c r="G190" s="25">
        <v>3.4164461254500922</v>
      </c>
      <c r="H190" s="10">
        <v>0.27948528484990387</v>
      </c>
      <c r="I190" s="8">
        <v>110.85538745499076</v>
      </c>
      <c r="K190" s="1">
        <v>2035</v>
      </c>
      <c r="L190" s="23">
        <v>4.1935849484338039E-3</v>
      </c>
      <c r="M190" s="23">
        <v>-3.7234042553191515E-2</v>
      </c>
      <c r="N190" s="1" t="s">
        <v>172</v>
      </c>
      <c r="P190" s="20">
        <v>-6.9999999999999932E-3</v>
      </c>
      <c r="T190" s="22"/>
    </row>
    <row r="191" spans="1:20" x14ac:dyDescent="0.25">
      <c r="A191" s="5">
        <v>49583</v>
      </c>
      <c r="B191" s="9">
        <v>432.5</v>
      </c>
      <c r="C191" s="9">
        <v>3.658972096196996</v>
      </c>
      <c r="D191" s="28">
        <v>61.25</v>
      </c>
      <c r="E191" s="24">
        <v>57.666666666666664</v>
      </c>
      <c r="F191" s="24">
        <v>-3.5833333333333357</v>
      </c>
      <c r="G191" s="25">
        <v>3.4164461254500922</v>
      </c>
      <c r="H191" s="10">
        <v>0.24252597074690385</v>
      </c>
      <c r="I191" s="8">
        <v>90.855387454990762</v>
      </c>
      <c r="K191" s="1">
        <v>2035</v>
      </c>
      <c r="L191" s="23">
        <v>4.0632054176088506E-3</v>
      </c>
      <c r="M191" s="23">
        <v>-4.4198895027624308E-2</v>
      </c>
      <c r="N191" s="1" t="s">
        <v>173</v>
      </c>
      <c r="P191" s="20">
        <v>-9.9999999999999933E-3</v>
      </c>
      <c r="T191" s="22"/>
    </row>
    <row r="192" spans="1:20" x14ac:dyDescent="0.25">
      <c r="A192" s="5">
        <v>49614</v>
      </c>
      <c r="B192" s="9">
        <v>412.5</v>
      </c>
      <c r="C192" s="9">
        <v>3.6114054589464351</v>
      </c>
      <c r="D192" s="28">
        <v>61.25</v>
      </c>
      <c r="E192" s="24">
        <v>55</v>
      </c>
      <c r="F192" s="24">
        <v>-6.25</v>
      </c>
      <c r="G192" s="25">
        <v>3.4164461254500922</v>
      </c>
      <c r="H192" s="10">
        <v>0.19495933349634287</v>
      </c>
      <c r="I192" s="8">
        <v>70.855387454990762</v>
      </c>
      <c r="K192" s="1">
        <v>2035</v>
      </c>
      <c r="L192" s="23">
        <v>4.0632054176088506E-3</v>
      </c>
      <c r="M192" s="23">
        <v>-4.6242774566473965E-2</v>
      </c>
      <c r="N192" s="1" t="s">
        <v>174</v>
      </c>
      <c r="P192" s="20">
        <v>-1.2999999999999994E-2</v>
      </c>
      <c r="T192" s="22"/>
    </row>
    <row r="193" spans="1:20" x14ac:dyDescent="0.25">
      <c r="A193" s="5">
        <v>49644</v>
      </c>
      <c r="B193" s="9">
        <v>390</v>
      </c>
      <c r="C193" s="9">
        <v>3.5536229716032923</v>
      </c>
      <c r="D193" s="28">
        <v>61.25</v>
      </c>
      <c r="E193" s="24">
        <v>52</v>
      </c>
      <c r="F193" s="24">
        <v>-9.25</v>
      </c>
      <c r="G193" s="25">
        <v>3.4164461254500922</v>
      </c>
      <c r="H193" s="10">
        <v>0.13717684615320014</v>
      </c>
      <c r="I193" s="8">
        <v>48.355387454990762</v>
      </c>
      <c r="K193" s="1">
        <v>2035</v>
      </c>
      <c r="L193" s="23">
        <v>4.0632054176088506E-3</v>
      </c>
      <c r="M193" s="23">
        <v>-5.4545454545454564E-2</v>
      </c>
      <c r="N193" s="1" t="s">
        <v>175</v>
      </c>
      <c r="P193" s="20">
        <v>-1.5999999999999993E-2</v>
      </c>
      <c r="T193" s="22"/>
    </row>
    <row r="194" spans="1:20" x14ac:dyDescent="0.25">
      <c r="A194" s="5">
        <v>49675</v>
      </c>
      <c r="B194" s="9">
        <v>382.5</v>
      </c>
      <c r="C194" s="9">
        <v>3.6175881850921514</v>
      </c>
      <c r="D194" s="24"/>
      <c r="E194" s="24">
        <v>51</v>
      </c>
      <c r="F194" s="24">
        <v>51</v>
      </c>
      <c r="G194" s="25">
        <v>3.4164461254500922</v>
      </c>
      <c r="H194" s="10">
        <v>0.20114205964205922</v>
      </c>
      <c r="I194" s="8">
        <v>40.855387454990762</v>
      </c>
      <c r="K194" s="1">
        <v>2036</v>
      </c>
      <c r="L194" s="23">
        <v>4.0467625899198723E-3</v>
      </c>
      <c r="M194" s="23">
        <v>-1.9230769230769273E-2</v>
      </c>
      <c r="N194" s="1" t="s">
        <v>176</v>
      </c>
      <c r="P194" s="20">
        <v>1.8000000000000006E-2</v>
      </c>
      <c r="T194" s="22"/>
    </row>
    <row r="195" spans="1:20" x14ac:dyDescent="0.25">
      <c r="A195" s="5">
        <v>49706</v>
      </c>
      <c r="B195" s="9">
        <v>372.5</v>
      </c>
      <c r="C195" s="9">
        <v>3.6718520078685337</v>
      </c>
      <c r="D195" s="24"/>
      <c r="E195" s="24">
        <v>49.666666666666664</v>
      </c>
      <c r="F195" s="24">
        <v>49.666666666666664</v>
      </c>
      <c r="G195" s="25">
        <v>3.4164461254500922</v>
      </c>
      <c r="H195" s="10">
        <v>0.25540588241844153</v>
      </c>
      <c r="I195" s="8">
        <v>30.855387454990762</v>
      </c>
      <c r="K195" s="1">
        <v>2036</v>
      </c>
      <c r="L195" s="23">
        <v>4.0467625899198723E-3</v>
      </c>
      <c r="M195" s="23">
        <v>-2.6143790849673221E-2</v>
      </c>
      <c r="N195" s="1" t="s">
        <v>177</v>
      </c>
      <c r="P195" s="20">
        <v>1.5000000000000006E-2</v>
      </c>
      <c r="T195" s="22"/>
    </row>
    <row r="196" spans="1:20" x14ac:dyDescent="0.25">
      <c r="A196" s="5">
        <v>49735</v>
      </c>
      <c r="B196" s="9">
        <v>362.5</v>
      </c>
      <c r="C196" s="9">
        <v>3.7159142319629561</v>
      </c>
      <c r="D196" s="24"/>
      <c r="E196" s="24">
        <v>48.333333333333336</v>
      </c>
      <c r="F196" s="24">
        <v>48.333333333333336</v>
      </c>
      <c r="G196" s="25">
        <v>3.4164461254500922</v>
      </c>
      <c r="H196" s="10">
        <v>0.29946810651286393</v>
      </c>
      <c r="I196" s="8">
        <v>20.855387454990762</v>
      </c>
      <c r="K196" s="1">
        <v>2036</v>
      </c>
      <c r="L196" s="23">
        <v>4.0467625899198723E-3</v>
      </c>
      <c r="M196" s="23">
        <v>-2.6845637583892579E-2</v>
      </c>
      <c r="N196" s="1" t="s">
        <v>178</v>
      </c>
      <c r="P196" s="20">
        <v>1.2000000000000007E-2</v>
      </c>
      <c r="T196" s="22"/>
    </row>
    <row r="197" spans="1:20" x14ac:dyDescent="0.25">
      <c r="A197" s="5">
        <v>49766</v>
      </c>
      <c r="B197" s="9">
        <v>350</v>
      </c>
      <c r="C197" s="9">
        <v>3.7493574600506228</v>
      </c>
      <c r="D197" s="24"/>
      <c r="E197" s="24">
        <v>46.666666666666664</v>
      </c>
      <c r="F197" s="24">
        <v>46.666666666666664</v>
      </c>
      <c r="G197" s="25">
        <v>3.4164461254500922</v>
      </c>
      <c r="H197" s="10">
        <v>0.33291133460053057</v>
      </c>
      <c r="I197" s="8">
        <v>8.3553874549907619</v>
      </c>
      <c r="K197" s="1">
        <v>2036</v>
      </c>
      <c r="L197" s="23">
        <v>4.1424093148265673E-3</v>
      </c>
      <c r="M197" s="23">
        <v>-3.4482758620689613E-2</v>
      </c>
      <c r="N197" s="1" t="s">
        <v>179</v>
      </c>
      <c r="P197" s="20">
        <v>9.000000000000008E-3</v>
      </c>
      <c r="T197" s="22"/>
    </row>
    <row r="198" spans="1:20" x14ac:dyDescent="0.25">
      <c r="A198" s="5">
        <v>49796</v>
      </c>
      <c r="B198" s="9">
        <v>337.5</v>
      </c>
      <c r="C198" s="9">
        <v>3.7718536048109264</v>
      </c>
      <c r="D198" s="24"/>
      <c r="E198" s="24">
        <v>45</v>
      </c>
      <c r="F198" s="24">
        <v>45</v>
      </c>
      <c r="G198" s="25">
        <v>3.4164461254500922</v>
      </c>
      <c r="H198" s="10">
        <v>0.35540747936083417</v>
      </c>
      <c r="I198" s="8">
        <v>-4.1446125450092381</v>
      </c>
      <c r="K198" s="1">
        <v>2036</v>
      </c>
      <c r="L198" s="23">
        <v>4.1424093148265673E-3</v>
      </c>
      <c r="M198" s="23">
        <v>-3.5714285714285698E-2</v>
      </c>
      <c r="N198" s="1" t="s">
        <v>180</v>
      </c>
      <c r="P198" s="20">
        <v>6.0000000000000071E-3</v>
      </c>
      <c r="T198" s="22"/>
    </row>
    <row r="199" spans="1:20" x14ac:dyDescent="0.25">
      <c r="A199" s="5">
        <v>49827</v>
      </c>
      <c r="B199" s="9">
        <v>325</v>
      </c>
      <c r="C199" s="9">
        <v>3.8058002872542249</v>
      </c>
      <c r="D199" s="24"/>
      <c r="E199" s="24">
        <v>43.333333333333336</v>
      </c>
      <c r="F199" s="24">
        <v>43.333333333333336</v>
      </c>
      <c r="G199" s="25">
        <v>3.4164461254500922</v>
      </c>
      <c r="H199" s="10">
        <v>0.38935416180413274</v>
      </c>
      <c r="I199" s="8">
        <v>-16.644612545009238</v>
      </c>
      <c r="K199" s="1">
        <v>2036</v>
      </c>
      <c r="L199" s="23">
        <v>4.1424093148265673E-3</v>
      </c>
      <c r="M199" s="23">
        <v>-3.703703703703709E-2</v>
      </c>
      <c r="N199" s="1" t="s">
        <v>181</v>
      </c>
      <c r="P199" s="20">
        <v>9.000000000000008E-3</v>
      </c>
      <c r="T199" s="22"/>
    </row>
    <row r="200" spans="1:20" x14ac:dyDescent="0.25">
      <c r="A200" s="5">
        <v>49857</v>
      </c>
      <c r="B200" s="9">
        <v>312.5</v>
      </c>
      <c r="C200" s="9">
        <v>3.8286350889777503</v>
      </c>
      <c r="D200" s="24"/>
      <c r="E200" s="24">
        <v>41.666666666666664</v>
      </c>
      <c r="F200" s="24">
        <v>41.666666666666664</v>
      </c>
      <c r="G200" s="25">
        <v>3.4164461254500922</v>
      </c>
      <c r="H200" s="10">
        <v>0.4121889635276581</v>
      </c>
      <c r="I200" s="8">
        <v>-29.144612545009238</v>
      </c>
      <c r="K200" s="1">
        <v>2036</v>
      </c>
      <c r="L200" s="23">
        <v>4.12532054855963E-3</v>
      </c>
      <c r="M200" s="23">
        <v>-3.8461538461538436E-2</v>
      </c>
      <c r="N200" s="1" t="s">
        <v>182</v>
      </c>
      <c r="P200" s="20">
        <v>6.0000000000000071E-3</v>
      </c>
      <c r="T200" s="22"/>
    </row>
    <row r="201" spans="1:20" x14ac:dyDescent="0.25">
      <c r="A201" s="5">
        <v>49888</v>
      </c>
      <c r="B201" s="9">
        <v>297.5</v>
      </c>
      <c r="C201" s="9">
        <v>3.8171491837108169</v>
      </c>
      <c r="D201" s="24"/>
      <c r="E201" s="24">
        <v>39.666666666666664</v>
      </c>
      <c r="F201" s="24">
        <v>39.666666666666664</v>
      </c>
      <c r="G201" s="25">
        <v>3.4164461254500922</v>
      </c>
      <c r="H201" s="10">
        <v>0.40070305826072472</v>
      </c>
      <c r="I201" s="8">
        <v>-44.144612545009238</v>
      </c>
      <c r="K201" s="1">
        <v>2036</v>
      </c>
      <c r="L201" s="23">
        <v>4.12532054855963E-3</v>
      </c>
      <c r="M201" s="23">
        <v>-4.8000000000000043E-2</v>
      </c>
      <c r="N201" s="1" t="s">
        <v>183</v>
      </c>
      <c r="P201" s="20">
        <v>-2.9999999999999931E-3</v>
      </c>
      <c r="T201" s="22"/>
    </row>
    <row r="202" spans="1:20" x14ac:dyDescent="0.25">
      <c r="A202" s="5">
        <v>49919</v>
      </c>
      <c r="B202" s="9">
        <v>280</v>
      </c>
      <c r="C202" s="9">
        <v>3.794246288608552</v>
      </c>
      <c r="D202" s="24"/>
      <c r="E202" s="24">
        <v>37.333333333333336</v>
      </c>
      <c r="F202" s="24">
        <v>37.333333333333336</v>
      </c>
      <c r="G202" s="25">
        <v>3.4164461254500922</v>
      </c>
      <c r="H202" s="10">
        <v>0.37780016315845977</v>
      </c>
      <c r="I202" s="8">
        <v>-61.644612545009238</v>
      </c>
      <c r="K202" s="1">
        <v>2036</v>
      </c>
      <c r="L202" s="23">
        <v>4.12532054855963E-3</v>
      </c>
      <c r="M202" s="23">
        <v>-5.8823529411764719E-2</v>
      </c>
      <c r="N202" s="1" t="s">
        <v>184</v>
      </c>
      <c r="P202" s="20">
        <v>-5.9999999999999932E-3</v>
      </c>
      <c r="T202" s="22"/>
    </row>
    <row r="203" spans="1:20" x14ac:dyDescent="0.25">
      <c r="A203" s="5">
        <v>49949</v>
      </c>
      <c r="B203" s="9">
        <v>262.5</v>
      </c>
      <c r="C203" s="9">
        <v>3.760098072011075</v>
      </c>
      <c r="D203" s="24"/>
      <c r="E203" s="24">
        <v>35</v>
      </c>
      <c r="F203" s="24">
        <v>35</v>
      </c>
      <c r="G203" s="25">
        <v>3.4164461254500922</v>
      </c>
      <c r="H203" s="10">
        <v>0.34365194656098286</v>
      </c>
      <c r="I203" s="8">
        <v>-79.144612545009238</v>
      </c>
      <c r="K203" s="1">
        <v>2036</v>
      </c>
      <c r="L203" s="23">
        <v>4.1083721963075526E-3</v>
      </c>
      <c r="M203" s="23">
        <v>-6.25E-2</v>
      </c>
      <c r="N203" s="1" t="s">
        <v>185</v>
      </c>
      <c r="P203" s="20">
        <v>-8.9999999999999941E-3</v>
      </c>
      <c r="T203" s="22"/>
    </row>
    <row r="204" spans="1:20" x14ac:dyDescent="0.25">
      <c r="A204" s="5">
        <v>49980</v>
      </c>
      <c r="B204" s="9">
        <v>245</v>
      </c>
      <c r="C204" s="9">
        <v>3.714976895146942</v>
      </c>
      <c r="D204" s="24"/>
      <c r="E204" s="24">
        <v>32.666666666666664</v>
      </c>
      <c r="F204" s="24">
        <v>32.666666666666664</v>
      </c>
      <c r="G204" s="25">
        <v>3.4164461254500922</v>
      </c>
      <c r="H204" s="10">
        <v>0.29853076969684977</v>
      </c>
      <c r="I204" s="8">
        <v>-96.644612545009238</v>
      </c>
      <c r="K204" s="1">
        <v>2036</v>
      </c>
      <c r="L204" s="23">
        <v>4.1083721963075526E-3</v>
      </c>
      <c r="M204" s="23">
        <v>-6.6666666666666652E-2</v>
      </c>
      <c r="N204" s="1" t="s">
        <v>186</v>
      </c>
      <c r="P204" s="20">
        <v>-1.1999999999999993E-2</v>
      </c>
      <c r="T204" s="22"/>
    </row>
    <row r="205" spans="1:20" x14ac:dyDescent="0.25">
      <c r="A205" s="5">
        <v>50010</v>
      </c>
      <c r="B205" s="9">
        <v>227.5</v>
      </c>
      <c r="C205" s="9">
        <v>3.659252241719738</v>
      </c>
      <c r="D205" s="24"/>
      <c r="E205" s="24">
        <v>30.333333333333332</v>
      </c>
      <c r="F205" s="24">
        <v>30.333333333333332</v>
      </c>
      <c r="G205" s="25">
        <v>3.4164461254500922</v>
      </c>
      <c r="H205" s="10">
        <v>0.24280611626964577</v>
      </c>
      <c r="I205" s="8">
        <v>-114.14461254500924</v>
      </c>
      <c r="K205" s="1">
        <v>2036</v>
      </c>
      <c r="L205" s="23">
        <v>4.1083721963075526E-3</v>
      </c>
      <c r="M205" s="23">
        <v>-7.1428571428571397E-2</v>
      </c>
      <c r="N205" s="1" t="s">
        <v>187</v>
      </c>
      <c r="P205" s="20">
        <v>-1.4999999999999993E-2</v>
      </c>
      <c r="T205" s="22"/>
    </row>
    <row r="206" spans="1:20" x14ac:dyDescent="0.25">
      <c r="A206" s="5">
        <v>50041</v>
      </c>
      <c r="B206" s="9">
        <v>210</v>
      </c>
      <c r="C206" s="9">
        <v>3.6043634580939421</v>
      </c>
      <c r="D206" s="24"/>
      <c r="E206" s="24">
        <v>28</v>
      </c>
      <c r="F206" s="24">
        <v>28</v>
      </c>
      <c r="G206" s="25">
        <v>3.4164461254500922</v>
      </c>
      <c r="H206" s="10">
        <v>0.18791733264384991</v>
      </c>
      <c r="I206" s="8">
        <v>-131.64461254500924</v>
      </c>
      <c r="K206" s="1">
        <v>2037</v>
      </c>
      <c r="L206" s="23">
        <v>4.0915625345605555E-3</v>
      </c>
      <c r="M206" s="23">
        <v>-7.6923076923076872E-2</v>
      </c>
      <c r="N206" s="1" t="s">
        <v>188</v>
      </c>
      <c r="P206" s="20">
        <v>-1.4999999999999993E-2</v>
      </c>
      <c r="T206" s="22"/>
    </row>
    <row r="207" spans="1:20" x14ac:dyDescent="0.25">
      <c r="A207" s="5">
        <v>50072</v>
      </c>
      <c r="B207" s="9">
        <v>197.5</v>
      </c>
      <c r="C207" s="9">
        <v>3.6259896388425057</v>
      </c>
      <c r="D207" s="24"/>
      <c r="E207" s="24">
        <v>26.333333333333332</v>
      </c>
      <c r="F207" s="24">
        <v>26.333333333333332</v>
      </c>
      <c r="G207" s="25">
        <v>3.4164461254500922</v>
      </c>
      <c r="H207" s="10">
        <v>0.20954351339241351</v>
      </c>
      <c r="I207" s="8">
        <v>-144.14461254500924</v>
      </c>
      <c r="K207" s="1">
        <v>2037</v>
      </c>
      <c r="L207" s="23">
        <v>4.0915625345605555E-3</v>
      </c>
      <c r="M207" s="23">
        <v>-5.9523809523809534E-2</v>
      </c>
      <c r="N207" s="1" t="s">
        <v>189</v>
      </c>
      <c r="P207" s="20">
        <v>6.0000000000000001E-3</v>
      </c>
      <c r="T207" s="22"/>
    </row>
    <row r="208" spans="1:20" x14ac:dyDescent="0.25">
      <c r="A208" s="5">
        <v>50100</v>
      </c>
      <c r="B208" s="9">
        <v>182.5</v>
      </c>
      <c r="C208" s="9">
        <v>3.6441195870367182</v>
      </c>
      <c r="D208" s="24"/>
      <c r="E208" s="24">
        <v>24.333333333333332</v>
      </c>
      <c r="F208" s="24">
        <v>24.333333333333332</v>
      </c>
      <c r="G208" s="25">
        <v>3.4164461254500922</v>
      </c>
      <c r="H208" s="10">
        <v>0.22767346158662605</v>
      </c>
      <c r="I208" s="8">
        <v>-159.14461254500924</v>
      </c>
      <c r="K208" s="1">
        <v>2037</v>
      </c>
      <c r="L208" s="23">
        <v>4.0915625345605555E-3</v>
      </c>
      <c r="M208" s="23">
        <v>-7.5949367088607556E-2</v>
      </c>
      <c r="N208" s="1" t="s">
        <v>190</v>
      </c>
      <c r="P208" s="20">
        <v>5.0000000000000001E-3</v>
      </c>
      <c r="T208" s="22"/>
    </row>
    <row r="209" spans="1:20" x14ac:dyDescent="0.25">
      <c r="A209" s="5">
        <v>50131</v>
      </c>
      <c r="B209" s="9">
        <v>167.5</v>
      </c>
      <c r="C209" s="9">
        <v>3.658696065384865</v>
      </c>
      <c r="D209" s="24"/>
      <c r="E209" s="24">
        <v>22.333333333333332</v>
      </c>
      <c r="F209" s="24">
        <v>22.333333333333332</v>
      </c>
      <c r="G209" s="25">
        <v>3.4164461254500922</v>
      </c>
      <c r="H209" s="10">
        <v>0.24224993993477284</v>
      </c>
      <c r="I209" s="8">
        <v>-174.14461254500924</v>
      </c>
      <c r="K209" s="1">
        <v>2037</v>
      </c>
      <c r="L209" s="23">
        <v>4.0748898678448775E-3</v>
      </c>
      <c r="M209" s="23">
        <v>-8.2191780821917804E-2</v>
      </c>
      <c r="N209" s="1" t="s">
        <v>191</v>
      </c>
      <c r="P209" s="20">
        <v>4.0000000000000001E-3</v>
      </c>
      <c r="T209" s="22"/>
    </row>
    <row r="210" spans="1:20" x14ac:dyDescent="0.25">
      <c r="A210" s="5">
        <v>50161</v>
      </c>
      <c r="B210" s="9">
        <v>152.5</v>
      </c>
      <c r="C210" s="9">
        <v>3.6806482417771744</v>
      </c>
      <c r="D210" s="24"/>
      <c r="E210" s="24">
        <v>20.333333333333332</v>
      </c>
      <c r="F210" s="24">
        <v>20.333333333333332</v>
      </c>
      <c r="G210" s="25">
        <v>3.4164461254500922</v>
      </c>
      <c r="H210" s="10">
        <v>0.26420211632708224</v>
      </c>
      <c r="I210" s="8">
        <v>-189.14461254500924</v>
      </c>
      <c r="K210" s="1">
        <v>2037</v>
      </c>
      <c r="L210" s="23">
        <v>4.0748898678448775E-3</v>
      </c>
      <c r="M210" s="23">
        <v>-8.9552238805970186E-2</v>
      </c>
      <c r="N210" s="1" t="s">
        <v>192</v>
      </c>
      <c r="P210" s="20">
        <v>6.0000000000000001E-3</v>
      </c>
      <c r="T210" s="22"/>
    </row>
    <row r="211" spans="1:20" x14ac:dyDescent="0.25">
      <c r="A211" s="5">
        <v>50192</v>
      </c>
      <c r="B211" s="9">
        <v>137.5</v>
      </c>
      <c r="C211" s="9">
        <v>3.7100934277113917</v>
      </c>
      <c r="D211" s="24"/>
      <c r="E211" s="24">
        <v>18.333333333333332</v>
      </c>
      <c r="F211" s="24">
        <v>18.333333333333332</v>
      </c>
      <c r="G211" s="25">
        <v>3.4164461254500922</v>
      </c>
      <c r="H211" s="10">
        <v>0.29364730226129954</v>
      </c>
      <c r="I211" s="8">
        <v>-204.14461254500924</v>
      </c>
      <c r="K211" s="1">
        <v>2037</v>
      </c>
      <c r="L211" s="23">
        <v>4.0748898678448775E-3</v>
      </c>
      <c r="M211" s="23">
        <v>-9.8360655737704916E-2</v>
      </c>
      <c r="N211" s="1" t="s">
        <v>193</v>
      </c>
      <c r="P211" s="20">
        <v>8.0000000000000002E-3</v>
      </c>
      <c r="T211" s="22"/>
    </row>
    <row r="212" spans="1:20" x14ac:dyDescent="0.25">
      <c r="A212" s="5">
        <v>50222</v>
      </c>
      <c r="B212" s="9">
        <v>125</v>
      </c>
      <c r="C212" s="9">
        <v>3.7471943619885058</v>
      </c>
      <c r="D212" s="24"/>
      <c r="E212" s="24">
        <v>16.666666666666668</v>
      </c>
      <c r="F212" s="24">
        <v>16.666666666666668</v>
      </c>
      <c r="G212" s="25">
        <v>3.4164461254500922</v>
      </c>
      <c r="H212" s="10">
        <v>0.33074823653841356</v>
      </c>
      <c r="I212" s="8">
        <v>-216.64461254500924</v>
      </c>
      <c r="K212" s="1">
        <v>2037</v>
      </c>
      <c r="L212" s="23">
        <v>4.0583525282378297E-3</v>
      </c>
      <c r="M212" s="23">
        <v>-9.0909090909090939E-2</v>
      </c>
      <c r="N212" s="1" t="s">
        <v>194</v>
      </c>
      <c r="P212" s="20">
        <v>0.01</v>
      </c>
      <c r="T212" s="22"/>
    </row>
    <row r="213" spans="1:20" x14ac:dyDescent="0.25">
      <c r="A213" s="5">
        <v>50253</v>
      </c>
      <c r="B213" s="9">
        <v>112.5</v>
      </c>
      <c r="C213" s="9">
        <v>3.792160694332368</v>
      </c>
      <c r="D213" s="24"/>
      <c r="E213" s="24">
        <v>15</v>
      </c>
      <c r="F213" s="24">
        <v>15</v>
      </c>
      <c r="G213" s="25">
        <v>3.4164461254500922</v>
      </c>
      <c r="H213" s="10">
        <v>0.37571456888227583</v>
      </c>
      <c r="I213" s="8">
        <v>-229.14461254500924</v>
      </c>
      <c r="K213" s="1">
        <v>2037</v>
      </c>
      <c r="L213" s="23">
        <v>4.0583525282378297E-3</v>
      </c>
      <c r="M213" s="23">
        <v>-9.9999999999999978E-2</v>
      </c>
      <c r="N213" s="1" t="s">
        <v>195</v>
      </c>
      <c r="P213" s="20">
        <v>1.2E-2</v>
      </c>
      <c r="T213" s="22"/>
    </row>
    <row r="214" spans="1:20" x14ac:dyDescent="0.25">
      <c r="A214" s="5">
        <v>50284</v>
      </c>
      <c r="B214" s="9">
        <v>100</v>
      </c>
      <c r="C214" s="9">
        <v>3.8452509440530211</v>
      </c>
      <c r="D214" s="24"/>
      <c r="E214" s="24">
        <v>13.333333333333334</v>
      </c>
      <c r="F214" s="24">
        <v>13.333333333333334</v>
      </c>
      <c r="G214" s="25">
        <v>3.4164461254500922</v>
      </c>
      <c r="H214" s="10">
        <v>0.42880481860292896</v>
      </c>
      <c r="I214" s="8">
        <v>-241.64461254500924</v>
      </c>
      <c r="K214" s="1">
        <v>2037</v>
      </c>
      <c r="L214" s="23">
        <v>4.0583525282378297E-3</v>
      </c>
      <c r="M214" s="23">
        <v>-0.11111111111111116</v>
      </c>
      <c r="N214" s="1" t="s">
        <v>196</v>
      </c>
      <c r="P214" s="20">
        <v>1.4E-2</v>
      </c>
      <c r="T214" s="22"/>
    </row>
    <row r="215" spans="1:20" x14ac:dyDescent="0.25">
      <c r="A215" s="5">
        <v>50314</v>
      </c>
      <c r="B215" s="9">
        <v>87.5</v>
      </c>
      <c r="C215" s="9">
        <v>3.9067749591578695</v>
      </c>
      <c r="D215" s="24"/>
      <c r="E215" s="24">
        <v>11.666666666666666</v>
      </c>
      <c r="F215" s="24">
        <v>11.666666666666666</v>
      </c>
      <c r="G215" s="25">
        <v>3.4164461254500922</v>
      </c>
      <c r="H215" s="10">
        <v>0.49032883370777736</v>
      </c>
      <c r="I215" s="8">
        <v>-254.14461254500924</v>
      </c>
      <c r="K215" s="1">
        <v>2037</v>
      </c>
      <c r="L215" s="23">
        <v>4.1511907362954403E-3</v>
      </c>
      <c r="M215" s="23">
        <v>-0.125</v>
      </c>
      <c r="N215" s="1" t="s">
        <v>197</v>
      </c>
      <c r="P215" s="20">
        <v>1.6E-2</v>
      </c>
      <c r="T215" s="22"/>
    </row>
    <row r="216" spans="1:20" x14ac:dyDescent="0.25">
      <c r="A216" s="5">
        <v>50345</v>
      </c>
      <c r="B216" s="9">
        <v>75</v>
      </c>
      <c r="C216" s="9">
        <v>3.9770969084227112</v>
      </c>
      <c r="D216" s="24"/>
      <c r="E216" s="24">
        <v>10</v>
      </c>
      <c r="F216" s="24">
        <v>10</v>
      </c>
      <c r="G216" s="25">
        <v>3.4164461254500922</v>
      </c>
      <c r="H216" s="10">
        <v>0.56065078297261906</v>
      </c>
      <c r="I216" s="8">
        <v>-266.64461254500924</v>
      </c>
      <c r="K216" s="1">
        <v>2037</v>
      </c>
      <c r="L216" s="23">
        <v>4.1511907362954403E-3</v>
      </c>
      <c r="M216" s="23">
        <v>-0.1428571428571429</v>
      </c>
      <c r="N216" s="1" t="s">
        <v>198</v>
      </c>
      <c r="P216" s="20">
        <v>1.8000000000000002E-2</v>
      </c>
      <c r="T216" s="22"/>
    </row>
    <row r="217" spans="1:20" x14ac:dyDescent="0.25">
      <c r="A217" s="5">
        <v>50375</v>
      </c>
      <c r="B217" s="9">
        <v>62.5</v>
      </c>
      <c r="C217" s="9">
        <v>4.0566388465911656</v>
      </c>
      <c r="D217" s="24"/>
      <c r="E217" s="24">
        <v>8.3333333333333339</v>
      </c>
      <c r="F217" s="24">
        <v>8.3333333333333339</v>
      </c>
      <c r="G217" s="25">
        <v>3.4164461254500922</v>
      </c>
      <c r="H217" s="10">
        <v>0.6401927211410734</v>
      </c>
      <c r="I217" s="8">
        <v>-279.14461254500924</v>
      </c>
      <c r="K217" s="1">
        <v>2037</v>
      </c>
      <c r="L217" s="23">
        <v>4.1511907362954403E-3</v>
      </c>
      <c r="M217" s="23">
        <v>-0.16666666666666663</v>
      </c>
      <c r="N217" s="1" t="s">
        <v>199</v>
      </c>
      <c r="P217" s="20">
        <v>2.0000000000000004E-2</v>
      </c>
      <c r="T217" s="22"/>
    </row>
    <row r="218" spans="1:20" x14ac:dyDescent="0.25">
      <c r="A218" s="5">
        <v>50406</v>
      </c>
      <c r="B218" s="9">
        <v>47.5</v>
      </c>
      <c r="C218" s="9">
        <v>4.1256017069832156</v>
      </c>
      <c r="D218" s="24"/>
      <c r="E218" s="24">
        <v>6.333333333333333</v>
      </c>
      <c r="F218" s="24">
        <v>6.333333333333333</v>
      </c>
      <c r="G218" s="25">
        <v>3.4164461254500922</v>
      </c>
      <c r="H218" s="10">
        <v>0.70915558153312341</v>
      </c>
      <c r="I218" s="8">
        <v>-294.14461254500924</v>
      </c>
      <c r="K218" s="1">
        <v>2038</v>
      </c>
      <c r="L218" s="23">
        <v>4.0939989167346758E-3</v>
      </c>
      <c r="M218" s="23">
        <v>-0.24</v>
      </c>
      <c r="N218" s="1" t="s">
        <v>200</v>
      </c>
      <c r="P218" s="20">
        <v>1.7000000000000005E-2</v>
      </c>
      <c r="T218" s="22"/>
    </row>
    <row r="219" spans="1:20" x14ac:dyDescent="0.25">
      <c r="A219" s="5">
        <v>50437</v>
      </c>
      <c r="B219" s="9">
        <v>32.5</v>
      </c>
      <c r="C219" s="9">
        <v>4.1833601308809802</v>
      </c>
      <c r="D219" s="24"/>
      <c r="E219" s="24">
        <v>4.333333333333333</v>
      </c>
      <c r="F219" s="24">
        <v>4.333333333333333</v>
      </c>
      <c r="G219" s="25">
        <v>3.4164461254500922</v>
      </c>
      <c r="H219" s="10">
        <v>0.76691400543088806</v>
      </c>
      <c r="I219" s="8">
        <v>-309.14461254500924</v>
      </c>
      <c r="K219" s="1">
        <v>2038</v>
      </c>
      <c r="L219" s="23">
        <v>4.0942019485825194E-3</v>
      </c>
      <c r="M219" s="23">
        <v>-0.31578947368421051</v>
      </c>
      <c r="N219" s="1" t="s">
        <v>201</v>
      </c>
      <c r="P219" s="20">
        <v>1.4000000000000005E-2</v>
      </c>
      <c r="T219" s="22"/>
    </row>
    <row r="220" spans="1:20" x14ac:dyDescent="0.25">
      <c r="A220" s="5">
        <v>50465</v>
      </c>
      <c r="B220" s="9">
        <v>17.5</v>
      </c>
      <c r="C220" s="9">
        <v>4.2293770923206715</v>
      </c>
      <c r="D220" s="24"/>
      <c r="E220" s="24">
        <v>2.3333333333333335</v>
      </c>
      <c r="F220" s="24">
        <v>2.3333333333333335</v>
      </c>
      <c r="G220" s="25">
        <v>3.4164461254500922</v>
      </c>
      <c r="H220" s="10">
        <v>0.81293096687057931</v>
      </c>
      <c r="I220" s="8">
        <v>-324.14461254500924</v>
      </c>
      <c r="K220" s="1">
        <v>2038</v>
      </c>
      <c r="L220" s="23">
        <v>4.0944218997510159E-3</v>
      </c>
      <c r="M220" s="23">
        <v>-0.46153846153846156</v>
      </c>
      <c r="N220" s="1" t="s">
        <v>202</v>
      </c>
      <c r="P220" s="20">
        <v>1.1000000000000006E-2</v>
      </c>
      <c r="T220" s="22"/>
    </row>
    <row r="221" spans="1:20" x14ac:dyDescent="0.25">
      <c r="A221" s="5">
        <v>50496</v>
      </c>
      <c r="B221" s="9">
        <v>2.5</v>
      </c>
      <c r="C221" s="9">
        <v>4.2632121090592365</v>
      </c>
      <c r="D221" s="24"/>
      <c r="E221" s="24">
        <v>0.33333333333333331</v>
      </c>
      <c r="F221" s="24">
        <v>0.33333333333333331</v>
      </c>
      <c r="G221" s="25">
        <v>3.4164461254500922</v>
      </c>
      <c r="H221" s="10">
        <v>0.84676598360914435</v>
      </c>
      <c r="I221" s="8">
        <v>-339.14461254500924</v>
      </c>
      <c r="K221" s="1">
        <v>2038</v>
      </c>
      <c r="L221" s="23">
        <v>4.0946601801835547E-3</v>
      </c>
      <c r="M221" s="23">
        <v>-0.85714285714285721</v>
      </c>
      <c r="N221" s="1" t="s">
        <v>203</v>
      </c>
      <c r="P221" s="20">
        <v>8.0000000000000071E-3</v>
      </c>
      <c r="T221" s="22"/>
    </row>
    <row r="222" spans="1:20" x14ac:dyDescent="0.25">
      <c r="A222" s="5">
        <v>50526</v>
      </c>
      <c r="B222" s="9">
        <v>-12.5</v>
      </c>
      <c r="C222" s="9">
        <v>4.284528169604533</v>
      </c>
      <c r="D222" s="24"/>
      <c r="E222" s="24">
        <v>-1.6666666666666667</v>
      </c>
      <c r="F222" s="24">
        <v>-1.6666666666666667</v>
      </c>
      <c r="G222" s="25">
        <v>3.4164461254500922</v>
      </c>
      <c r="H222" s="10">
        <v>0.86808204415444079</v>
      </c>
      <c r="I222" s="8">
        <v>-354.14461254500924</v>
      </c>
      <c r="K222" s="1">
        <v>2038</v>
      </c>
      <c r="L222" s="23">
        <v>4.0963077062117778E-3</v>
      </c>
      <c r="M222" s="23">
        <v>-6</v>
      </c>
      <c r="N222" s="1" t="s">
        <v>204</v>
      </c>
      <c r="P222" s="20">
        <v>5.000000000000007E-3</v>
      </c>
      <c r="T222" s="22"/>
    </row>
    <row r="223" spans="1:20" x14ac:dyDescent="0.25">
      <c r="A223" s="5">
        <v>50557</v>
      </c>
      <c r="B223" s="9" t="e">
        <v>#NUM!</v>
      </c>
      <c r="C223" s="9">
        <v>4.2588210005869058</v>
      </c>
      <c r="D223" s="24"/>
      <c r="E223" s="24" t="e">
        <v>#NUM!</v>
      </c>
      <c r="F223" s="24" t="e">
        <v>#NUM!</v>
      </c>
      <c r="G223" s="25">
        <v>3.4164461254500922</v>
      </c>
      <c r="H223" s="10">
        <v>0.84237487513681364</v>
      </c>
      <c r="I223" s="8" t="e">
        <v>#NUM!</v>
      </c>
      <c r="K223" s="1">
        <v>2038</v>
      </c>
      <c r="L223" s="23">
        <v>4.0980925260756858E-3</v>
      </c>
      <c r="M223" s="23" t="e">
        <v>#NUM!</v>
      </c>
      <c r="N223" s="1" t="s">
        <v>205</v>
      </c>
      <c r="P223" s="20">
        <v>-5.9999999999999932E-3</v>
      </c>
      <c r="T223" s="22"/>
    </row>
    <row r="224" spans="1:20" x14ac:dyDescent="0.25">
      <c r="A224" s="5">
        <v>50587</v>
      </c>
      <c r="B224" s="9" t="e">
        <v>#NUM!</v>
      </c>
      <c r="C224" s="9">
        <v>4.2545621795863191</v>
      </c>
      <c r="D224" s="24"/>
      <c r="E224" s="24" t="e">
        <v>#NUM!</v>
      </c>
      <c r="F224" s="24" t="e">
        <v>#NUM!</v>
      </c>
      <c r="G224" s="25">
        <v>3.4164461254500922</v>
      </c>
      <c r="H224" s="10">
        <v>0.83811605413622692</v>
      </c>
      <c r="I224" s="8" t="e">
        <v>#NUM!</v>
      </c>
      <c r="K224" s="1">
        <v>2038</v>
      </c>
      <c r="L224" s="23">
        <v>4.1000260809282534E-3</v>
      </c>
      <c r="M224" s="23" t="e">
        <v>#NUM!</v>
      </c>
      <c r="N224" s="1" t="s">
        <v>206</v>
      </c>
      <c r="P224" s="20">
        <v>-9.9999999999999308E-4</v>
      </c>
      <c r="T224" s="22"/>
    </row>
    <row r="225" spans="1:20" x14ac:dyDescent="0.25">
      <c r="A225" s="5">
        <v>50618</v>
      </c>
      <c r="B225" s="9" t="e">
        <v>#NUM!</v>
      </c>
      <c r="C225" s="9">
        <v>4.2375439308679734</v>
      </c>
      <c r="D225" s="24"/>
      <c r="E225" s="24" t="e">
        <v>#NUM!</v>
      </c>
      <c r="F225" s="24" t="e">
        <v>#NUM!</v>
      </c>
      <c r="G225" s="25">
        <v>3.4164461254500922</v>
      </c>
      <c r="H225" s="10">
        <v>0.82109780541788124</v>
      </c>
      <c r="I225" s="8" t="e">
        <v>#NUM!</v>
      </c>
      <c r="K225" s="1">
        <v>2038</v>
      </c>
      <c r="L225" s="23">
        <v>4.1034988769857892E-3</v>
      </c>
      <c r="M225" s="23" t="e">
        <v>#NUM!</v>
      </c>
      <c r="N225" s="1" t="s">
        <v>207</v>
      </c>
      <c r="P225" s="20">
        <v>-3.9999999999999931E-3</v>
      </c>
      <c r="T225" s="22"/>
    </row>
    <row r="226" spans="1:20" x14ac:dyDescent="0.25">
      <c r="A226" s="5">
        <v>50649</v>
      </c>
      <c r="B226" s="9" t="e">
        <v>#NUM!</v>
      </c>
      <c r="C226" s="9">
        <v>4.207881123351898</v>
      </c>
      <c r="D226" s="24"/>
      <c r="E226" s="24" t="e">
        <v>#NUM!</v>
      </c>
      <c r="F226" s="24" t="e">
        <v>#NUM!</v>
      </c>
      <c r="G226" s="25">
        <v>3.4164461254500922</v>
      </c>
      <c r="H226" s="10">
        <v>0.79143499790180583</v>
      </c>
      <c r="I226" s="8" t="e">
        <v>#NUM!</v>
      </c>
      <c r="K226" s="1">
        <v>2038</v>
      </c>
      <c r="L226" s="23">
        <v>4.1072610727147857E-3</v>
      </c>
      <c r="M226" s="23" t="e">
        <v>#NUM!</v>
      </c>
      <c r="N226" s="1" t="s">
        <v>208</v>
      </c>
      <c r="P226" s="20">
        <v>-6.9999999999999932E-3</v>
      </c>
      <c r="T226" s="22"/>
    </row>
    <row r="227" spans="1:20" x14ac:dyDescent="0.25">
      <c r="A227" s="5">
        <v>50679</v>
      </c>
      <c r="B227" s="9" t="e">
        <v>#NUM!</v>
      </c>
      <c r="C227" s="9">
        <v>4.1658023121183794</v>
      </c>
      <c r="D227" s="24"/>
      <c r="E227" s="24" t="e">
        <v>#NUM!</v>
      </c>
      <c r="F227" s="24" t="e">
        <v>#NUM!</v>
      </c>
      <c r="G227" s="25">
        <v>3.4164461254500922</v>
      </c>
      <c r="H227" s="10">
        <v>0.74935618666828718</v>
      </c>
      <c r="I227" s="8" t="e">
        <v>#NUM!</v>
      </c>
      <c r="K227" s="1">
        <v>2038</v>
      </c>
      <c r="L227" s="23">
        <v>4.1113367847545315E-3</v>
      </c>
      <c r="M227" s="23" t="e">
        <v>#NUM!</v>
      </c>
      <c r="N227" s="1" t="s">
        <v>209</v>
      </c>
      <c r="P227" s="20">
        <v>-9.9999999999999933E-3</v>
      </c>
      <c r="T227" s="22"/>
    </row>
    <row r="228" spans="1:20" x14ac:dyDescent="0.25">
      <c r="A228" s="5">
        <v>50710</v>
      </c>
      <c r="B228" s="9" t="e">
        <v>#NUM!</v>
      </c>
      <c r="C228" s="9">
        <v>4.1116468820608407</v>
      </c>
      <c r="D228" s="24"/>
      <c r="E228" s="24" t="e">
        <v>#NUM!</v>
      </c>
      <c r="F228" s="24" t="e">
        <v>#NUM!</v>
      </c>
      <c r="G228" s="25">
        <v>3.4164461254500922</v>
      </c>
      <c r="H228" s="10">
        <v>0.69520075661074854</v>
      </c>
      <c r="I228" s="8" t="e">
        <v>#NUM!</v>
      </c>
      <c r="K228" s="1">
        <v>2038</v>
      </c>
      <c r="L228" s="23">
        <v>4.1080156221261228E-3</v>
      </c>
      <c r="M228" s="23" t="e">
        <v>#NUM!</v>
      </c>
      <c r="N228" s="1" t="s">
        <v>210</v>
      </c>
      <c r="P228" s="20">
        <v>-1.2999999999999994E-2</v>
      </c>
      <c r="T228" s="22"/>
    </row>
    <row r="229" spans="1:20" x14ac:dyDescent="0.25">
      <c r="A229" s="5">
        <v>50740</v>
      </c>
      <c r="B229" s="9" t="e">
        <v>#NUM!</v>
      </c>
      <c r="C229" s="9">
        <v>4.0458605319478673</v>
      </c>
      <c r="D229" s="24"/>
      <c r="E229" s="24" t="e">
        <v>#NUM!</v>
      </c>
      <c r="F229" s="24" t="e">
        <v>#NUM!</v>
      </c>
      <c r="G229" s="25">
        <v>3.4164461254500922</v>
      </c>
      <c r="H229" s="10">
        <v>0.62941440649777514</v>
      </c>
      <c r="I229" s="8" t="e">
        <v>#NUM!</v>
      </c>
      <c r="K229" s="1">
        <v>2038</v>
      </c>
      <c r="L229" s="23">
        <v>4.1044176959453465E-3</v>
      </c>
      <c r="M229" s="23" t="e">
        <v>#NUM!</v>
      </c>
      <c r="N229" s="1" t="s">
        <v>211</v>
      </c>
      <c r="P229" s="20">
        <v>-1.5999999999999993E-2</v>
      </c>
      <c r="T229" s="22"/>
    </row>
    <row r="230" spans="1:20" x14ac:dyDescent="0.25">
      <c r="A230" s="5">
        <v>50771</v>
      </c>
      <c r="B230" s="9" t="e">
        <v>#NUM!</v>
      </c>
      <c r="C230" s="9">
        <v>4.1186860215229286</v>
      </c>
      <c r="D230" s="24"/>
      <c r="E230" s="24" t="e">
        <v>#NUM!</v>
      </c>
      <c r="F230" s="24" t="e">
        <v>#NUM!</v>
      </c>
      <c r="G230" s="25">
        <v>3.4164461254500922</v>
      </c>
      <c r="H230" s="10">
        <v>0.70223989607283643</v>
      </c>
      <c r="I230" s="8" t="e">
        <v>#NUM!</v>
      </c>
      <c r="K230" s="1">
        <v>2039</v>
      </c>
      <c r="L230" s="23">
        <v>4.1005199425828386E-3</v>
      </c>
      <c r="M230" s="23" t="e">
        <v>#NUM!</v>
      </c>
      <c r="N230" s="1" t="s">
        <v>212</v>
      </c>
      <c r="P230" s="20">
        <v>1.8000000000000006E-2</v>
      </c>
      <c r="T230" s="22"/>
    </row>
    <row r="231" spans="1:20" x14ac:dyDescent="0.25">
      <c r="A231" s="5">
        <v>50802</v>
      </c>
      <c r="B231" s="9" t="e">
        <v>#NUM!</v>
      </c>
      <c r="C231" s="9">
        <v>4.1804663118457723</v>
      </c>
      <c r="D231" s="24"/>
      <c r="E231" s="24" t="e">
        <v>#NUM!</v>
      </c>
      <c r="F231" s="24" t="e">
        <v>#NUM!</v>
      </c>
      <c r="G231" s="25">
        <v>3.4164461254500922</v>
      </c>
      <c r="H231" s="10">
        <v>0.76402018639568015</v>
      </c>
      <c r="I231" s="8" t="e">
        <v>#NUM!</v>
      </c>
      <c r="K231" s="1">
        <v>2039</v>
      </c>
      <c r="L231" s="23">
        <v>4.1010633614035194E-3</v>
      </c>
      <c r="M231" s="23" t="e">
        <v>#NUM!</v>
      </c>
      <c r="N231" s="1" t="s">
        <v>213</v>
      </c>
      <c r="P231" s="20">
        <v>1.5000000000000006E-2</v>
      </c>
      <c r="T231" s="22"/>
    </row>
    <row r="232" spans="1:20" x14ac:dyDescent="0.25">
      <c r="A232" s="5">
        <v>50830</v>
      </c>
      <c r="B232" s="9" t="e">
        <v>#NUM!</v>
      </c>
      <c r="C232" s="9">
        <v>4.230631907587922</v>
      </c>
      <c r="D232" s="24"/>
      <c r="E232" s="24" t="e">
        <v>#NUM!</v>
      </c>
      <c r="F232" s="24" t="e">
        <v>#NUM!</v>
      </c>
      <c r="G232" s="25">
        <v>3.4164461254500922</v>
      </c>
      <c r="H232" s="10">
        <v>0.81418578213782977</v>
      </c>
      <c r="I232" s="8" t="e">
        <v>#NUM!</v>
      </c>
      <c r="K232" s="1">
        <v>2039</v>
      </c>
      <c r="L232" s="23">
        <v>4.1016351458052691E-3</v>
      </c>
      <c r="M232" s="23" t="e">
        <v>#NUM!</v>
      </c>
      <c r="N232" s="1" t="s">
        <v>214</v>
      </c>
      <c r="P232" s="20">
        <v>1.2000000000000007E-2</v>
      </c>
      <c r="T232" s="22"/>
    </row>
    <row r="233" spans="1:20" x14ac:dyDescent="0.25">
      <c r="A233" s="5">
        <v>50861</v>
      </c>
      <c r="B233" s="9" t="e">
        <v>#NUM!</v>
      </c>
      <c r="C233" s="9">
        <v>4.2687075947562132</v>
      </c>
      <c r="D233" s="24"/>
      <c r="E233" s="24" t="e">
        <v>#NUM!</v>
      </c>
      <c r="F233" s="24" t="e">
        <v>#NUM!</v>
      </c>
      <c r="G233" s="25">
        <v>3.4164461254500922</v>
      </c>
      <c r="H233" s="10">
        <v>0.85226146930612101</v>
      </c>
      <c r="I233" s="8" t="e">
        <v>#NUM!</v>
      </c>
      <c r="K233" s="1">
        <v>2039</v>
      </c>
      <c r="L233" s="23">
        <v>4.1022362496431234E-3</v>
      </c>
      <c r="M233" s="23" t="e">
        <v>#NUM!</v>
      </c>
      <c r="N233" s="1" t="s">
        <v>215</v>
      </c>
      <c r="P233" s="20">
        <v>9.000000000000008E-3</v>
      </c>
      <c r="T233" s="22"/>
    </row>
    <row r="234" spans="1:20" x14ac:dyDescent="0.25">
      <c r="A234" s="5">
        <v>50891</v>
      </c>
      <c r="B234" s="9" t="e">
        <v>#NUM!</v>
      </c>
      <c r="C234" s="9">
        <v>4.2943198403247509</v>
      </c>
      <c r="D234" s="24"/>
      <c r="E234" s="24" t="e">
        <v>#NUM!</v>
      </c>
      <c r="F234" s="24" t="e">
        <v>#NUM!</v>
      </c>
      <c r="G234" s="25">
        <v>3.4164461254500922</v>
      </c>
      <c r="H234" s="10">
        <v>0.87787371487465871</v>
      </c>
      <c r="I234" s="8" t="e">
        <v>#NUM!</v>
      </c>
      <c r="K234" s="1">
        <v>2039</v>
      </c>
      <c r="L234" s="23">
        <v>4.1028675887647536E-3</v>
      </c>
      <c r="M234" s="23" t="e">
        <v>#NUM!</v>
      </c>
      <c r="N234" s="1" t="s">
        <v>216</v>
      </c>
      <c r="P234" s="20">
        <v>6.0000000000000071E-3</v>
      </c>
      <c r="T234" s="22"/>
    </row>
    <row r="235" spans="1:20" x14ac:dyDescent="0.25">
      <c r="A235" s="5">
        <v>50922</v>
      </c>
      <c r="B235" s="9" t="e">
        <v>#NUM!</v>
      </c>
      <c r="C235" s="9">
        <v>4.332968718887674</v>
      </c>
      <c r="D235" s="24"/>
      <c r="E235" s="24" t="e">
        <v>#NUM!</v>
      </c>
      <c r="F235" s="24" t="e">
        <v>#NUM!</v>
      </c>
      <c r="G235" s="25">
        <v>3.4164461254500922</v>
      </c>
      <c r="H235" s="10">
        <v>0.9165225934375818</v>
      </c>
      <c r="I235" s="8" t="e">
        <v>#NUM!</v>
      </c>
      <c r="K235" s="1">
        <v>2039</v>
      </c>
      <c r="L235" s="23">
        <v>4.1034142456441687E-3</v>
      </c>
      <c r="M235" s="23" t="e">
        <v>#NUM!</v>
      </c>
      <c r="N235" s="1" t="s">
        <v>217</v>
      </c>
      <c r="P235" s="20">
        <v>9.000000000000008E-3</v>
      </c>
      <c r="T235" s="22"/>
    </row>
    <row r="236" spans="1:20" x14ac:dyDescent="0.25">
      <c r="A236" s="5">
        <v>50952</v>
      </c>
      <c r="B236" s="9" t="e">
        <v>#NUM!</v>
      </c>
      <c r="C236" s="9">
        <v>4.3589665312010002</v>
      </c>
      <c r="D236" s="24"/>
      <c r="E236" s="24" t="e">
        <v>#NUM!</v>
      </c>
      <c r="F236" s="24" t="e">
        <v>#NUM!</v>
      </c>
      <c r="G236" s="25">
        <v>3.4164461254500922</v>
      </c>
      <c r="H236" s="10">
        <v>0.94252040575090801</v>
      </c>
      <c r="I236" s="8" t="e">
        <v>#NUM!</v>
      </c>
      <c r="K236" s="1">
        <v>2039</v>
      </c>
      <c r="L236" s="23">
        <v>4.1038577222748751E-3</v>
      </c>
      <c r="M236" s="23" t="e">
        <v>#NUM!</v>
      </c>
      <c r="N236" s="1" t="s">
        <v>218</v>
      </c>
      <c r="P236" s="20">
        <v>6.0000000000000071E-3</v>
      </c>
      <c r="T236" s="22"/>
    </row>
    <row r="237" spans="1:20" x14ac:dyDescent="0.25">
      <c r="A237" s="5">
        <v>50983</v>
      </c>
      <c r="B237" s="9" t="e">
        <v>#NUM!</v>
      </c>
      <c r="C237" s="9">
        <v>4.3458896316073972</v>
      </c>
      <c r="D237" s="24"/>
      <c r="E237" s="24" t="e">
        <v>#NUM!</v>
      </c>
      <c r="F237" s="24" t="e">
        <v>#NUM!</v>
      </c>
      <c r="G237" s="25">
        <v>3.4164461254500922</v>
      </c>
      <c r="H237" s="10">
        <v>0.92944350615730498</v>
      </c>
      <c r="I237" s="8" t="e">
        <v>#NUM!</v>
      </c>
      <c r="K237" s="1">
        <v>2039</v>
      </c>
      <c r="L237" s="23">
        <v>4.1041770257204272E-3</v>
      </c>
      <c r="M237" s="23" t="e">
        <v>#NUM!</v>
      </c>
      <c r="N237" s="1" t="s">
        <v>219</v>
      </c>
      <c r="P237" s="20">
        <v>-2.9999999999999931E-3</v>
      </c>
      <c r="T237" s="22"/>
    </row>
    <row r="238" spans="1:20" x14ac:dyDescent="0.25">
      <c r="A238" s="5">
        <v>51014</v>
      </c>
      <c r="B238" s="9" t="e">
        <v>#NUM!</v>
      </c>
      <c r="C238" s="9">
        <v>4.3198142938177524</v>
      </c>
      <c r="D238" s="24"/>
      <c r="E238" s="24" t="e">
        <v>#NUM!</v>
      </c>
      <c r="F238" s="24" t="e">
        <v>#NUM!</v>
      </c>
      <c r="G238" s="25">
        <v>3.4164461254500922</v>
      </c>
      <c r="H238" s="10">
        <v>0.90336816836766021</v>
      </c>
      <c r="I238" s="8" t="e">
        <v>#NUM!</v>
      </c>
      <c r="K238" s="1">
        <v>2039</v>
      </c>
      <c r="L238" s="23">
        <v>4.1042335381149802E-3</v>
      </c>
      <c r="M238" s="23" t="e">
        <v>#NUM!</v>
      </c>
      <c r="N238" s="1" t="s">
        <v>220</v>
      </c>
      <c r="P238" s="20">
        <v>-5.9999999999999932E-3</v>
      </c>
      <c r="T238" s="22"/>
    </row>
    <row r="239" spans="1:20" x14ac:dyDescent="0.25">
      <c r="A239" s="5">
        <v>51044</v>
      </c>
      <c r="B239" s="9" t="e">
        <v>#NUM!</v>
      </c>
      <c r="C239" s="9">
        <v>4.2809359651733923</v>
      </c>
      <c r="D239" s="24"/>
      <c r="E239" s="24" t="e">
        <v>#NUM!</v>
      </c>
      <c r="F239" s="24" t="e">
        <v>#NUM!</v>
      </c>
      <c r="G239" s="25">
        <v>3.4164461254500922</v>
      </c>
      <c r="H239" s="10">
        <v>0.86448983972330007</v>
      </c>
      <c r="I239" s="8" t="e">
        <v>#NUM!</v>
      </c>
      <c r="K239" s="1">
        <v>2039</v>
      </c>
      <c r="L239" s="23">
        <v>4.1039812435649968E-3</v>
      </c>
      <c r="M239" s="23" t="e">
        <v>#NUM!</v>
      </c>
      <c r="N239" s="1" t="s">
        <v>221</v>
      </c>
      <c r="P239" s="20">
        <v>-8.9999999999999941E-3</v>
      </c>
      <c r="T239" s="22"/>
    </row>
    <row r="240" spans="1:20" x14ac:dyDescent="0.25">
      <c r="A240" s="5">
        <v>51075</v>
      </c>
      <c r="B240" s="9" t="e">
        <v>#NUM!</v>
      </c>
      <c r="C240" s="9">
        <v>4.229564733591312</v>
      </c>
      <c r="D240" s="24"/>
      <c r="E240" s="24" t="e">
        <v>#NUM!</v>
      </c>
      <c r="F240" s="24" t="e">
        <v>#NUM!</v>
      </c>
      <c r="G240" s="25">
        <v>3.4164461254500922</v>
      </c>
      <c r="H240" s="10">
        <v>0.81311860814121983</v>
      </c>
      <c r="I240" s="8" t="e">
        <v>#NUM!</v>
      </c>
      <c r="K240" s="1">
        <v>2039</v>
      </c>
      <c r="L240" s="23">
        <v>4.1033682817992025E-3</v>
      </c>
      <c r="M240" s="23" t="e">
        <v>#NUM!</v>
      </c>
      <c r="N240" s="1" t="s">
        <v>222</v>
      </c>
      <c r="P240" s="20">
        <v>-1.1999999999999993E-2</v>
      </c>
      <c r="T240" s="22"/>
    </row>
    <row r="241" spans="1:20" x14ac:dyDescent="0.25">
      <c r="A241" s="5">
        <v>51105</v>
      </c>
      <c r="B241" s="9" t="e">
        <v>#NUM!</v>
      </c>
      <c r="C241" s="9">
        <v>4.166121262587442</v>
      </c>
      <c r="D241" s="24"/>
      <c r="E241" s="24" t="e">
        <v>#NUM!</v>
      </c>
      <c r="F241" s="24" t="e">
        <v>#NUM!</v>
      </c>
      <c r="G241" s="25">
        <v>3.4164461254500922</v>
      </c>
      <c r="H241" s="10">
        <v>0.74967513713734979</v>
      </c>
      <c r="I241" s="8" t="e">
        <v>#NUM!</v>
      </c>
      <c r="K241" s="1">
        <v>2039</v>
      </c>
      <c r="L241" s="23">
        <v>4.1029810034386256E-3</v>
      </c>
      <c r="M241" s="23" t="e">
        <v>#NUM!</v>
      </c>
      <c r="N241" s="1" t="s">
        <v>223</v>
      </c>
      <c r="P241" s="20">
        <v>-1.4999999999999993E-2</v>
      </c>
      <c r="T241" s="22"/>
    </row>
    <row r="242" spans="1:20" x14ac:dyDescent="0.25">
      <c r="A242" s="5">
        <v>51136</v>
      </c>
      <c r="B242" s="9" t="e">
        <v>#NUM!</v>
      </c>
      <c r="C242" s="9">
        <v>4.1036294436486305</v>
      </c>
      <c r="D242" s="24"/>
      <c r="E242" s="24" t="e">
        <v>#NUM!</v>
      </c>
      <c r="F242" s="24" t="e">
        <v>#NUM!</v>
      </c>
      <c r="G242" s="25">
        <v>3.4164461254500922</v>
      </c>
      <c r="H242" s="10">
        <v>0.68718331819853828</v>
      </c>
      <c r="I242" s="8" t="e">
        <v>#NUM!</v>
      </c>
      <c r="K242" s="1">
        <v>2040</v>
      </c>
      <c r="L242" s="23">
        <v>4.1028612790630654E-3</v>
      </c>
      <c r="M242" s="23" t="e">
        <v>#NUM!</v>
      </c>
      <c r="N242" s="1" t="s">
        <v>224</v>
      </c>
      <c r="P242" s="20">
        <v>-1.4999999999999993E-2</v>
      </c>
      <c r="T242" s="22"/>
    </row>
    <row r="243" spans="1:20" x14ac:dyDescent="0.25">
      <c r="A243" s="5">
        <v>51167</v>
      </c>
      <c r="B243" s="9" t="e">
        <v>#NUM!</v>
      </c>
      <c r="C243" s="9">
        <v>4.1282512203105224</v>
      </c>
      <c r="D243" s="24"/>
      <c r="E243" s="24" t="e">
        <v>#NUM!</v>
      </c>
      <c r="F243" s="24" t="e">
        <v>#NUM!</v>
      </c>
      <c r="G243" s="25">
        <v>3.4164461254500922</v>
      </c>
      <c r="H243" s="10">
        <v>0.7118050948604302</v>
      </c>
      <c r="I243" s="8" t="e">
        <v>#NUM!</v>
      </c>
      <c r="K243" s="1">
        <v>2040</v>
      </c>
      <c r="L243" s="23">
        <v>4.1030563904364166E-3</v>
      </c>
      <c r="M243" s="23" t="e">
        <v>#NUM!</v>
      </c>
      <c r="N243" s="1" t="s">
        <v>225</v>
      </c>
      <c r="P243" s="20">
        <v>6.0000000000000001E-3</v>
      </c>
      <c r="T243" s="22"/>
    </row>
    <row r="244" spans="1:20" x14ac:dyDescent="0.25">
      <c r="A244" s="5">
        <v>51196</v>
      </c>
      <c r="B244" s="9" t="e">
        <v>#NUM!</v>
      </c>
      <c r="C244" s="9">
        <v>4.1488924764120751</v>
      </c>
      <c r="D244" s="24"/>
      <c r="E244" s="24" t="e">
        <v>#NUM!</v>
      </c>
      <c r="F244" s="24" t="e">
        <v>#NUM!</v>
      </c>
      <c r="G244" s="25">
        <v>3.4164461254500922</v>
      </c>
      <c r="H244" s="10">
        <v>0.73244635096198296</v>
      </c>
      <c r="I244" s="8" t="e">
        <v>#NUM!</v>
      </c>
      <c r="K244" s="1">
        <v>2040</v>
      </c>
      <c r="L244" s="23">
        <v>4.1032224761891577E-3</v>
      </c>
      <c r="M244" s="23" t="e">
        <v>#NUM!</v>
      </c>
      <c r="N244" s="1" t="s">
        <v>226</v>
      </c>
      <c r="P244" s="20">
        <v>5.0000000000000001E-3</v>
      </c>
      <c r="T244" s="22"/>
    </row>
    <row r="245" spans="1:20" x14ac:dyDescent="0.25">
      <c r="A245" s="5">
        <v>51227</v>
      </c>
      <c r="B245" s="9" t="e">
        <v>#NUM!</v>
      </c>
      <c r="C245" s="9">
        <v>4.1654880463177237</v>
      </c>
      <c r="D245" s="24"/>
      <c r="E245" s="24" t="e">
        <v>#NUM!</v>
      </c>
      <c r="F245" s="24" t="e">
        <v>#NUM!</v>
      </c>
      <c r="G245" s="25">
        <v>3.4164461254500922</v>
      </c>
      <c r="H245" s="10">
        <v>0.74904192086763155</v>
      </c>
      <c r="I245" s="8" t="e">
        <v>#NUM!</v>
      </c>
      <c r="K245" s="1">
        <v>2040</v>
      </c>
      <c r="L245" s="23">
        <v>4.1033547537211489E-3</v>
      </c>
      <c r="M245" s="23" t="e">
        <v>#NUM!</v>
      </c>
      <c r="N245" s="1" t="s">
        <v>227</v>
      </c>
      <c r="P245" s="20">
        <v>4.0000000000000001E-3</v>
      </c>
      <c r="T245" s="22"/>
    </row>
    <row r="246" spans="1:20" x14ac:dyDescent="0.25">
      <c r="A246" s="5">
        <v>51257</v>
      </c>
      <c r="B246" s="9" t="e">
        <v>#NUM!</v>
      </c>
      <c r="C246" s="9">
        <v>4.19048097459563</v>
      </c>
      <c r="D246" s="24"/>
      <c r="E246" s="24" t="e">
        <v>#NUM!</v>
      </c>
      <c r="F246" s="24" t="e">
        <v>#NUM!</v>
      </c>
      <c r="G246" s="25">
        <v>3.4164461254500922</v>
      </c>
      <c r="H246" s="10">
        <v>0.77403484914553777</v>
      </c>
      <c r="I246" s="8" t="e">
        <v>#NUM!</v>
      </c>
      <c r="K246" s="1">
        <v>2040</v>
      </c>
      <c r="L246" s="23">
        <v>4.1034479623943184E-3</v>
      </c>
      <c r="M246" s="23" t="e">
        <v>#NUM!</v>
      </c>
      <c r="N246" s="1" t="s">
        <v>228</v>
      </c>
      <c r="P246" s="20">
        <v>6.0000000000000001E-3</v>
      </c>
      <c r="T246" s="22"/>
    </row>
    <row r="247" spans="1:20" x14ac:dyDescent="0.25">
      <c r="A247" s="5">
        <v>51288</v>
      </c>
      <c r="B247" s="9" t="e">
        <v>#NUM!</v>
      </c>
      <c r="C247" s="9">
        <v>4.2240048223923949</v>
      </c>
      <c r="D247" s="24"/>
      <c r="E247" s="24" t="e">
        <v>#NUM!</v>
      </c>
      <c r="F247" s="24" t="e">
        <v>#NUM!</v>
      </c>
      <c r="G247" s="25">
        <v>3.4164461254500922</v>
      </c>
      <c r="H247" s="10">
        <v>0.80755869694230276</v>
      </c>
      <c r="I247" s="8" t="e">
        <v>#NUM!</v>
      </c>
      <c r="K247" s="1">
        <v>2040</v>
      </c>
      <c r="L247" s="23">
        <v>4.1034963268634502E-3</v>
      </c>
      <c r="M247" s="23" t="e">
        <v>#NUM!</v>
      </c>
      <c r="N247" s="1" t="s">
        <v>229</v>
      </c>
      <c r="P247" s="20">
        <v>8.0000000000000002E-3</v>
      </c>
      <c r="T247" s="22"/>
    </row>
    <row r="248" spans="1:20" x14ac:dyDescent="0.25">
      <c r="A248" s="5">
        <v>51318</v>
      </c>
      <c r="B248" s="9" t="e">
        <v>#NUM!</v>
      </c>
      <c r="C248" s="9">
        <v>4.266244870616319</v>
      </c>
      <c r="D248" s="24"/>
      <c r="E248" s="24" t="e">
        <v>#NUM!</v>
      </c>
      <c r="F248" s="24" t="e">
        <v>#NUM!</v>
      </c>
      <c r="G248" s="25">
        <v>3.4164461254500922</v>
      </c>
      <c r="H248" s="10">
        <v>0.84979874516622678</v>
      </c>
      <c r="I248" s="8" t="e">
        <v>#NUM!</v>
      </c>
      <c r="K248" s="1">
        <v>2040</v>
      </c>
      <c r="L248" s="23">
        <v>4.1035031669650569E-3</v>
      </c>
      <c r="M248" s="23" t="e">
        <v>#NUM!</v>
      </c>
      <c r="N248" s="1" t="s">
        <v>230</v>
      </c>
      <c r="P248" s="20">
        <v>0.01</v>
      </c>
      <c r="T248" s="22"/>
    </row>
    <row r="249" spans="1:20" x14ac:dyDescent="0.25">
      <c r="A249" s="5">
        <v>51349</v>
      </c>
      <c r="B249" s="9" t="e">
        <v>#NUM!</v>
      </c>
      <c r="C249" s="9">
        <v>4.3174398090637149</v>
      </c>
      <c r="D249" s="24"/>
      <c r="E249" s="24" t="e">
        <v>#NUM!</v>
      </c>
      <c r="F249" s="24" t="e">
        <v>#NUM!</v>
      </c>
      <c r="G249" s="25">
        <v>3.4164461254500922</v>
      </c>
      <c r="H249" s="10">
        <v>0.90099368361362275</v>
      </c>
      <c r="I249" s="8" t="e">
        <v>#NUM!</v>
      </c>
      <c r="K249" s="1">
        <v>2040</v>
      </c>
      <c r="L249" s="23">
        <v>4.1034736206892377E-3</v>
      </c>
      <c r="M249" s="23" t="e">
        <v>#NUM!</v>
      </c>
      <c r="N249" s="1" t="s">
        <v>231</v>
      </c>
      <c r="P249" s="20">
        <v>1.2E-2</v>
      </c>
      <c r="T249" s="22"/>
    </row>
    <row r="250" spans="1:20" x14ac:dyDescent="0.25">
      <c r="A250" s="5">
        <v>51380</v>
      </c>
      <c r="B250" s="9" t="e">
        <v>#NUM!</v>
      </c>
      <c r="C250" s="9">
        <v>4.3778839663906073</v>
      </c>
      <c r="D250" s="24"/>
      <c r="E250" s="24" t="e">
        <v>#NUM!</v>
      </c>
      <c r="F250" s="24" t="e">
        <v>#NUM!</v>
      </c>
      <c r="G250" s="25">
        <v>3.4164461254500922</v>
      </c>
      <c r="H250" s="10">
        <v>0.9614378409405151</v>
      </c>
      <c r="I250" s="8" t="e">
        <v>#NUM!</v>
      </c>
      <c r="K250" s="1">
        <v>2040</v>
      </c>
      <c r="L250" s="23">
        <v>4.1034150036033052E-3</v>
      </c>
      <c r="M250" s="23" t="e">
        <v>#NUM!</v>
      </c>
      <c r="N250" s="1" t="s">
        <v>232</v>
      </c>
      <c r="P250" s="20">
        <v>1.4E-2</v>
      </c>
      <c r="T250" s="22"/>
    </row>
    <row r="251" spans="1:20" x14ac:dyDescent="0.25">
      <c r="A251" s="5">
        <v>51410</v>
      </c>
      <c r="B251" s="9" t="e">
        <v>#NUM!</v>
      </c>
      <c r="C251" s="9">
        <v>4.447930109852857</v>
      </c>
      <c r="D251" s="24"/>
      <c r="E251" s="24" t="e">
        <v>#NUM!</v>
      </c>
      <c r="F251" s="24" t="e">
        <v>#NUM!</v>
      </c>
      <c r="G251" s="25">
        <v>3.4164461254500922</v>
      </c>
      <c r="H251" s="10">
        <v>1.0314839844027648</v>
      </c>
      <c r="I251" s="8" t="e">
        <v>#NUM!</v>
      </c>
      <c r="K251" s="1">
        <v>2040</v>
      </c>
      <c r="L251" s="23">
        <v>4.1033467923939984E-3</v>
      </c>
      <c r="M251" s="23" t="e">
        <v>#NUM!</v>
      </c>
      <c r="N251" s="1" t="s">
        <v>233</v>
      </c>
      <c r="P251" s="20">
        <v>1.6E-2</v>
      </c>
      <c r="T251" s="22"/>
    </row>
    <row r="252" spans="1:20" x14ac:dyDescent="0.25">
      <c r="A252" s="5">
        <v>51441</v>
      </c>
      <c r="B252" s="9" t="e">
        <v>#NUM!</v>
      </c>
      <c r="C252" s="9">
        <v>4.5279928518302084</v>
      </c>
      <c r="D252" s="24"/>
      <c r="E252" s="24" t="e">
        <v>#NUM!</v>
      </c>
      <c r="F252" s="24" t="e">
        <v>#NUM!</v>
      </c>
      <c r="G252" s="25">
        <v>3.4164461254500922</v>
      </c>
      <c r="H252" s="10">
        <v>1.1115467263801162</v>
      </c>
      <c r="I252" s="8" t="e">
        <v>#NUM!</v>
      </c>
      <c r="K252" s="1">
        <v>2040</v>
      </c>
      <c r="L252" s="23">
        <v>4.1032939214630821E-3</v>
      </c>
      <c r="M252" s="23" t="e">
        <v>#NUM!</v>
      </c>
      <c r="N252" s="1" t="s">
        <v>234</v>
      </c>
      <c r="P252" s="20">
        <v>1.8000000000000002E-2</v>
      </c>
      <c r="T252" s="22"/>
    </row>
    <row r="253" spans="1:20" x14ac:dyDescent="0.25">
      <c r="A253" s="5">
        <v>51471</v>
      </c>
      <c r="B253" s="9" t="e">
        <v>#NUM!</v>
      </c>
      <c r="C253" s="9">
        <v>4.6185527088668126</v>
      </c>
      <c r="D253" s="24"/>
      <c r="E253" s="24" t="e">
        <v>#NUM!</v>
      </c>
      <c r="F253" s="24" t="e">
        <v>#NUM!</v>
      </c>
      <c r="G253" s="25">
        <v>3.4164461254500922</v>
      </c>
      <c r="H253" s="10">
        <v>1.2021065834167204</v>
      </c>
      <c r="I253" s="8" t="e">
        <v>#NUM!</v>
      </c>
      <c r="K253" s="1">
        <v>2040</v>
      </c>
      <c r="L253" s="23">
        <v>4.1032877247684047E-3</v>
      </c>
      <c r="M253" s="23" t="e">
        <v>#NUM!</v>
      </c>
      <c r="N253" s="1" t="s">
        <v>235</v>
      </c>
      <c r="P253" s="20">
        <v>2.0000000000000004E-2</v>
      </c>
      <c r="T253" s="22"/>
    </row>
    <row r="254" spans="1:20" x14ac:dyDescent="0.25">
      <c r="A254" s="5">
        <v>51502</v>
      </c>
      <c r="B254" s="9" t="e">
        <v>#NUM!</v>
      </c>
      <c r="C254" s="9">
        <v>4.6970681049175482</v>
      </c>
      <c r="D254" s="24"/>
      <c r="E254" s="24" t="e">
        <v>#NUM!</v>
      </c>
      <c r="F254" s="24" t="e">
        <v>#NUM!</v>
      </c>
      <c r="G254" s="25">
        <v>3.4164461254500922</v>
      </c>
      <c r="H254" s="10">
        <v>1.280621979467456</v>
      </c>
      <c r="I254" s="8" t="e">
        <v>#NUM!</v>
      </c>
      <c r="K254" s="1">
        <v>2041</v>
      </c>
      <c r="L254" s="23">
        <v>4.10331328487922E-3</v>
      </c>
      <c r="M254" s="23" t="e">
        <v>#NUM!</v>
      </c>
      <c r="N254" s="1" t="s">
        <v>236</v>
      </c>
      <c r="P254" s="20">
        <v>1.7000000000000005E-2</v>
      </c>
      <c r="T254" s="22"/>
    </row>
    <row r="255" spans="1:20" x14ac:dyDescent="0.25">
      <c r="A255" s="5">
        <v>51533</v>
      </c>
      <c r="B255" s="9" t="e">
        <v>#NUM!</v>
      </c>
      <c r="C255" s="9">
        <v>4.7628270583863941</v>
      </c>
      <c r="D255" s="24"/>
      <c r="E255" s="24" t="e">
        <v>#NUM!</v>
      </c>
      <c r="F255" s="24" t="e">
        <v>#NUM!</v>
      </c>
      <c r="G255" s="25">
        <v>3.4164461254500922</v>
      </c>
      <c r="H255" s="10">
        <v>1.3463809329363019</v>
      </c>
      <c r="I255" s="8" t="e">
        <v>#NUM!</v>
      </c>
      <c r="K255" s="1">
        <v>2041</v>
      </c>
      <c r="L255" s="23">
        <v>4.1033509520305659E-3</v>
      </c>
      <c r="M255" s="23" t="e">
        <v>#NUM!</v>
      </c>
      <c r="N255" s="1" t="s">
        <v>237</v>
      </c>
      <c r="P255" s="20">
        <v>1.4000000000000005E-2</v>
      </c>
      <c r="T255" s="22"/>
    </row>
    <row r="256" spans="1:20" x14ac:dyDescent="0.25">
      <c r="A256" s="5">
        <v>51561</v>
      </c>
      <c r="B256" s="9" t="e">
        <v>#NUM!</v>
      </c>
      <c r="C256" s="9">
        <v>4.815218156028644</v>
      </c>
      <c r="D256" s="24"/>
      <c r="E256" s="24" t="e">
        <v>#NUM!</v>
      </c>
      <c r="F256" s="24" t="e">
        <v>#NUM!</v>
      </c>
      <c r="G256" s="25">
        <v>3.4164461254500922</v>
      </c>
      <c r="H256" s="10">
        <v>1.3987720305785518</v>
      </c>
      <c r="I256" s="8" t="e">
        <v>#NUM!</v>
      </c>
      <c r="K256" s="1">
        <v>2041</v>
      </c>
      <c r="L256" s="23">
        <v>4.1033754988300782E-3</v>
      </c>
      <c r="M256" s="23" t="e">
        <v>#NUM!</v>
      </c>
      <c r="N256" s="1" t="s">
        <v>238</v>
      </c>
      <c r="P256" s="20">
        <v>1.1000000000000006E-2</v>
      </c>
      <c r="T256" s="22"/>
    </row>
    <row r="257" spans="1:20" x14ac:dyDescent="0.25">
      <c r="A257" s="5">
        <v>51592</v>
      </c>
      <c r="B257" s="9" t="e">
        <v>#NUM!</v>
      </c>
      <c r="C257" s="9">
        <v>4.8537399012768736</v>
      </c>
      <c r="D257" s="24"/>
      <c r="E257" s="24" t="e">
        <v>#NUM!</v>
      </c>
      <c r="F257" s="24" t="e">
        <v>#NUM!</v>
      </c>
      <c r="G257" s="25">
        <v>3.4164461254500922</v>
      </c>
      <c r="H257" s="10">
        <v>1.4372937758267814</v>
      </c>
      <c r="I257" s="8" t="e">
        <v>#NUM!</v>
      </c>
      <c r="K257" s="1">
        <v>2041</v>
      </c>
      <c r="L257" s="23">
        <v>4.1033882507168227E-3</v>
      </c>
      <c r="M257" s="23" t="e">
        <v>#NUM!</v>
      </c>
      <c r="N257" s="1" t="s">
        <v>239</v>
      </c>
      <c r="P257" s="20">
        <v>8.0000000000000071E-3</v>
      </c>
      <c r="T257" s="22"/>
    </row>
    <row r="258" spans="1:20" x14ac:dyDescent="0.25">
      <c r="A258" s="5">
        <v>51622</v>
      </c>
      <c r="B258" s="9" t="e">
        <v>#NUM!</v>
      </c>
      <c r="C258" s="9">
        <v>4.8780086007832582</v>
      </c>
      <c r="D258" s="24"/>
      <c r="E258" s="24" t="e">
        <v>#NUM!</v>
      </c>
      <c r="F258" s="24" t="e">
        <v>#NUM!</v>
      </c>
      <c r="G258" s="25">
        <v>3.4164461254500922</v>
      </c>
      <c r="H258" s="10">
        <v>1.461562475333166</v>
      </c>
      <c r="I258" s="8" t="e">
        <v>#NUM!</v>
      </c>
      <c r="K258" s="1">
        <v>2041</v>
      </c>
      <c r="L258" s="23">
        <v>4.1033910421331282E-3</v>
      </c>
      <c r="M258" s="23" t="e">
        <v>#NUM!</v>
      </c>
      <c r="N258" s="1" t="s">
        <v>240</v>
      </c>
      <c r="P258" s="20">
        <v>5.000000000000007E-3</v>
      </c>
      <c r="T258" s="22"/>
    </row>
    <row r="259" spans="1:20" x14ac:dyDescent="0.25">
      <c r="A259" s="5">
        <v>51653</v>
      </c>
      <c r="B259" s="9" t="e">
        <v>#NUM!</v>
      </c>
      <c r="C259" s="9">
        <v>4.8487405491785589</v>
      </c>
      <c r="D259" s="24"/>
      <c r="E259" s="24" t="e">
        <v>#NUM!</v>
      </c>
      <c r="F259" s="24" t="e">
        <v>#NUM!</v>
      </c>
      <c r="G259" s="25">
        <v>3.4164461254500922</v>
      </c>
      <c r="H259" s="10">
        <v>1.4322944237284667</v>
      </c>
      <c r="I259" s="8" t="e">
        <v>#NUM!</v>
      </c>
      <c r="K259" s="1">
        <v>2041</v>
      </c>
      <c r="L259" s="23">
        <v>4.1033862987780289E-3</v>
      </c>
      <c r="M259" s="23" t="e">
        <v>#NUM!</v>
      </c>
      <c r="N259" s="1" t="s">
        <v>241</v>
      </c>
      <c r="P259" s="20">
        <v>-5.9999999999999932E-3</v>
      </c>
      <c r="T259" s="22"/>
    </row>
    <row r="260" spans="1:20" x14ac:dyDescent="0.25">
      <c r="A260" s="5">
        <v>51683</v>
      </c>
      <c r="B260" s="9" t="e">
        <v>#NUM!</v>
      </c>
      <c r="C260" s="9">
        <v>4.8438918086293805</v>
      </c>
      <c r="D260" s="24"/>
      <c r="E260" s="24" t="e">
        <v>#NUM!</v>
      </c>
      <c r="F260" s="24" t="e">
        <v>#NUM!</v>
      </c>
      <c r="G260" s="25">
        <v>3.4164461254500922</v>
      </c>
      <c r="H260" s="10">
        <v>1.4274456831792883</v>
      </c>
      <c r="I260" s="8" t="e">
        <v>#NUM!</v>
      </c>
      <c r="K260" s="1">
        <v>2041</v>
      </c>
      <c r="L260" s="23">
        <v>4.1033771297709102E-3</v>
      </c>
      <c r="M260" s="23" t="e">
        <v>#NUM!</v>
      </c>
      <c r="N260" s="1" t="s">
        <v>242</v>
      </c>
      <c r="P260" s="20">
        <v>-9.9999999999999308E-4</v>
      </c>
      <c r="T260" s="22"/>
    </row>
    <row r="261" spans="1:20" x14ac:dyDescent="0.25">
      <c r="A261" s="5">
        <v>51714</v>
      </c>
      <c r="B261" s="9" t="e">
        <v>#NUM!</v>
      </c>
      <c r="C261" s="9">
        <v>4.8245162413948632</v>
      </c>
      <c r="D261" s="24"/>
      <c r="E261" s="24" t="e">
        <v>#NUM!</v>
      </c>
      <c r="F261" s="24" t="e">
        <v>#NUM!</v>
      </c>
      <c r="G261" s="25">
        <v>3.4164461254500922</v>
      </c>
      <c r="H261" s="10">
        <v>1.4080701159447711</v>
      </c>
      <c r="I261" s="8" t="e">
        <v>#NUM!</v>
      </c>
      <c r="K261" s="1">
        <v>2041</v>
      </c>
      <c r="L261" s="23">
        <v>4.1033666266713986E-3</v>
      </c>
      <c r="M261" s="23" t="e">
        <v>#NUM!</v>
      </c>
      <c r="N261" s="1" t="s">
        <v>243</v>
      </c>
      <c r="P261" s="20">
        <v>-3.9999999999999931E-3</v>
      </c>
      <c r="T261" s="22"/>
    </row>
    <row r="262" spans="1:20" x14ac:dyDescent="0.25">
      <c r="A262" s="5">
        <v>51745</v>
      </c>
      <c r="B262" s="9" t="e">
        <v>#NUM!</v>
      </c>
      <c r="C262" s="9">
        <v>4.7907446277050996</v>
      </c>
      <c r="D262" s="24"/>
      <c r="E262" s="24" t="e">
        <v>#NUM!</v>
      </c>
      <c r="F262" s="24" t="e">
        <v>#NUM!</v>
      </c>
      <c r="G262" s="25">
        <v>3.4164461254500922</v>
      </c>
      <c r="H262" s="10">
        <v>1.3742985022550074</v>
      </c>
      <c r="I262" s="8" t="e">
        <v>#NUM!</v>
      </c>
      <c r="K262" s="1">
        <v>2041</v>
      </c>
      <c r="L262" s="23">
        <v>4.103357710503245E-3</v>
      </c>
      <c r="M262" s="23" t="e">
        <v>#NUM!</v>
      </c>
      <c r="N262" s="1" t="s">
        <v>244</v>
      </c>
      <c r="P262" s="20">
        <v>-6.9999999999999932E-3</v>
      </c>
      <c r="T262" s="22"/>
    </row>
    <row r="263" spans="1:20" x14ac:dyDescent="0.25">
      <c r="A263" s="5">
        <v>51775</v>
      </c>
      <c r="B263" s="9" t="e">
        <v>#NUM!</v>
      </c>
      <c r="C263" s="9">
        <v>4.7428371814280483</v>
      </c>
      <c r="D263" s="24"/>
      <c r="E263" s="24" t="e">
        <v>#NUM!</v>
      </c>
      <c r="F263" s="24" t="e">
        <v>#NUM!</v>
      </c>
      <c r="G263" s="25">
        <v>3.4164461254500922</v>
      </c>
      <c r="H263" s="10">
        <v>1.3263910559779561</v>
      </c>
      <c r="I263" s="8" t="e">
        <v>#NUM!</v>
      </c>
      <c r="K263" s="1">
        <v>2041</v>
      </c>
      <c r="L263" s="23">
        <v>4.1033529360782403E-3</v>
      </c>
      <c r="M263" s="23" t="e">
        <v>#NUM!</v>
      </c>
      <c r="N263" s="1" t="s">
        <v>245</v>
      </c>
      <c r="P263" s="20">
        <v>-9.9999999999999933E-3</v>
      </c>
      <c r="T263" s="22"/>
    </row>
    <row r="264" spans="1:20" x14ac:dyDescent="0.25">
      <c r="A264" s="5">
        <v>51806</v>
      </c>
      <c r="B264" s="9" t="e">
        <v>#NUM!</v>
      </c>
      <c r="C264" s="9">
        <v>4.6811802980694841</v>
      </c>
      <c r="D264" s="24"/>
      <c r="E264" s="24" t="e">
        <v>#NUM!</v>
      </c>
      <c r="F264" s="24" t="e">
        <v>#NUM!</v>
      </c>
      <c r="G264" s="25">
        <v>3.4164461254500922</v>
      </c>
      <c r="H264" s="10">
        <v>1.2647341726193919</v>
      </c>
      <c r="I264" s="8" t="e">
        <v>#NUM!</v>
      </c>
      <c r="K264" s="1">
        <v>2041</v>
      </c>
      <c r="L264" s="23">
        <v>4.1033534480519268E-3</v>
      </c>
      <c r="M264" s="23" t="e">
        <v>#NUM!</v>
      </c>
      <c r="N264" s="1" t="s">
        <v>246</v>
      </c>
      <c r="P264" s="20">
        <v>-1.2999999999999994E-2</v>
      </c>
      <c r="T264" s="22"/>
    </row>
    <row r="265" spans="1:20" x14ac:dyDescent="0.25">
      <c r="A265" s="5">
        <v>51836</v>
      </c>
      <c r="B265" s="9" t="e">
        <v>#NUM!</v>
      </c>
      <c r="C265" s="9">
        <v>4.6062814133003727</v>
      </c>
      <c r="D265" s="24"/>
      <c r="E265" s="24" t="e">
        <v>#NUM!</v>
      </c>
      <c r="F265" s="24" t="e">
        <v>#NUM!</v>
      </c>
      <c r="G265" s="25">
        <v>3.4164461254500922</v>
      </c>
      <c r="H265" s="10">
        <v>1.1898352878502805</v>
      </c>
      <c r="I265" s="8" t="e">
        <v>#NUM!</v>
      </c>
      <c r="K265" s="1">
        <v>2041</v>
      </c>
      <c r="L265" s="23">
        <v>4.1033584086009973E-3</v>
      </c>
      <c r="M265" s="23" t="e">
        <v>#NUM!</v>
      </c>
      <c r="N265" s="1" t="s">
        <v>247</v>
      </c>
      <c r="P265" s="20">
        <v>-1.5999999999999993E-2</v>
      </c>
      <c r="T265" s="22"/>
    </row>
    <row r="266" spans="1:20" x14ac:dyDescent="0.25">
      <c r="A266" s="5">
        <v>51867</v>
      </c>
      <c r="B266" s="9" t="e">
        <v>#NUM!</v>
      </c>
      <c r="C266" s="9">
        <v>4.689194478739779</v>
      </c>
      <c r="D266" s="24"/>
      <c r="E266" s="24" t="e">
        <v>#NUM!</v>
      </c>
      <c r="F266" s="24" t="e">
        <v>#NUM!</v>
      </c>
      <c r="G266" s="25">
        <v>3.4164461254500922</v>
      </c>
      <c r="H266" s="10">
        <v>1.2727483532896868</v>
      </c>
      <c r="I266" s="8" t="e">
        <v>#NUM!</v>
      </c>
      <c r="K266" s="1">
        <v>2042</v>
      </c>
      <c r="L266" s="23">
        <v>4.1033642989203789E-3</v>
      </c>
      <c r="M266" s="23" t="e">
        <v>#NUM!</v>
      </c>
      <c r="N266" s="1" t="s">
        <v>248</v>
      </c>
      <c r="P266" s="20">
        <v>1.8000000000000006E-2</v>
      </c>
      <c r="T266" s="22"/>
    </row>
    <row r="267" spans="1:20" x14ac:dyDescent="0.25">
      <c r="A267" s="5">
        <v>51898</v>
      </c>
      <c r="B267" s="9" t="e">
        <v>#NUM!</v>
      </c>
      <c r="C267" s="9">
        <v>4.7595323959208757</v>
      </c>
      <c r="D267" s="24"/>
      <c r="E267" s="24" t="e">
        <v>#NUM!</v>
      </c>
      <c r="F267" s="24" t="e">
        <v>#NUM!</v>
      </c>
      <c r="G267" s="25">
        <v>3.4164461254500922</v>
      </c>
      <c r="H267" s="10">
        <v>1.3430862704707835</v>
      </c>
      <c r="I267" s="8" t="e">
        <v>#NUM!</v>
      </c>
      <c r="K267" s="1">
        <v>2042</v>
      </c>
      <c r="L267" s="23">
        <v>4.1033685500904771E-3</v>
      </c>
      <c r="M267" s="23" t="e">
        <v>#NUM!</v>
      </c>
      <c r="N267" s="1" t="s">
        <v>249</v>
      </c>
      <c r="P267" s="20">
        <v>1.5000000000000006E-2</v>
      </c>
      <c r="T267" s="22"/>
    </row>
    <row r="268" spans="1:20" x14ac:dyDescent="0.25">
      <c r="A268" s="5">
        <v>51926</v>
      </c>
      <c r="B268" s="9" t="e">
        <v>#NUM!</v>
      </c>
      <c r="C268" s="9">
        <v>4.8166467846719261</v>
      </c>
      <c r="D268" s="24"/>
      <c r="E268" s="24" t="e">
        <v>#NUM!</v>
      </c>
      <c r="F268" s="24" t="e">
        <v>#NUM!</v>
      </c>
      <c r="G268" s="25">
        <v>3.4164461254500922</v>
      </c>
      <c r="H268" s="10">
        <v>1.4002006592218339</v>
      </c>
      <c r="I268" s="8" t="e">
        <v>#NUM!</v>
      </c>
      <c r="K268" s="1">
        <v>2042</v>
      </c>
      <c r="L268" s="23">
        <v>4.1033700165954692E-3</v>
      </c>
      <c r="M268" s="23" t="e">
        <v>#NUM!</v>
      </c>
      <c r="N268" s="1" t="s">
        <v>250</v>
      </c>
      <c r="P268" s="20">
        <v>1.2000000000000007E-2</v>
      </c>
      <c r="T268" s="22"/>
    </row>
    <row r="269" spans="1:20" x14ac:dyDescent="0.25">
      <c r="A269" s="5">
        <v>51957</v>
      </c>
      <c r="B269" s="9" t="e">
        <v>#NUM!</v>
      </c>
      <c r="C269" s="9">
        <v>4.8599966057339739</v>
      </c>
      <c r="D269" s="24"/>
      <c r="E269" s="24" t="e">
        <v>#NUM!</v>
      </c>
      <c r="F269" s="24" t="e">
        <v>#NUM!</v>
      </c>
      <c r="G269" s="25">
        <v>3.4164461254500922</v>
      </c>
      <c r="H269" s="10">
        <v>1.4435504802838817</v>
      </c>
      <c r="I269" s="8" t="e">
        <v>#NUM!</v>
      </c>
      <c r="K269" s="1">
        <v>2042</v>
      </c>
      <c r="L269" s="23">
        <v>4.1033695597425856E-3</v>
      </c>
      <c r="M269" s="23" t="e">
        <v>#NUM!</v>
      </c>
      <c r="N269" s="1" t="s">
        <v>251</v>
      </c>
      <c r="P269" s="20">
        <v>9.000000000000008E-3</v>
      </c>
      <c r="T269" s="22"/>
    </row>
    <row r="270" spans="1:20" x14ac:dyDescent="0.25">
      <c r="A270" s="5">
        <v>51987</v>
      </c>
      <c r="B270" s="9" t="e">
        <v>#NUM!</v>
      </c>
      <c r="C270" s="9">
        <v>4.8891565853683776</v>
      </c>
      <c r="D270" s="24"/>
      <c r="E270" s="24" t="e">
        <v>#NUM!</v>
      </c>
      <c r="F270" s="24" t="e">
        <v>#NUM!</v>
      </c>
      <c r="G270" s="25">
        <v>3.4164461254500922</v>
      </c>
      <c r="H270" s="10">
        <v>1.4727104599182854</v>
      </c>
      <c r="I270" s="8" t="e">
        <v>#NUM!</v>
      </c>
      <c r="K270" s="1">
        <v>2042</v>
      </c>
      <c r="L270" s="23">
        <v>4.1033680021613991E-3</v>
      </c>
      <c r="M270" s="23" t="e">
        <v>#NUM!</v>
      </c>
      <c r="N270" s="1" t="s">
        <v>252</v>
      </c>
      <c r="P270" s="20">
        <v>6.0000000000000071E-3</v>
      </c>
      <c r="T270" s="22"/>
    </row>
    <row r="271" spans="1:20" x14ac:dyDescent="0.25">
      <c r="A271" s="5">
        <v>52018</v>
      </c>
      <c r="B271" s="9" t="e">
        <v>#NUM!</v>
      </c>
      <c r="C271" s="9">
        <v>4.9331589946366927</v>
      </c>
      <c r="D271" s="24"/>
      <c r="E271" s="24" t="e">
        <v>#NUM!</v>
      </c>
      <c r="F271" s="24" t="e">
        <v>#NUM!</v>
      </c>
      <c r="G271" s="25">
        <v>3.4164461254500922</v>
      </c>
      <c r="H271" s="10">
        <v>1.5167128691866005</v>
      </c>
      <c r="I271" s="8" t="e">
        <v>#NUM!</v>
      </c>
      <c r="K271" s="1">
        <v>2042</v>
      </c>
      <c r="L271" s="23">
        <v>4.1033660821637548E-3</v>
      </c>
      <c r="M271" s="23" t="e">
        <v>#NUM!</v>
      </c>
      <c r="N271" s="1" t="s">
        <v>253</v>
      </c>
      <c r="P271" s="20">
        <v>9.000000000000008E-3</v>
      </c>
      <c r="T271" s="22"/>
    </row>
    <row r="272" spans="1:20" x14ac:dyDescent="0.25">
      <c r="A272" s="5">
        <v>52048</v>
      </c>
      <c r="B272" s="9" t="e">
        <v>#NUM!</v>
      </c>
      <c r="C272" s="9">
        <v>4.962757948604513</v>
      </c>
      <c r="D272" s="24"/>
      <c r="E272" s="24" t="e">
        <v>#NUM!</v>
      </c>
      <c r="F272" s="24" t="e">
        <v>#NUM!</v>
      </c>
      <c r="G272" s="25">
        <v>3.4164461254500922</v>
      </c>
      <c r="H272" s="10">
        <v>1.5463118231544208</v>
      </c>
      <c r="I272" s="8" t="e">
        <v>#NUM!</v>
      </c>
      <c r="K272" s="1">
        <v>2042</v>
      </c>
      <c r="L272" s="23">
        <v>4.1033643974458991E-3</v>
      </c>
      <c r="M272" s="23" t="e">
        <v>#NUM!</v>
      </c>
      <c r="N272" s="1" t="s">
        <v>254</v>
      </c>
      <c r="P272" s="20">
        <v>6.0000000000000071E-3</v>
      </c>
      <c r="T272" s="22"/>
    </row>
    <row r="273" spans="1:20" x14ac:dyDescent="0.25">
      <c r="A273" s="5">
        <v>52079</v>
      </c>
      <c r="B273" s="9" t="e">
        <v>#NUM!</v>
      </c>
      <c r="C273" s="9">
        <v>4.9478696747586994</v>
      </c>
      <c r="D273" s="24"/>
      <c r="E273" s="24" t="e">
        <v>#NUM!</v>
      </c>
      <c r="F273" s="24" t="e">
        <v>#NUM!</v>
      </c>
      <c r="G273" s="25">
        <v>3.4164461254500922</v>
      </c>
      <c r="H273" s="10">
        <v>1.5314235493086072</v>
      </c>
      <c r="I273" s="8" t="e">
        <v>#NUM!</v>
      </c>
      <c r="K273" s="1">
        <v>2042</v>
      </c>
      <c r="L273" s="23">
        <v>4.1033633364188143E-3</v>
      </c>
      <c r="M273" s="23" t="e">
        <v>#NUM!</v>
      </c>
      <c r="N273" s="1" t="s">
        <v>255</v>
      </c>
      <c r="P273" s="20">
        <v>-2.9999999999999931E-3</v>
      </c>
      <c r="T273" s="22"/>
    </row>
    <row r="274" spans="1:20" x14ac:dyDescent="0.25">
      <c r="A274" s="5">
        <v>52110</v>
      </c>
      <c r="B274" s="9" t="e">
        <v>#NUM!</v>
      </c>
      <c r="C274" s="9">
        <v>4.9181824567101469</v>
      </c>
      <c r="D274" s="24"/>
      <c r="E274" s="24" t="e">
        <v>#NUM!</v>
      </c>
      <c r="F274" s="24" t="e">
        <v>#NUM!</v>
      </c>
      <c r="G274" s="25">
        <v>3.4164461254500922</v>
      </c>
      <c r="H274" s="10">
        <v>1.5017363312600547</v>
      </c>
      <c r="I274" s="8" t="e">
        <v>#NUM!</v>
      </c>
      <c r="K274" s="1">
        <v>2042</v>
      </c>
      <c r="L274" s="23">
        <v>4.1033630622310992E-3</v>
      </c>
      <c r="M274" s="23" t="e">
        <v>#NUM!</v>
      </c>
      <c r="N274" s="1" t="s">
        <v>256</v>
      </c>
      <c r="P274" s="20">
        <v>-5.9999999999999932E-3</v>
      </c>
      <c r="T274" s="22"/>
    </row>
    <row r="275" spans="1:20" x14ac:dyDescent="0.25">
      <c r="A275" s="5">
        <v>52140</v>
      </c>
      <c r="B275" s="9" t="e">
        <v>#NUM!</v>
      </c>
      <c r="C275" s="9">
        <v>4.8739188145997554</v>
      </c>
      <c r="D275" s="24"/>
      <c r="E275" s="24" t="e">
        <v>#NUM!</v>
      </c>
      <c r="F275" s="24" t="e">
        <v>#NUM!</v>
      </c>
      <c r="G275" s="25">
        <v>3.4164461254500922</v>
      </c>
      <c r="H275" s="10">
        <v>1.4574726891496632</v>
      </c>
      <c r="I275" s="8" t="e">
        <v>#NUM!</v>
      </c>
      <c r="K275" s="1">
        <v>2042</v>
      </c>
      <c r="L275" s="23">
        <v>4.1033635082084203E-3</v>
      </c>
      <c r="M275" s="23" t="e">
        <v>#NUM!</v>
      </c>
      <c r="N275" s="1" t="s">
        <v>257</v>
      </c>
      <c r="P275" s="20">
        <v>-8.9999999999999941E-3</v>
      </c>
      <c r="T275" s="22"/>
    </row>
    <row r="276" spans="1:20" x14ac:dyDescent="0.25">
      <c r="A276" s="5">
        <v>52171</v>
      </c>
      <c r="B276" s="9" t="e">
        <v>#NUM!</v>
      </c>
      <c r="C276" s="9">
        <v>4.8154317888245588</v>
      </c>
      <c r="D276" s="24"/>
      <c r="E276" s="24" t="e">
        <v>#NUM!</v>
      </c>
      <c r="F276" s="24" t="e">
        <v>#NUM!</v>
      </c>
      <c r="G276" s="25">
        <v>3.4164461254500922</v>
      </c>
      <c r="H276" s="10">
        <v>1.3989856633744666</v>
      </c>
      <c r="I276" s="8" t="e">
        <v>#NUM!</v>
      </c>
      <c r="K276" s="1">
        <v>2042</v>
      </c>
      <c r="L276" s="23">
        <v>4.1033643892192688E-3</v>
      </c>
      <c r="M276" s="23" t="e">
        <v>#NUM!</v>
      </c>
      <c r="N276" s="1" t="s">
        <v>258</v>
      </c>
      <c r="P276" s="20">
        <v>-1.1999999999999993E-2</v>
      </c>
      <c r="T276" s="22"/>
    </row>
    <row r="277" spans="1:20" x14ac:dyDescent="0.25">
      <c r="A277" s="5">
        <v>52201</v>
      </c>
      <c r="B277" s="9" t="e">
        <v>#NUM!</v>
      </c>
      <c r="C277" s="9">
        <v>4.7432003119921902</v>
      </c>
      <c r="D277" s="24"/>
      <c r="E277" s="24" t="e">
        <v>#NUM!</v>
      </c>
      <c r="F277" s="24" t="e">
        <v>#NUM!</v>
      </c>
      <c r="G277" s="25">
        <v>3.4164461254500922</v>
      </c>
      <c r="H277" s="10">
        <v>1.326754186542098</v>
      </c>
      <c r="I277" s="8" t="e">
        <v>#NUM!</v>
      </c>
      <c r="K277" s="1">
        <v>2042</v>
      </c>
      <c r="L277" s="23">
        <v>4.1033653009832135E-3</v>
      </c>
      <c r="M277" s="23" t="e">
        <v>#NUM!</v>
      </c>
      <c r="N277" s="1" t="s">
        <v>259</v>
      </c>
      <c r="P277" s="20">
        <v>-1.4999999999999993E-2</v>
      </c>
      <c r="T277" s="22"/>
    </row>
    <row r="278" spans="1:20" x14ac:dyDescent="0.25">
      <c r="A278" s="5">
        <v>52232</v>
      </c>
      <c r="B278" s="9" t="e">
        <v>#NUM!</v>
      </c>
      <c r="C278" s="9">
        <v>4.672052307312307</v>
      </c>
      <c r="D278" s="24"/>
      <c r="E278" s="24" t="e">
        <v>#NUM!</v>
      </c>
      <c r="F278" s="24" t="e">
        <v>#NUM!</v>
      </c>
      <c r="G278" s="25">
        <v>3.4164461254500922</v>
      </c>
      <c r="H278" s="10">
        <v>1.2556061818622148</v>
      </c>
      <c r="I278" s="8" t="e">
        <v>#NUM!</v>
      </c>
      <c r="K278" s="1">
        <v>2043</v>
      </c>
      <c r="L278" s="23">
        <v>4.1033658753483982E-3</v>
      </c>
      <c r="M278" s="23" t="e">
        <v>#NUM!</v>
      </c>
      <c r="N278" s="1" t="s">
        <v>260</v>
      </c>
      <c r="P278" s="20">
        <v>-1.4999999999999993E-2</v>
      </c>
      <c r="T278" s="22"/>
    </row>
    <row r="279" spans="1:20" x14ac:dyDescent="0.25">
      <c r="A279" s="5">
        <v>52263</v>
      </c>
      <c r="B279" s="9" t="e">
        <v>#NUM!</v>
      </c>
      <c r="C279" s="9">
        <v>4.7000846211561811</v>
      </c>
      <c r="D279" s="24"/>
      <c r="E279" s="24" t="e">
        <v>#NUM!</v>
      </c>
      <c r="F279" s="24" t="e">
        <v>#NUM!</v>
      </c>
      <c r="G279" s="25">
        <v>3.4164461254500922</v>
      </c>
      <c r="H279" s="10">
        <v>1.2836384957060889</v>
      </c>
      <c r="I279" s="8" t="e">
        <v>#NUM!</v>
      </c>
      <c r="K279" s="1">
        <v>2043</v>
      </c>
      <c r="L279" s="23">
        <v>4.1033660067173999E-3</v>
      </c>
      <c r="M279" s="23" t="e">
        <v>#NUM!</v>
      </c>
      <c r="N279" s="1" t="s">
        <v>261</v>
      </c>
      <c r="P279" s="20">
        <v>6.0000000000000001E-3</v>
      </c>
      <c r="T279" s="22"/>
    </row>
    <row r="280" spans="1:20" x14ac:dyDescent="0.25">
      <c r="A280" s="5">
        <v>52291</v>
      </c>
      <c r="B280" s="9" t="e">
        <v>#NUM!</v>
      </c>
      <c r="C280" s="9">
        <v>4.723585044261962</v>
      </c>
      <c r="D280" s="24"/>
      <c r="E280" s="24" t="e">
        <v>#NUM!</v>
      </c>
      <c r="F280" s="24" t="e">
        <v>#NUM!</v>
      </c>
      <c r="G280" s="25">
        <v>3.4164461254500922</v>
      </c>
      <c r="H280" s="10">
        <v>1.3071389188118698</v>
      </c>
      <c r="I280" s="8" t="e">
        <v>#NUM!</v>
      </c>
      <c r="K280" s="1">
        <v>2043</v>
      </c>
      <c r="L280" s="23">
        <v>4.1033657947696436E-3</v>
      </c>
      <c r="M280" s="23" t="e">
        <v>#NUM!</v>
      </c>
      <c r="N280" s="1" t="s">
        <v>262</v>
      </c>
      <c r="P280" s="20">
        <v>5.0000000000000001E-3</v>
      </c>
      <c r="T280" s="22"/>
    </row>
    <row r="281" spans="1:20" x14ac:dyDescent="0.25">
      <c r="A281" s="5">
        <v>52322</v>
      </c>
      <c r="B281" s="9" t="e">
        <v>#NUM!</v>
      </c>
      <c r="C281" s="9">
        <v>4.7424793844390098</v>
      </c>
      <c r="D281" s="24"/>
      <c r="E281" s="24" t="e">
        <v>#NUM!</v>
      </c>
      <c r="F281" s="24" t="e">
        <v>#NUM!</v>
      </c>
      <c r="G281" s="25">
        <v>3.4164461254500922</v>
      </c>
      <c r="H281" s="10">
        <v>1.3260332589889177</v>
      </c>
      <c r="I281" s="8" t="e">
        <v>#NUM!</v>
      </c>
      <c r="K281" s="1">
        <v>2043</v>
      </c>
      <c r="L281" s="23">
        <v>4.1033654429508248E-3</v>
      </c>
      <c r="M281" s="23" t="e">
        <v>#NUM!</v>
      </c>
      <c r="N281" s="1" t="s">
        <v>263</v>
      </c>
      <c r="P281" s="20">
        <v>4.0000000000000001E-3</v>
      </c>
      <c r="T281" s="22"/>
    </row>
    <row r="282" spans="1:20" x14ac:dyDescent="0.25">
      <c r="A282" s="5">
        <v>52352</v>
      </c>
      <c r="B282" s="9" t="e">
        <v>#NUM!</v>
      </c>
      <c r="C282" s="9">
        <v>4.7709342607456442</v>
      </c>
      <c r="D282" s="24"/>
      <c r="E282" s="24" t="e">
        <v>#NUM!</v>
      </c>
      <c r="F282" s="24" t="e">
        <v>#NUM!</v>
      </c>
      <c r="G282" s="25">
        <v>3.4164461254500922</v>
      </c>
      <c r="H282" s="10">
        <v>1.354488135295552</v>
      </c>
      <c r="I282" s="8" t="e">
        <v>#NUM!</v>
      </c>
      <c r="K282" s="1">
        <v>2043</v>
      </c>
      <c r="L282" s="23">
        <v>4.1033650998848446E-3</v>
      </c>
      <c r="M282" s="23" t="e">
        <v>#NUM!</v>
      </c>
      <c r="N282" s="1" t="s">
        <v>264</v>
      </c>
      <c r="P282" s="20">
        <v>6.0000000000000001E-3</v>
      </c>
      <c r="T282" s="22"/>
    </row>
    <row r="283" spans="1:20" x14ac:dyDescent="0.25">
      <c r="A283" s="5">
        <v>52383</v>
      </c>
      <c r="B283" s="9" t="e">
        <v>#NUM!</v>
      </c>
      <c r="C283" s="9">
        <v>4.809101734831609</v>
      </c>
      <c r="D283" s="24"/>
      <c r="E283" s="24" t="e">
        <v>#NUM!</v>
      </c>
      <c r="F283" s="24" t="e">
        <v>#NUM!</v>
      </c>
      <c r="G283" s="25">
        <v>3.4164461254500922</v>
      </c>
      <c r="H283" s="10">
        <v>1.3926556093815168</v>
      </c>
      <c r="I283" s="8" t="e">
        <v>#NUM!</v>
      </c>
      <c r="K283" s="1">
        <v>2043</v>
      </c>
      <c r="L283" s="23">
        <v>4.1033648580284651E-3</v>
      </c>
      <c r="M283" s="23" t="e">
        <v>#NUM!</v>
      </c>
      <c r="N283" s="1" t="s">
        <v>265</v>
      </c>
      <c r="P283" s="20">
        <v>8.0000000000000002E-3</v>
      </c>
      <c r="T283" s="22"/>
    </row>
    <row r="284" spans="1:20" x14ac:dyDescent="0.25">
      <c r="A284" s="5">
        <v>52413</v>
      </c>
      <c r="B284" s="9" t="e">
        <v>#NUM!</v>
      </c>
      <c r="C284" s="9">
        <v>4.857192752179925</v>
      </c>
      <c r="D284" s="24"/>
      <c r="E284" s="24" t="e">
        <v>#NUM!</v>
      </c>
      <c r="F284" s="24" t="e">
        <v>#NUM!</v>
      </c>
      <c r="G284" s="25">
        <v>3.4164461254500922</v>
      </c>
      <c r="H284" s="10">
        <v>1.4407466267298328</v>
      </c>
      <c r="I284" s="8" t="e">
        <v>#NUM!</v>
      </c>
      <c r="K284" s="1">
        <v>2043</v>
      </c>
      <c r="L284" s="23">
        <v>4.1033647560171915E-3</v>
      </c>
      <c r="M284" s="23" t="e">
        <v>#NUM!</v>
      </c>
      <c r="N284" s="1" t="s">
        <v>266</v>
      </c>
      <c r="P284" s="20">
        <v>0.01</v>
      </c>
      <c r="T284" s="22"/>
    </row>
    <row r="285" spans="1:20" x14ac:dyDescent="0.25">
      <c r="A285" s="5">
        <v>52444</v>
      </c>
      <c r="B285" s="9" t="e">
        <v>#NUM!</v>
      </c>
      <c r="C285" s="9">
        <v>4.9154790652060845</v>
      </c>
      <c r="D285" s="24"/>
      <c r="E285" s="24" t="e">
        <v>#NUM!</v>
      </c>
      <c r="F285" s="24" t="e">
        <v>#NUM!</v>
      </c>
      <c r="G285" s="25">
        <v>3.4164461254500922</v>
      </c>
      <c r="H285" s="10">
        <v>1.4990329397559923</v>
      </c>
      <c r="I285" s="8" t="e">
        <v>#NUM!</v>
      </c>
      <c r="K285" s="1">
        <v>2043</v>
      </c>
      <c r="L285" s="23">
        <v>4.1033647858981321E-3</v>
      </c>
      <c r="M285" s="23" t="e">
        <v>#NUM!</v>
      </c>
      <c r="N285" s="1" t="s">
        <v>267</v>
      </c>
      <c r="P285" s="20">
        <v>1.2E-2</v>
      </c>
      <c r="T285" s="22"/>
    </row>
    <row r="286" spans="1:20" x14ac:dyDescent="0.25">
      <c r="A286" s="5">
        <v>52475</v>
      </c>
      <c r="B286" s="9" t="e">
        <v>#NUM!</v>
      </c>
      <c r="C286" s="9">
        <v>4.98429577211897</v>
      </c>
      <c r="D286" s="24"/>
      <c r="E286" s="24" t="e">
        <v>#NUM!</v>
      </c>
      <c r="F286" s="24" t="e">
        <v>#NUM!</v>
      </c>
      <c r="G286" s="25">
        <v>3.4164461254500922</v>
      </c>
      <c r="H286" s="10">
        <v>1.5678496466688778</v>
      </c>
      <c r="I286" s="8" t="e">
        <v>#NUM!</v>
      </c>
      <c r="K286" s="1">
        <v>2043</v>
      </c>
      <c r="L286" s="23">
        <v>4.1033649066880753E-3</v>
      </c>
      <c r="M286" s="23" t="e">
        <v>#NUM!</v>
      </c>
      <c r="N286" s="1" t="s">
        <v>268</v>
      </c>
      <c r="P286" s="20">
        <v>1.4E-2</v>
      </c>
      <c r="T286" s="22"/>
    </row>
    <row r="287" spans="1:20" x14ac:dyDescent="0.25">
      <c r="A287" s="5">
        <v>52505</v>
      </c>
      <c r="B287" s="9" t="e">
        <v>#NUM!</v>
      </c>
      <c r="C287" s="9">
        <v>5.0640445044728732</v>
      </c>
      <c r="D287" s="24"/>
      <c r="E287" s="24" t="e">
        <v>#NUM!</v>
      </c>
      <c r="F287" s="24" t="e">
        <v>#NUM!</v>
      </c>
      <c r="G287" s="25">
        <v>3.4164461254500922</v>
      </c>
      <c r="H287" s="10">
        <v>1.6475983790227811</v>
      </c>
      <c r="I287" s="8" t="e">
        <v>#NUM!</v>
      </c>
      <c r="K287" s="1">
        <v>2043</v>
      </c>
      <c r="L287" s="23">
        <v>4.103365060392823E-3</v>
      </c>
      <c r="M287" s="23" t="e">
        <v>#NUM!</v>
      </c>
      <c r="N287" s="1" t="s">
        <v>269</v>
      </c>
      <c r="P287" s="20">
        <v>1.6E-2</v>
      </c>
      <c r="T287" s="22"/>
    </row>
    <row r="288" spans="1:20" x14ac:dyDescent="0.25">
      <c r="A288" s="5">
        <v>52536</v>
      </c>
      <c r="B288" s="9" t="e">
        <v>#NUM!</v>
      </c>
      <c r="C288" s="9">
        <v>5.1551973055533846</v>
      </c>
      <c r="D288" s="24"/>
      <c r="E288" s="24" t="e">
        <v>#NUM!</v>
      </c>
      <c r="F288" s="24" t="e">
        <v>#NUM!</v>
      </c>
      <c r="G288" s="25">
        <v>3.4164461254500922</v>
      </c>
      <c r="H288" s="10">
        <v>1.7387511801032924</v>
      </c>
      <c r="I288" s="8" t="e">
        <v>#NUM!</v>
      </c>
      <c r="K288" s="1">
        <v>2043</v>
      </c>
      <c r="L288" s="23">
        <v>4.1033651897415232E-3</v>
      </c>
      <c r="M288" s="23" t="e">
        <v>#NUM!</v>
      </c>
      <c r="N288" s="1" t="s">
        <v>270</v>
      </c>
      <c r="P288" s="20">
        <v>1.8000000000000002E-2</v>
      </c>
      <c r="T288" s="22"/>
    </row>
    <row r="289" spans="1:20" x14ac:dyDescent="0.25">
      <c r="A289" s="5">
        <v>52566</v>
      </c>
      <c r="B289" s="9" t="e">
        <v>#NUM!</v>
      </c>
      <c r="C289" s="9">
        <v>5.2583012516644523</v>
      </c>
      <c r="D289" s="24"/>
      <c r="E289" s="24" t="e">
        <v>#NUM!</v>
      </c>
      <c r="F289" s="24" t="e">
        <v>#NUM!</v>
      </c>
      <c r="G289" s="25">
        <v>3.4164461254500922</v>
      </c>
      <c r="H289" s="10">
        <v>1.8418551262143601</v>
      </c>
      <c r="I289" s="8" t="e">
        <v>#NUM!</v>
      </c>
      <c r="K289" s="1">
        <v>2043</v>
      </c>
      <c r="L289" s="23">
        <v>4.1033652564517109E-3</v>
      </c>
      <c r="M289" s="23" t="e">
        <v>#NUM!</v>
      </c>
      <c r="N289" s="1" t="s">
        <v>271</v>
      </c>
      <c r="P289" s="20">
        <v>2.0000000000000004E-2</v>
      </c>
      <c r="T289" s="22"/>
    </row>
    <row r="290" spans="1:20" x14ac:dyDescent="0.25">
      <c r="D290" s="24"/>
      <c r="E290" s="24">
        <v>0</v>
      </c>
      <c r="F290" s="24">
        <v>0</v>
      </c>
      <c r="H290" s="10">
        <v>0</v>
      </c>
      <c r="I290" s="8">
        <v>0</v>
      </c>
      <c r="L290" s="23">
        <v>4.1033652527407531E-3</v>
      </c>
      <c r="M290" s="23" t="e">
        <v>#NUM!</v>
      </c>
      <c r="N290" s="1" t="s">
        <v>272</v>
      </c>
      <c r="P290" s="20"/>
      <c r="T290" s="22"/>
    </row>
  </sheetData>
  <mergeCells count="5">
    <mergeCell ref="P35:P37"/>
    <mergeCell ref="Q35:Q37"/>
    <mergeCell ref="L36:L37"/>
    <mergeCell ref="M36:M37"/>
    <mergeCell ref="R37:R3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1E66-05CF-4C60-8E7E-36D8805161B0}">
  <dimension ref="A1:J24"/>
  <sheetViews>
    <sheetView zoomScale="110" zoomScaleNormal="110" workbookViewId="0">
      <selection activeCell="C58" sqref="C58"/>
    </sheetView>
  </sheetViews>
  <sheetFormatPr defaultRowHeight="12.75" x14ac:dyDescent="0.2"/>
  <cols>
    <col min="3" max="3" width="10" bestFit="1" customWidth="1"/>
    <col min="4" max="6" width="10" customWidth="1"/>
    <col min="7" max="7" width="12.1640625" customWidth="1"/>
    <col min="8" max="10" width="9.5" customWidth="1"/>
  </cols>
  <sheetData>
    <row r="1" spans="1:10" ht="54" x14ac:dyDescent="0.2">
      <c r="C1" s="2" t="s">
        <v>0</v>
      </c>
      <c r="D1" s="2" t="s">
        <v>273</v>
      </c>
      <c r="E1" s="2" t="s">
        <v>274</v>
      </c>
      <c r="F1" s="2" t="s">
        <v>275</v>
      </c>
      <c r="G1" s="2" t="s">
        <v>1</v>
      </c>
      <c r="H1" s="2" t="s">
        <v>273</v>
      </c>
      <c r="I1" s="2" t="s">
        <v>274</v>
      </c>
      <c r="J1" s="2" t="s">
        <v>275</v>
      </c>
    </row>
    <row r="2" spans="1:10" x14ac:dyDescent="0.2">
      <c r="A2">
        <v>2021</v>
      </c>
      <c r="B2">
        <v>2021</v>
      </c>
      <c r="C2" s="37">
        <v>587.67772500000012</v>
      </c>
      <c r="D2" s="37">
        <v>642.27269999999999</v>
      </c>
      <c r="E2" s="37">
        <v>463.47370000000001</v>
      </c>
      <c r="F2" s="37">
        <v>178.79899999999998</v>
      </c>
      <c r="G2" s="37">
        <v>2.0725166666666666</v>
      </c>
      <c r="H2" s="37">
        <v>2.5255999999999998</v>
      </c>
      <c r="I2" s="37">
        <v>1.5874999999999999</v>
      </c>
      <c r="J2" s="37">
        <v>0.93809999999999993</v>
      </c>
    </row>
    <row r="3" spans="1:10" x14ac:dyDescent="0.2">
      <c r="A3">
        <v>2022</v>
      </c>
      <c r="B3">
        <v>2022</v>
      </c>
      <c r="C3" s="37">
        <v>752.20635158730158</v>
      </c>
      <c r="D3" s="37">
        <v>804.6</v>
      </c>
      <c r="E3" s="37">
        <v>614.5</v>
      </c>
      <c r="F3" s="37">
        <v>190.10000000000002</v>
      </c>
      <c r="G3" s="37">
        <v>3.5333315476190479</v>
      </c>
      <c r="H3" s="37">
        <v>4.3010999999999999</v>
      </c>
      <c r="I3" s="37">
        <v>2.6183000000000001</v>
      </c>
      <c r="J3" s="37">
        <v>1.6827999999999999</v>
      </c>
    </row>
    <row r="4" spans="1:10" x14ac:dyDescent="0.2">
      <c r="A4">
        <v>2023</v>
      </c>
      <c r="B4">
        <v>2023</v>
      </c>
      <c r="C4" s="37">
        <v>621.86104999999998</v>
      </c>
      <c r="D4" s="37">
        <v>745.25</v>
      </c>
      <c r="E4" s="37">
        <v>546.125</v>
      </c>
      <c r="F4" s="37">
        <v>199.125</v>
      </c>
      <c r="G4" s="37">
        <v>2.7759166666666668</v>
      </c>
      <c r="H4" s="37">
        <v>3.7347999999999999</v>
      </c>
      <c r="I4" s="37">
        <v>2.1654</v>
      </c>
      <c r="J4" s="37">
        <v>1.5693999999999999</v>
      </c>
    </row>
    <row r="5" spans="1:10" x14ac:dyDescent="0.2">
      <c r="A5">
        <v>2024</v>
      </c>
      <c r="B5">
        <v>2024</v>
      </c>
      <c r="C5" s="37">
        <v>468.3348416666667</v>
      </c>
      <c r="D5" s="37">
        <v>521.42859999999996</v>
      </c>
      <c r="E5" s="37">
        <v>434.63</v>
      </c>
      <c r="F5" s="37">
        <v>86.798599999999965</v>
      </c>
      <c r="G5" s="37">
        <v>2.3894749999999996</v>
      </c>
      <c r="H5" s="37">
        <v>2.6656</v>
      </c>
      <c r="I5" s="37">
        <v>2.02</v>
      </c>
      <c r="J5" s="37">
        <v>0.64559999999999995</v>
      </c>
    </row>
    <row r="6" spans="1:10" x14ac:dyDescent="0.2">
      <c r="A6" t="s">
        <v>276</v>
      </c>
      <c r="B6">
        <v>2025</v>
      </c>
      <c r="C6" s="37">
        <v>429.34083333333336</v>
      </c>
      <c r="D6" s="37">
        <v>444.98000000000019</v>
      </c>
      <c r="E6" s="37">
        <v>402.5</v>
      </c>
      <c r="F6" s="37">
        <v>42.480000000000189</v>
      </c>
      <c r="G6" s="37">
        <v>2.6608333333333332</v>
      </c>
      <c r="H6" s="37">
        <v>2.76</v>
      </c>
      <c r="I6" s="37">
        <v>2.4500000000000002</v>
      </c>
      <c r="J6" s="37">
        <v>0.30999999999999961</v>
      </c>
    </row>
    <row r="7" spans="1:10" x14ac:dyDescent="0.2">
      <c r="A7" t="s">
        <v>277</v>
      </c>
      <c r="B7">
        <v>2026</v>
      </c>
      <c r="C7" s="37">
        <v>464.61500000000001</v>
      </c>
      <c r="D7" s="37">
        <v>480</v>
      </c>
      <c r="E7" s="37">
        <v>440.72000000000014</v>
      </c>
      <c r="F7" s="37">
        <v>39.279999999999859</v>
      </c>
      <c r="G7" s="37">
        <v>2.7877007958372961</v>
      </c>
      <c r="H7" s="37">
        <v>2.8830330433999336</v>
      </c>
      <c r="I7" s="37">
        <v>2.6727888000000002</v>
      </c>
      <c r="J7" s="37">
        <v>0.21024424339993342</v>
      </c>
    </row>
    <row r="8" spans="1:10" x14ac:dyDescent="0.2">
      <c r="A8" t="s">
        <v>278</v>
      </c>
      <c r="B8">
        <v>2027</v>
      </c>
      <c r="C8" s="37">
        <v>496.29166666666669</v>
      </c>
      <c r="D8" s="37">
        <v>505</v>
      </c>
      <c r="E8" s="37">
        <v>485</v>
      </c>
      <c r="F8" s="37">
        <v>20</v>
      </c>
      <c r="G8" s="37">
        <v>2.9872686392257752</v>
      </c>
      <c r="H8" s="37">
        <v>3.0638675325270857</v>
      </c>
      <c r="I8" s="37">
        <v>2.906097307747133</v>
      </c>
      <c r="J8" s="37">
        <v>0.15777022477995262</v>
      </c>
    </row>
    <row r="9" spans="1:10" x14ac:dyDescent="0.2">
      <c r="A9">
        <v>2028</v>
      </c>
      <c r="B9">
        <v>2028</v>
      </c>
      <c r="C9" s="37">
        <v>516.45833333333337</v>
      </c>
      <c r="D9" s="37">
        <v>582.5</v>
      </c>
      <c r="E9" s="37">
        <v>467.5</v>
      </c>
      <c r="F9" s="37">
        <v>115</v>
      </c>
      <c r="G9" s="37">
        <v>3.09552775352766</v>
      </c>
      <c r="H9" s="37">
        <v>3.7498194934524363</v>
      </c>
      <c r="I9" s="37">
        <v>2.9193456253507351</v>
      </c>
      <c r="J9" s="37">
        <v>0.83047386810170121</v>
      </c>
    </row>
    <row r="10" spans="1:10" x14ac:dyDescent="0.2">
      <c r="A10">
        <v>2029</v>
      </c>
      <c r="B10">
        <v>2029</v>
      </c>
      <c r="C10" s="37">
        <v>606.04166666666663</v>
      </c>
      <c r="D10" s="37">
        <v>635</v>
      </c>
      <c r="E10" s="37">
        <v>570</v>
      </c>
      <c r="F10" s="37">
        <v>65</v>
      </c>
      <c r="G10" s="37">
        <v>3.713748412591491</v>
      </c>
      <c r="H10" s="37">
        <v>3.9242636302056102</v>
      </c>
      <c r="I10" s="37">
        <v>3.5391688176891138</v>
      </c>
      <c r="J10" s="37">
        <v>0.38509481251649635</v>
      </c>
    </row>
    <row r="11" spans="1:10" x14ac:dyDescent="0.2">
      <c r="A11">
        <v>2030</v>
      </c>
      <c r="B11">
        <v>2030</v>
      </c>
      <c r="C11" s="37">
        <v>621.25</v>
      </c>
      <c r="D11" s="37">
        <v>637.5</v>
      </c>
      <c r="E11" s="37">
        <v>587.5</v>
      </c>
      <c r="F11" s="37">
        <v>50</v>
      </c>
      <c r="G11" s="37">
        <v>4.0075167955922657</v>
      </c>
      <c r="H11" s="37">
        <v>4.1652555822885518</v>
      </c>
      <c r="I11" s="37">
        <v>3.8596664380077281</v>
      </c>
      <c r="J11" s="37">
        <v>0.30558914428082362</v>
      </c>
    </row>
    <row r="12" spans="1:10" x14ac:dyDescent="0.2">
      <c r="A12">
        <v>2031</v>
      </c>
      <c r="B12">
        <v>2031</v>
      </c>
      <c r="C12" s="37">
        <v>610.41666666666663</v>
      </c>
      <c r="D12" s="37">
        <v>637.5</v>
      </c>
      <c r="E12" s="37">
        <v>592.5</v>
      </c>
      <c r="F12" s="37">
        <v>45</v>
      </c>
      <c r="G12" s="37">
        <v>4.2158113933062866</v>
      </c>
      <c r="H12" s="37">
        <v>4.5354409634236399</v>
      </c>
      <c r="I12" s="37">
        <v>4.0297838415276761</v>
      </c>
      <c r="J12" s="37">
        <v>0.50565712189596379</v>
      </c>
    </row>
    <row r="13" spans="1:10" x14ac:dyDescent="0.2">
      <c r="A13">
        <v>2032</v>
      </c>
      <c r="B13">
        <v>2032</v>
      </c>
      <c r="C13" s="37">
        <v>586.875</v>
      </c>
      <c r="D13" s="37">
        <v>622.5</v>
      </c>
      <c r="E13" s="37">
        <v>552.5</v>
      </c>
      <c r="F13" s="37">
        <v>70</v>
      </c>
      <c r="G13" s="37">
        <v>4.1215088379181095</v>
      </c>
      <c r="H13" s="37">
        <v>4.7663959170136145</v>
      </c>
      <c r="I13" s="37">
        <v>3.6343953639494733</v>
      </c>
      <c r="J13" s="37">
        <v>1.1320005530641413</v>
      </c>
    </row>
    <row r="14" spans="1:10" x14ac:dyDescent="0.2">
      <c r="A14">
        <v>2033</v>
      </c>
      <c r="B14">
        <v>2033</v>
      </c>
      <c r="C14" s="37">
        <v>557.54166666666663</v>
      </c>
      <c r="D14" s="37">
        <v>575</v>
      </c>
      <c r="E14" s="37">
        <v>510</v>
      </c>
      <c r="F14" s="37">
        <v>65</v>
      </c>
      <c r="G14" s="37">
        <v>3.4909731185903561</v>
      </c>
      <c r="H14" s="37">
        <v>4.1496174488125552</v>
      </c>
      <c r="I14" s="37">
        <v>3.214051182037549</v>
      </c>
      <c r="J14" s="37">
        <v>0.93556626677500621</v>
      </c>
    </row>
    <row r="15" spans="1:10" x14ac:dyDescent="0.2">
      <c r="A15">
        <v>2034</v>
      </c>
      <c r="B15">
        <v>2034</v>
      </c>
      <c r="C15" s="37">
        <v>492.08333333333331</v>
      </c>
      <c r="D15" s="37">
        <v>545</v>
      </c>
      <c r="E15" s="37">
        <v>467.5</v>
      </c>
      <c r="F15" s="37">
        <v>77.5</v>
      </c>
      <c r="G15" s="37">
        <v>3.311985608380732</v>
      </c>
      <c r="H15" s="37">
        <v>3.563089948086823</v>
      </c>
      <c r="I15" s="37">
        <v>3.1658404143069858</v>
      </c>
      <c r="J15" s="37">
        <v>0.39724953377983718</v>
      </c>
    </row>
    <row r="16" spans="1:10" x14ac:dyDescent="0.2">
      <c r="A16">
        <v>2035</v>
      </c>
      <c r="B16">
        <v>2035</v>
      </c>
      <c r="C16" s="37">
        <v>487.08333333333331</v>
      </c>
      <c r="D16" s="37">
        <v>552.5</v>
      </c>
      <c r="E16" s="37">
        <v>390</v>
      </c>
      <c r="F16" s="37">
        <v>162.5</v>
      </c>
      <c r="G16" s="37">
        <v>3.6866813435183468</v>
      </c>
      <c r="H16" s="37">
        <v>3.763253232720249</v>
      </c>
      <c r="I16" s="37">
        <v>3.5536229716032923</v>
      </c>
      <c r="J16" s="37">
        <v>0.20963026111695671</v>
      </c>
    </row>
    <row r="17" spans="1:10" x14ac:dyDescent="0.2">
      <c r="A17">
        <v>2036</v>
      </c>
      <c r="B17">
        <v>2036</v>
      </c>
      <c r="C17" s="37">
        <v>312.91666666666669</v>
      </c>
      <c r="D17" s="37">
        <v>382.5</v>
      </c>
      <c r="E17" s="37">
        <v>227.5</v>
      </c>
      <c r="F17" s="37">
        <v>155</v>
      </c>
      <c r="G17" s="37">
        <v>3.7422269622678583</v>
      </c>
      <c r="H17" s="37">
        <v>3.8286350889777503</v>
      </c>
      <c r="I17" s="37">
        <v>3.6175881850921514</v>
      </c>
      <c r="J17" s="37">
        <v>0.21104690388559888</v>
      </c>
    </row>
    <row r="18" spans="1:10" x14ac:dyDescent="0.2">
      <c r="A18">
        <v>2037</v>
      </c>
      <c r="B18">
        <v>2037</v>
      </c>
      <c r="C18" s="37">
        <v>134.16666666666666</v>
      </c>
      <c r="D18" s="37">
        <v>210</v>
      </c>
      <c r="E18" s="37">
        <v>62.5</v>
      </c>
      <c r="F18" s="37">
        <v>147.5</v>
      </c>
      <c r="G18" s="37">
        <v>3.7707522611160194</v>
      </c>
      <c r="H18" s="37">
        <v>4.0566388465911656</v>
      </c>
      <c r="I18" s="37">
        <v>3.6043634580939421</v>
      </c>
      <c r="J18" s="37">
        <v>0.45227538849722349</v>
      </c>
    </row>
    <row r="19" spans="1:10" x14ac:dyDescent="0.2">
      <c r="B19">
        <v>2038</v>
      </c>
      <c r="C19" s="37" t="e">
        <v>#NUM!</v>
      </c>
      <c r="D19" s="37" t="e">
        <v>#NUM!</v>
      </c>
      <c r="E19" s="37" t="e">
        <v>#NUM!</v>
      </c>
      <c r="F19" s="37" t="e">
        <v>#NUM!</v>
      </c>
      <c r="G19" s="37">
        <v>4.197349764114068</v>
      </c>
      <c r="H19" s="37">
        <v>4.284528169604533</v>
      </c>
      <c r="I19" s="37">
        <v>4.0458605319478673</v>
      </c>
      <c r="J19" s="37">
        <v>0.23866763765666565</v>
      </c>
    </row>
    <row r="20" spans="1:10" x14ac:dyDescent="0.2">
      <c r="B20">
        <v>2039</v>
      </c>
      <c r="C20" s="37" t="e">
        <v>#NUM!</v>
      </c>
      <c r="D20" s="37" t="e">
        <v>#NUM!</v>
      </c>
      <c r="E20" s="37" t="e">
        <v>#NUM!</v>
      </c>
      <c r="F20" s="37" t="e">
        <v>#NUM!</v>
      </c>
      <c r="G20" s="37">
        <v>4.260589401075296</v>
      </c>
      <c r="H20" s="37">
        <v>4.3589665312010002</v>
      </c>
      <c r="I20" s="37">
        <v>4.1186860215229286</v>
      </c>
      <c r="J20" s="37">
        <v>0.24028050967807157</v>
      </c>
    </row>
    <row r="21" spans="1:10" x14ac:dyDescent="0.2">
      <c r="B21">
        <v>2040</v>
      </c>
      <c r="C21" s="37" t="e">
        <v>#NUM!</v>
      </c>
      <c r="D21" s="37" t="e">
        <v>#NUM!</v>
      </c>
      <c r="E21" s="37" t="e">
        <v>#NUM!</v>
      </c>
      <c r="F21" s="37" t="e">
        <v>#NUM!</v>
      </c>
      <c r="G21" s="37">
        <v>4.2930659416914576</v>
      </c>
      <c r="H21" s="37">
        <v>4.6185527088668126</v>
      </c>
      <c r="I21" s="37">
        <v>4.1036294436486305</v>
      </c>
      <c r="J21" s="37">
        <v>0.5149232652181821</v>
      </c>
    </row>
    <row r="22" spans="1:10" x14ac:dyDescent="0.2">
      <c r="B22">
        <v>2041</v>
      </c>
      <c r="C22" s="37" t="e">
        <v>#NUM!</v>
      </c>
      <c r="D22" s="37" t="e">
        <v>#NUM!</v>
      </c>
      <c r="E22" s="37" t="e">
        <v>#NUM!</v>
      </c>
      <c r="F22" s="37" t="e">
        <v>#NUM!</v>
      </c>
      <c r="G22" s="37">
        <v>4.7787544950915439</v>
      </c>
      <c r="H22" s="37">
        <v>4.8780086007832582</v>
      </c>
      <c r="I22" s="37">
        <v>4.6062814133003727</v>
      </c>
      <c r="J22" s="37">
        <v>0.27172718748288549</v>
      </c>
    </row>
    <row r="23" spans="1:10" x14ac:dyDescent="0.2">
      <c r="B23">
        <v>2042</v>
      </c>
      <c r="C23" s="37" t="e">
        <v>#NUM!</v>
      </c>
      <c r="D23" s="37" t="e">
        <v>#NUM!</v>
      </c>
      <c r="E23" s="37" t="e">
        <v>#NUM!</v>
      </c>
      <c r="F23" s="37" t="e">
        <v>#NUM!</v>
      </c>
      <c r="G23" s="37">
        <v>4.8507539033801246</v>
      </c>
      <c r="H23" s="37">
        <v>4.962757948604513</v>
      </c>
      <c r="I23" s="37">
        <v>4.689194478739779</v>
      </c>
      <c r="J23" s="37">
        <v>0.27356346986473401</v>
      </c>
    </row>
    <row r="24" spans="1:10" x14ac:dyDescent="0.2">
      <c r="B24">
        <v>2043</v>
      </c>
      <c r="C24" s="37" t="e">
        <v>#NUM!</v>
      </c>
      <c r="D24" s="37" t="e">
        <v>#NUM!</v>
      </c>
      <c r="E24" s="37" t="e">
        <v>#NUM!</v>
      </c>
      <c r="F24" s="37" t="e">
        <v>#NUM!</v>
      </c>
      <c r="G24" s="37">
        <v>4.8877290003285339</v>
      </c>
      <c r="H24" s="37">
        <v>5.2583012516644523</v>
      </c>
      <c r="I24" s="37">
        <v>4.672052307312307</v>
      </c>
      <c r="J24" s="37">
        <v>0.58624894435214525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2B53-4C71-4F4B-B11E-42B8F33F56C3}">
  <dimension ref="A2:B37"/>
  <sheetViews>
    <sheetView workbookViewId="0">
      <selection activeCell="C58" sqref="C58"/>
    </sheetView>
  </sheetViews>
  <sheetFormatPr defaultRowHeight="12.75" x14ac:dyDescent="0.2"/>
  <cols>
    <col min="1" max="1" width="10.6640625" bestFit="1" customWidth="1"/>
  </cols>
  <sheetData>
    <row r="2" spans="1:2" ht="13.5" x14ac:dyDescent="0.25">
      <c r="A2" s="5">
        <v>45292</v>
      </c>
      <c r="B2" s="38">
        <f>AVERAGE(Forecasts!B14,Forecasts!B26,Forecasts!B38)</f>
        <v>607.7412333333333</v>
      </c>
    </row>
    <row r="3" spans="1:2" ht="13.5" x14ac:dyDescent="0.25">
      <c r="A3" s="5">
        <v>45323</v>
      </c>
      <c r="B3" s="38">
        <f>AVERAGE(Forecasts!B15,Forecasts!B27,Forecasts!B39)</f>
        <v>622</v>
      </c>
    </row>
    <row r="4" spans="1:2" ht="13.5" x14ac:dyDescent="0.25">
      <c r="A4" s="5">
        <v>45352</v>
      </c>
      <c r="B4" s="38">
        <f>AVERAGE(Forecasts!B16,Forecasts!B28,Forecasts!B40)</f>
        <v>634.27533333333338</v>
      </c>
    </row>
    <row r="5" spans="1:2" ht="13.5" x14ac:dyDescent="0.25">
      <c r="A5" s="5">
        <v>45383</v>
      </c>
      <c r="B5" s="38">
        <f>AVERAGE(Forecasts!B17,Forecasts!B29,Forecasts!B41)</f>
        <v>655.6785666666666</v>
      </c>
    </row>
    <row r="6" spans="1:2" ht="13.5" x14ac:dyDescent="0.25">
      <c r="A6" s="5">
        <v>45413</v>
      </c>
      <c r="B6" s="38">
        <f>AVERAGE(Forecasts!B18,Forecasts!B30,Forecasts!B42)</f>
        <v>666.19839999999999</v>
      </c>
    </row>
    <row r="7" spans="1:2" ht="13.5" x14ac:dyDescent="0.25">
      <c r="A7" s="5">
        <v>45444</v>
      </c>
      <c r="B7" s="38">
        <f>AVERAGE(Forecasts!B19,Forecasts!B31,Forecasts!B43)</f>
        <v>671.47186666666664</v>
      </c>
    </row>
    <row r="8" spans="1:2" ht="13.5" x14ac:dyDescent="0.25">
      <c r="A8" s="5">
        <v>45474</v>
      </c>
      <c r="B8" s="38">
        <f>AVERAGE(Forecasts!B20,Forecasts!B32,Forecasts!B44)</f>
        <v>662.9135</v>
      </c>
    </row>
    <row r="9" spans="1:2" ht="13.5" x14ac:dyDescent="0.25">
      <c r="A9" s="5">
        <v>45505</v>
      </c>
      <c r="B9" s="38">
        <f>AVERAGE(Forecasts!B21,Forecasts!B33,Forecasts!B45)</f>
        <v>681</v>
      </c>
    </row>
    <row r="10" spans="1:2" ht="13.5" x14ac:dyDescent="0.25">
      <c r="A10" s="5">
        <v>45536</v>
      </c>
      <c r="B10" s="38">
        <f>AVERAGE(Forecasts!B22,Forecasts!B34,Forecasts!B46)</f>
        <v>670.01586666666662</v>
      </c>
    </row>
    <row r="11" spans="1:2" ht="13.5" x14ac:dyDescent="0.25">
      <c r="A11" s="5">
        <v>45566</v>
      </c>
      <c r="B11" s="38">
        <f>AVERAGE(Forecasts!B23,Forecasts!B35,Forecasts!B47)</f>
        <v>665.87660634920633</v>
      </c>
    </row>
    <row r="12" spans="1:2" ht="13.5" x14ac:dyDescent="0.25">
      <c r="A12" s="5">
        <v>45597</v>
      </c>
      <c r="B12" s="38">
        <f>AVERAGE(Forecasts!B24,Forecasts!B36,Forecasts!B48)</f>
        <v>667.44999999999993</v>
      </c>
    </row>
    <row r="13" spans="1:2" ht="13.5" x14ac:dyDescent="0.25">
      <c r="A13" s="5">
        <v>45627</v>
      </c>
      <c r="B13" s="38">
        <f>AVERAGE(Forecasts!B25,Forecasts!B37,Forecasts!B49)</f>
        <v>642.35913333333338</v>
      </c>
    </row>
    <row r="14" spans="1:2" ht="13.5" x14ac:dyDescent="0.25">
      <c r="A14" s="5">
        <v>45658</v>
      </c>
      <c r="B14" s="38">
        <f>AVERAGE(Forecasts!B26,Forecasts!B38,Forecasts!B50)</f>
        <v>627.05953333333332</v>
      </c>
    </row>
    <row r="15" spans="1:2" ht="13.5" x14ac:dyDescent="0.25">
      <c r="A15" s="5">
        <v>45689</v>
      </c>
      <c r="B15" s="38">
        <f>AVERAGE(Forecasts!B27,Forecasts!B39,Forecasts!B51)</f>
        <v>620.76536666666664</v>
      </c>
    </row>
    <row r="16" spans="1:2" ht="13.5" x14ac:dyDescent="0.25">
      <c r="A16" s="5">
        <v>45717</v>
      </c>
      <c r="B16" s="38">
        <f>AVERAGE(Forecasts!B28,Forecasts!B40,Forecasts!B52)</f>
        <v>609.2681</v>
      </c>
    </row>
    <row r="17" spans="1:2" ht="13.5" x14ac:dyDescent="0.25">
      <c r="A17" s="5">
        <v>45748</v>
      </c>
      <c r="B17" s="38">
        <f>AVERAGE(Forecasts!B29,Forecasts!B41,Forecasts!B53)</f>
        <v>619.81816666666668</v>
      </c>
    </row>
    <row r="18" spans="1:2" ht="13.5" x14ac:dyDescent="0.25">
      <c r="A18" s="5">
        <v>45778</v>
      </c>
      <c r="B18" s="38">
        <f>AVERAGE(Forecasts!B30,Forecasts!B42,Forecasts!B54)</f>
        <v>610.97839999999997</v>
      </c>
    </row>
    <row r="19" spans="1:2" ht="13.5" x14ac:dyDescent="0.25">
      <c r="A19" s="5">
        <v>45809</v>
      </c>
      <c r="B19" s="38">
        <f>AVERAGE(Forecasts!B31,Forecasts!B43,Forecasts!B55)</f>
        <v>604.57429999999999</v>
      </c>
    </row>
    <row r="20" spans="1:2" ht="13.5" x14ac:dyDescent="0.25">
      <c r="A20" s="5">
        <v>45839</v>
      </c>
      <c r="B20" s="38">
        <f>AVERAGE(Forecasts!B32,Forecasts!B44,Forecasts!B56)</f>
        <v>608.12333333333333</v>
      </c>
    </row>
    <row r="21" spans="1:2" ht="13.5" x14ac:dyDescent="0.25">
      <c r="A21" s="5">
        <v>45870</v>
      </c>
      <c r="B21" s="38">
        <f>AVERAGE(Forecasts!B33,Forecasts!B45,Forecasts!B57)</f>
        <v>617.81000000000006</v>
      </c>
    </row>
    <row r="22" spans="1:2" ht="13.5" x14ac:dyDescent="0.25">
      <c r="A22" s="5">
        <v>45901</v>
      </c>
      <c r="B22" s="38">
        <f>AVERAGE(Forecasts!B34,Forecasts!B46,Forecasts!B58)</f>
        <v>615.21</v>
      </c>
    </row>
    <row r="23" spans="1:2" ht="13.5" x14ac:dyDescent="0.25">
      <c r="A23" s="5">
        <v>45931</v>
      </c>
      <c r="B23" s="38">
        <f>AVERAGE(Forecasts!B35,Forecasts!B47,Forecasts!B59)</f>
        <v>619.66343968253966</v>
      </c>
    </row>
    <row r="24" spans="1:2" ht="13.5" x14ac:dyDescent="0.25">
      <c r="A24" s="5">
        <v>45962</v>
      </c>
      <c r="B24" s="38">
        <f>AVERAGE(Forecasts!B36,Forecasts!B48,Forecasts!B60)</f>
        <v>616.41666666666663</v>
      </c>
    </row>
    <row r="25" spans="1:2" ht="13.5" x14ac:dyDescent="0.25">
      <c r="A25" s="5">
        <v>45992</v>
      </c>
      <c r="B25" s="38">
        <f>AVERAGE(Forecasts!B37,Forecasts!B49,Forecasts!B61)</f>
        <v>599.92166666666662</v>
      </c>
    </row>
    <row r="26" spans="1:2" ht="13.5" x14ac:dyDescent="0.25">
      <c r="A26" s="5">
        <v>46023</v>
      </c>
      <c r="B26" s="38">
        <f>AVERAGE(Forecasts!B38,Forecasts!B50,Forecasts!B62)</f>
        <v>566.7095333333333</v>
      </c>
    </row>
    <row r="27" spans="1:2" ht="13.5" x14ac:dyDescent="0.25">
      <c r="A27" s="5">
        <v>46054</v>
      </c>
      <c r="B27" s="38">
        <f>AVERAGE(Forecasts!B39,Forecasts!B51,Forecasts!B63)</f>
        <v>543.54886666666664</v>
      </c>
    </row>
    <row r="28" spans="1:2" ht="13.5" x14ac:dyDescent="0.25">
      <c r="A28" s="5">
        <v>46082</v>
      </c>
      <c r="B28" s="38">
        <f>AVERAGE(Forecasts!B40,Forecasts!B52,Forecasts!B64)</f>
        <v>501.84056666666669</v>
      </c>
    </row>
    <row r="29" spans="1:2" ht="13.5" x14ac:dyDescent="0.25">
      <c r="A29" s="5">
        <v>46113</v>
      </c>
      <c r="B29" s="38">
        <f>AVERAGE(Forecasts!B41,Forecasts!B53,Forecasts!B65)</f>
        <v>494.00816666666674</v>
      </c>
    </row>
    <row r="30" spans="1:2" ht="13.5" x14ac:dyDescent="0.25">
      <c r="A30" s="5">
        <v>46143</v>
      </c>
      <c r="B30" s="38">
        <f>AVERAGE(Forecasts!B42,Forecasts!B54,Forecasts!B66)</f>
        <v>486.48666666666668</v>
      </c>
    </row>
    <row r="31" spans="1:2" ht="13.5" x14ac:dyDescent="0.25">
      <c r="A31" s="5">
        <v>46174</v>
      </c>
      <c r="B31" s="38">
        <f>AVERAGE(Forecasts!B43,Forecasts!B55,Forecasts!B67)</f>
        <v>485.30270000000002</v>
      </c>
    </row>
    <row r="32" spans="1:2" ht="13.5" x14ac:dyDescent="0.25">
      <c r="A32" s="5">
        <v>46204</v>
      </c>
      <c r="B32" s="38">
        <f>AVERAGE(Forecasts!B44,Forecasts!B56,Forecasts!B68)</f>
        <v>501.98333333333335</v>
      </c>
    </row>
    <row r="33" spans="1:2" ht="13.5" x14ac:dyDescent="0.25">
      <c r="A33" s="5">
        <v>46235</v>
      </c>
      <c r="B33" s="38">
        <f>AVERAGE(Forecasts!B45,Forecasts!B57,Forecasts!B69)</f>
        <v>516.15116666666677</v>
      </c>
    </row>
    <row r="34" spans="1:2" ht="13.5" x14ac:dyDescent="0.25">
      <c r="A34" s="5">
        <v>46266</v>
      </c>
      <c r="B34" s="38">
        <f>AVERAGE(Forecasts!B46,Forecasts!B58,Forecasts!B70)</f>
        <v>503.79333333333346</v>
      </c>
    </row>
    <row r="35" spans="1:2" ht="13.5" x14ac:dyDescent="0.25">
      <c r="A35" s="5">
        <v>46296</v>
      </c>
      <c r="B35" s="38">
        <f>AVERAGE(Forecasts!B47,Forecasts!B59,Forecasts!B71)</f>
        <v>497.8309000000001</v>
      </c>
    </row>
    <row r="36" spans="1:2" ht="13.5" x14ac:dyDescent="0.25">
      <c r="A36" s="5">
        <v>46327</v>
      </c>
      <c r="B36" s="38">
        <f>AVERAGE(Forecasts!B48,Forecasts!B60,Forecasts!B72)</f>
        <v>493.53333333333347</v>
      </c>
    </row>
    <row r="37" spans="1:2" ht="13.5" x14ac:dyDescent="0.25">
      <c r="A37" s="5">
        <v>46357</v>
      </c>
      <c r="B37" s="38">
        <f>AVERAGE(Forecasts!B49,Forecasts!B61,Forecasts!B73)</f>
        <v>486.95833333333331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DC9-8CC5-4862-BD10-669B5858A233}">
  <dimension ref="A1:F191"/>
  <sheetViews>
    <sheetView workbookViewId="0">
      <selection activeCell="C58" sqref="C58"/>
    </sheetView>
  </sheetViews>
  <sheetFormatPr defaultColWidth="9" defaultRowHeight="12.75" x14ac:dyDescent="0.2"/>
  <sheetData>
    <row r="1" spans="1:6" x14ac:dyDescent="0.2">
      <c r="B1" t="s">
        <v>279</v>
      </c>
      <c r="C1" t="s">
        <v>280</v>
      </c>
      <c r="D1" t="s">
        <v>281</v>
      </c>
      <c r="E1" t="s">
        <v>282</v>
      </c>
      <c r="F1" t="s">
        <v>283</v>
      </c>
    </row>
    <row r="2" spans="1:6" x14ac:dyDescent="0.2">
      <c r="A2" s="39">
        <v>38384</v>
      </c>
      <c r="B2">
        <v>246.875</v>
      </c>
      <c r="C2">
        <v>1.4914000000000001</v>
      </c>
      <c r="D2">
        <f>B2/100-C2</f>
        <v>0.97734999999999994</v>
      </c>
    </row>
    <row r="3" spans="1:6" x14ac:dyDescent="0.2">
      <c r="A3" s="39">
        <v>38412</v>
      </c>
      <c r="B3">
        <v>246.5</v>
      </c>
      <c r="C3">
        <v>1.6576</v>
      </c>
      <c r="D3">
        <f t="shared" ref="D3:D66" si="0">B3/100-C3</f>
        <v>0.8073999999999999</v>
      </c>
    </row>
    <row r="4" spans="1:6" x14ac:dyDescent="0.2">
      <c r="A4" s="39">
        <v>38443</v>
      </c>
      <c r="B4">
        <v>266.25</v>
      </c>
      <c r="C4">
        <v>1.4358</v>
      </c>
      <c r="D4">
        <f t="shared" si="0"/>
        <v>1.2267000000000001</v>
      </c>
    </row>
    <row r="5" spans="1:6" x14ac:dyDescent="0.2">
      <c r="A5" s="39">
        <v>38473</v>
      </c>
      <c r="B5">
        <v>276.25</v>
      </c>
      <c r="C5">
        <v>1.4519</v>
      </c>
      <c r="D5">
        <f t="shared" si="0"/>
        <v>1.3106000000000002</v>
      </c>
    </row>
    <row r="6" spans="1:6" x14ac:dyDescent="0.2">
      <c r="A6" s="39">
        <v>38504</v>
      </c>
      <c r="B6">
        <v>286.5</v>
      </c>
      <c r="C6">
        <v>1.6191</v>
      </c>
      <c r="D6">
        <f t="shared" si="0"/>
        <v>1.2459000000000002</v>
      </c>
    </row>
    <row r="7" spans="1:6" x14ac:dyDescent="0.2">
      <c r="A7" s="39">
        <v>38534</v>
      </c>
      <c r="B7">
        <v>292.5</v>
      </c>
      <c r="C7">
        <v>1.6362000000000001</v>
      </c>
      <c r="D7">
        <f t="shared" si="0"/>
        <v>1.2887999999999997</v>
      </c>
    </row>
    <row r="8" spans="1:6" x14ac:dyDescent="0.2">
      <c r="A8" s="39">
        <v>38565</v>
      </c>
      <c r="B8">
        <v>299</v>
      </c>
      <c r="C8">
        <v>2.0529999999999999</v>
      </c>
      <c r="D8">
        <f t="shared" si="0"/>
        <v>0.93700000000000028</v>
      </c>
    </row>
    <row r="9" spans="1:6" x14ac:dyDescent="0.2">
      <c r="A9" s="39">
        <v>38596</v>
      </c>
      <c r="B9">
        <v>310</v>
      </c>
      <c r="C9">
        <v>2.0672999999999999</v>
      </c>
      <c r="D9">
        <f t="shared" si="0"/>
        <v>1.0327000000000002</v>
      </c>
    </row>
    <row r="10" spans="1:6" x14ac:dyDescent="0.2">
      <c r="A10" s="39">
        <v>38626</v>
      </c>
      <c r="B10">
        <v>311.25</v>
      </c>
      <c r="C10">
        <v>1.7698</v>
      </c>
      <c r="D10">
        <f t="shared" si="0"/>
        <v>1.3426999999999998</v>
      </c>
    </row>
    <row r="11" spans="1:6" x14ac:dyDescent="0.2">
      <c r="A11" s="39">
        <v>38657</v>
      </c>
      <c r="B11">
        <v>301.5</v>
      </c>
      <c r="C11">
        <v>1.6164000000000001</v>
      </c>
      <c r="D11">
        <f t="shared" si="0"/>
        <v>1.3986000000000001</v>
      </c>
    </row>
    <row r="12" spans="1:6" x14ac:dyDescent="0.2">
      <c r="A12" s="39">
        <v>38687</v>
      </c>
      <c r="B12">
        <v>289.375</v>
      </c>
      <c r="C12">
        <v>1.728</v>
      </c>
      <c r="D12">
        <f t="shared" si="0"/>
        <v>1.1657499999999998</v>
      </c>
    </row>
    <row r="13" spans="1:6" x14ac:dyDescent="0.2">
      <c r="A13" s="39">
        <v>38718</v>
      </c>
      <c r="B13">
        <v>287.5</v>
      </c>
      <c r="C13">
        <v>1.8019000000000001</v>
      </c>
      <c r="D13">
        <f t="shared" si="0"/>
        <v>1.0730999999999999</v>
      </c>
    </row>
    <row r="14" spans="1:6" x14ac:dyDescent="0.2">
      <c r="A14" s="39">
        <v>38749</v>
      </c>
      <c r="B14">
        <v>289.16660000000002</v>
      </c>
      <c r="C14">
        <v>1.712</v>
      </c>
      <c r="D14">
        <f t="shared" si="0"/>
        <v>1.1796660000000003</v>
      </c>
    </row>
    <row r="15" spans="1:6" x14ac:dyDescent="0.2">
      <c r="A15" s="39">
        <v>38777</v>
      </c>
      <c r="B15">
        <v>295</v>
      </c>
      <c r="C15">
        <v>1.8617999999999999</v>
      </c>
      <c r="D15">
        <f t="shared" si="0"/>
        <v>1.0882000000000003</v>
      </c>
    </row>
    <row r="16" spans="1:6" x14ac:dyDescent="0.2">
      <c r="A16" s="39">
        <v>38808</v>
      </c>
      <c r="B16">
        <v>308.5</v>
      </c>
      <c r="C16">
        <v>2.0129000000000001</v>
      </c>
      <c r="D16">
        <f t="shared" si="0"/>
        <v>1.0720999999999998</v>
      </c>
    </row>
    <row r="17" spans="1:4" x14ac:dyDescent="0.2">
      <c r="A17" s="39">
        <v>38838</v>
      </c>
      <c r="B17">
        <v>326.5</v>
      </c>
      <c r="C17">
        <v>1.9604999999999999</v>
      </c>
      <c r="D17">
        <f t="shared" si="0"/>
        <v>1.3045000000000002</v>
      </c>
    </row>
    <row r="18" spans="1:4" x14ac:dyDescent="0.2">
      <c r="A18" s="39">
        <v>38869</v>
      </c>
      <c r="B18">
        <v>318</v>
      </c>
      <c r="C18">
        <v>1.9641999999999999</v>
      </c>
      <c r="D18">
        <f t="shared" si="0"/>
        <v>1.2158000000000002</v>
      </c>
    </row>
    <row r="19" spans="1:4" x14ac:dyDescent="0.2">
      <c r="A19" s="39">
        <v>38899</v>
      </c>
      <c r="B19">
        <v>316.375</v>
      </c>
      <c r="C19">
        <v>1.9679</v>
      </c>
      <c r="D19">
        <f t="shared" si="0"/>
        <v>1.1958499999999999</v>
      </c>
    </row>
    <row r="20" spans="1:4" x14ac:dyDescent="0.2">
      <c r="A20" s="39">
        <v>38930</v>
      </c>
      <c r="B20">
        <v>319.89999999999998</v>
      </c>
      <c r="C20">
        <v>1.9541999999999999</v>
      </c>
      <c r="D20">
        <f t="shared" si="0"/>
        <v>1.2447999999999999</v>
      </c>
    </row>
    <row r="21" spans="1:4" x14ac:dyDescent="0.2">
      <c r="A21" s="39">
        <v>38961</v>
      </c>
      <c r="B21">
        <v>315</v>
      </c>
      <c r="C21">
        <v>1.6846000000000001</v>
      </c>
      <c r="D21">
        <f t="shared" si="0"/>
        <v>1.4653999999999998</v>
      </c>
    </row>
    <row r="22" spans="1:4" x14ac:dyDescent="0.2">
      <c r="A22" s="39">
        <v>38991</v>
      </c>
      <c r="B22">
        <v>305</v>
      </c>
      <c r="C22">
        <v>1.5869</v>
      </c>
      <c r="D22">
        <f t="shared" si="0"/>
        <v>1.4630999999999998</v>
      </c>
    </row>
    <row r="23" spans="1:4" x14ac:dyDescent="0.2">
      <c r="A23" s="39">
        <v>39022</v>
      </c>
      <c r="B23">
        <v>303</v>
      </c>
      <c r="C23">
        <v>1.8132999999999999</v>
      </c>
      <c r="D23">
        <f t="shared" si="0"/>
        <v>1.2166999999999999</v>
      </c>
    </row>
    <row r="24" spans="1:4" x14ac:dyDescent="0.2">
      <c r="A24" s="39">
        <v>39052</v>
      </c>
      <c r="B24">
        <v>306.25</v>
      </c>
      <c r="C24">
        <v>1.5979000000000001</v>
      </c>
      <c r="D24">
        <f t="shared" si="0"/>
        <v>1.4645999999999999</v>
      </c>
    </row>
    <row r="25" spans="1:4" x14ac:dyDescent="0.2">
      <c r="A25" s="39">
        <v>39083</v>
      </c>
      <c r="B25">
        <v>298.5</v>
      </c>
      <c r="C25">
        <v>1.6546000000000001</v>
      </c>
      <c r="D25">
        <f t="shared" si="0"/>
        <v>1.3303999999999998</v>
      </c>
    </row>
    <row r="26" spans="1:4" x14ac:dyDescent="0.2">
      <c r="A26" s="39">
        <v>39114</v>
      </c>
      <c r="B26">
        <v>299.375</v>
      </c>
      <c r="C26">
        <v>1.7804</v>
      </c>
      <c r="D26">
        <f t="shared" si="0"/>
        <v>1.2133499999999999</v>
      </c>
    </row>
    <row r="27" spans="1:4" x14ac:dyDescent="0.2">
      <c r="A27" s="39">
        <v>39142</v>
      </c>
      <c r="B27">
        <v>306.875</v>
      </c>
      <c r="C27">
        <v>1.8794</v>
      </c>
      <c r="D27">
        <f t="shared" si="0"/>
        <v>1.1893500000000001</v>
      </c>
    </row>
    <row r="28" spans="1:4" x14ac:dyDescent="0.2">
      <c r="A28" s="39">
        <v>39173</v>
      </c>
      <c r="B28">
        <v>315.875</v>
      </c>
      <c r="C28">
        <v>1.9135</v>
      </c>
      <c r="D28">
        <f t="shared" si="0"/>
        <v>1.24525</v>
      </c>
    </row>
    <row r="29" spans="1:4" x14ac:dyDescent="0.2">
      <c r="A29" s="39">
        <v>39203</v>
      </c>
      <c r="B29">
        <v>325</v>
      </c>
      <c r="C29">
        <v>1.8827</v>
      </c>
      <c r="D29">
        <f t="shared" si="0"/>
        <v>1.3673</v>
      </c>
    </row>
    <row r="30" spans="1:4" x14ac:dyDescent="0.2">
      <c r="A30" s="39">
        <v>39234</v>
      </c>
      <c r="B30">
        <v>335.625</v>
      </c>
      <c r="C30">
        <v>2.0318999999999998</v>
      </c>
      <c r="D30">
        <f t="shared" si="0"/>
        <v>1.3243500000000004</v>
      </c>
    </row>
    <row r="31" spans="1:4" x14ac:dyDescent="0.2">
      <c r="A31" s="39">
        <v>39264</v>
      </c>
      <c r="B31">
        <v>338.125</v>
      </c>
      <c r="C31">
        <v>2.1</v>
      </c>
      <c r="D31">
        <f t="shared" si="0"/>
        <v>1.28125</v>
      </c>
    </row>
    <row r="32" spans="1:4" x14ac:dyDescent="0.2">
      <c r="A32" s="39">
        <v>39295</v>
      </c>
      <c r="B32">
        <v>340</v>
      </c>
      <c r="C32">
        <v>2.0421999999999998</v>
      </c>
      <c r="D32">
        <f t="shared" si="0"/>
        <v>1.3578000000000001</v>
      </c>
    </row>
    <row r="33" spans="1:4" x14ac:dyDescent="0.2">
      <c r="A33" s="39">
        <v>39326</v>
      </c>
      <c r="B33">
        <v>341.875</v>
      </c>
      <c r="C33">
        <v>2.2378999999999998</v>
      </c>
      <c r="D33">
        <f t="shared" si="0"/>
        <v>1.1808500000000004</v>
      </c>
    </row>
    <row r="34" spans="1:4" x14ac:dyDescent="0.2">
      <c r="A34" s="39">
        <v>39356</v>
      </c>
      <c r="B34">
        <v>345.5</v>
      </c>
      <c r="C34">
        <v>2.5078</v>
      </c>
      <c r="D34">
        <f t="shared" si="0"/>
        <v>0.94720000000000004</v>
      </c>
    </row>
    <row r="35" spans="1:4" x14ac:dyDescent="0.2">
      <c r="A35" s="39">
        <v>39387</v>
      </c>
      <c r="B35">
        <v>370</v>
      </c>
      <c r="C35">
        <v>2.5295999999999998</v>
      </c>
      <c r="D35">
        <f t="shared" si="0"/>
        <v>1.1704000000000003</v>
      </c>
    </row>
    <row r="36" spans="1:4" x14ac:dyDescent="0.2">
      <c r="A36" s="39">
        <v>39417</v>
      </c>
      <c r="B36">
        <v>390.625</v>
      </c>
      <c r="C36">
        <v>2.6444000000000001</v>
      </c>
      <c r="D36">
        <f t="shared" si="0"/>
        <v>1.2618499999999999</v>
      </c>
    </row>
    <row r="37" spans="1:4" x14ac:dyDescent="0.2">
      <c r="A37" s="39">
        <v>39448</v>
      </c>
      <c r="B37">
        <v>411</v>
      </c>
      <c r="C37">
        <v>2.5345</v>
      </c>
      <c r="D37">
        <f t="shared" si="0"/>
        <v>1.5755000000000003</v>
      </c>
    </row>
    <row r="38" spans="1:4" x14ac:dyDescent="0.2">
      <c r="A38" s="39">
        <v>39479</v>
      </c>
      <c r="B38">
        <v>442.5</v>
      </c>
      <c r="C38">
        <v>2.8397000000000001</v>
      </c>
      <c r="D38">
        <f t="shared" si="0"/>
        <v>1.5852999999999997</v>
      </c>
    </row>
    <row r="39" spans="1:4" x14ac:dyDescent="0.2">
      <c r="A39" s="39">
        <v>39508</v>
      </c>
      <c r="B39">
        <v>477.5</v>
      </c>
      <c r="C39">
        <v>3.0491999999999999</v>
      </c>
      <c r="D39">
        <f t="shared" si="0"/>
        <v>1.7258000000000004</v>
      </c>
    </row>
    <row r="40" spans="1:4" x14ac:dyDescent="0.2">
      <c r="A40" s="39">
        <v>39539</v>
      </c>
      <c r="B40">
        <v>495</v>
      </c>
      <c r="C40">
        <v>3.177</v>
      </c>
      <c r="D40">
        <f t="shared" si="0"/>
        <v>1.7730000000000001</v>
      </c>
    </row>
    <row r="41" spans="1:4" x14ac:dyDescent="0.2">
      <c r="A41" s="39">
        <v>39569</v>
      </c>
      <c r="B41">
        <v>528.75</v>
      </c>
      <c r="C41">
        <v>3.6598000000000002</v>
      </c>
      <c r="D41">
        <f t="shared" si="0"/>
        <v>1.6276999999999995</v>
      </c>
    </row>
    <row r="42" spans="1:4" x14ac:dyDescent="0.2">
      <c r="A42" s="39">
        <v>39600</v>
      </c>
      <c r="B42">
        <v>531.25</v>
      </c>
      <c r="C42">
        <v>3.9028999999999998</v>
      </c>
      <c r="D42">
        <f t="shared" si="0"/>
        <v>1.4096000000000002</v>
      </c>
    </row>
    <row r="43" spans="1:4" x14ac:dyDescent="0.2">
      <c r="A43" s="39">
        <v>39630</v>
      </c>
      <c r="B43">
        <v>530</v>
      </c>
      <c r="C43">
        <v>3.4386999999999999</v>
      </c>
      <c r="D43">
        <f t="shared" si="0"/>
        <v>1.8613</v>
      </c>
    </row>
    <row r="44" spans="1:4" x14ac:dyDescent="0.2">
      <c r="A44" s="39">
        <v>39661</v>
      </c>
      <c r="B44">
        <v>518.75</v>
      </c>
      <c r="C44">
        <v>3.1819000000000002</v>
      </c>
      <c r="D44">
        <f t="shared" si="0"/>
        <v>2.0055999999999998</v>
      </c>
    </row>
    <row r="45" spans="1:4" x14ac:dyDescent="0.2">
      <c r="A45" s="39">
        <v>39692</v>
      </c>
      <c r="B45">
        <v>495</v>
      </c>
      <c r="C45">
        <v>2.8635999999999999</v>
      </c>
      <c r="D45">
        <f t="shared" si="0"/>
        <v>2.0864000000000003</v>
      </c>
    </row>
    <row r="46" spans="1:4" x14ac:dyDescent="0.2">
      <c r="A46" s="39">
        <v>39722</v>
      </c>
      <c r="B46">
        <v>447</v>
      </c>
      <c r="C46">
        <v>2.0063</v>
      </c>
      <c r="D46">
        <f t="shared" si="0"/>
        <v>2.4636999999999998</v>
      </c>
    </row>
    <row r="47" spans="1:4" x14ac:dyDescent="0.2">
      <c r="A47" s="39">
        <v>39753</v>
      </c>
      <c r="B47">
        <v>381.25</v>
      </c>
      <c r="C47">
        <v>1.6737</v>
      </c>
      <c r="D47">
        <f t="shared" si="0"/>
        <v>2.1387999999999998</v>
      </c>
    </row>
    <row r="48" spans="1:4" x14ac:dyDescent="0.2">
      <c r="A48" s="39">
        <v>39783</v>
      </c>
      <c r="B48">
        <v>339</v>
      </c>
      <c r="C48">
        <v>1.4056999999999999</v>
      </c>
      <c r="D48">
        <f t="shared" si="0"/>
        <v>1.9843000000000002</v>
      </c>
    </row>
    <row r="49" spans="1:4" x14ac:dyDescent="0.2">
      <c r="A49" s="39">
        <v>39814</v>
      </c>
      <c r="B49">
        <v>333.75</v>
      </c>
      <c r="C49">
        <v>1.4538</v>
      </c>
      <c r="D49">
        <f t="shared" si="0"/>
        <v>1.8836999999999999</v>
      </c>
    </row>
    <row r="50" spans="1:4" x14ac:dyDescent="0.2">
      <c r="A50" s="39">
        <v>39845</v>
      </c>
      <c r="B50">
        <v>332.5</v>
      </c>
      <c r="C50">
        <v>1.2659</v>
      </c>
      <c r="D50">
        <f t="shared" si="0"/>
        <v>2.0590999999999999</v>
      </c>
    </row>
    <row r="51" spans="1:4" x14ac:dyDescent="0.2">
      <c r="A51" s="39">
        <v>39873</v>
      </c>
      <c r="B51">
        <v>306.25</v>
      </c>
      <c r="C51">
        <v>1.3438000000000001</v>
      </c>
      <c r="D51">
        <f t="shared" si="0"/>
        <v>1.7186999999999999</v>
      </c>
    </row>
    <row r="52" spans="1:4" x14ac:dyDescent="0.2">
      <c r="A52" s="39">
        <v>39904</v>
      </c>
      <c r="B52">
        <v>304</v>
      </c>
      <c r="C52">
        <v>1.3147</v>
      </c>
      <c r="D52">
        <f t="shared" si="0"/>
        <v>1.7253000000000001</v>
      </c>
    </row>
    <row r="53" spans="1:4" x14ac:dyDescent="0.2">
      <c r="A53" s="39">
        <v>39934</v>
      </c>
      <c r="B53">
        <v>313.75</v>
      </c>
      <c r="C53">
        <v>1.6418999999999999</v>
      </c>
      <c r="D53">
        <f t="shared" si="0"/>
        <v>1.4956000000000003</v>
      </c>
    </row>
    <row r="54" spans="1:4" x14ac:dyDescent="0.2">
      <c r="A54" s="39">
        <v>39965</v>
      </c>
      <c r="B54">
        <v>321.25</v>
      </c>
      <c r="C54">
        <v>1.718</v>
      </c>
      <c r="D54">
        <f t="shared" si="0"/>
        <v>1.4944999999999999</v>
      </c>
    </row>
    <row r="55" spans="1:4" x14ac:dyDescent="0.2">
      <c r="A55" s="39">
        <v>39995</v>
      </c>
      <c r="B55">
        <v>318</v>
      </c>
      <c r="C55">
        <v>1.7938000000000001</v>
      </c>
      <c r="D55">
        <f t="shared" si="0"/>
        <v>1.3862000000000001</v>
      </c>
    </row>
    <row r="56" spans="1:4" x14ac:dyDescent="0.2">
      <c r="A56" s="39">
        <v>40026</v>
      </c>
      <c r="B56">
        <v>330</v>
      </c>
      <c r="C56">
        <v>1.7791999999999999</v>
      </c>
      <c r="D56">
        <f t="shared" si="0"/>
        <v>1.5207999999999999</v>
      </c>
    </row>
    <row r="57" spans="1:4" x14ac:dyDescent="0.2">
      <c r="A57" s="39">
        <v>40057</v>
      </c>
      <c r="B57">
        <v>329</v>
      </c>
      <c r="C57">
        <v>1.796</v>
      </c>
      <c r="D57">
        <f t="shared" si="0"/>
        <v>1.494</v>
      </c>
    </row>
    <row r="58" spans="1:4" x14ac:dyDescent="0.2">
      <c r="A58" s="39">
        <v>40087</v>
      </c>
      <c r="B58">
        <v>325</v>
      </c>
      <c r="C58">
        <v>1.9811000000000001</v>
      </c>
      <c r="D58">
        <f t="shared" si="0"/>
        <v>1.2688999999999999</v>
      </c>
    </row>
    <row r="59" spans="1:4" x14ac:dyDescent="0.2">
      <c r="A59" s="39">
        <v>40118</v>
      </c>
      <c r="B59">
        <v>335</v>
      </c>
      <c r="C59">
        <v>2.0181</v>
      </c>
      <c r="D59">
        <f t="shared" si="0"/>
        <v>1.3319000000000001</v>
      </c>
    </row>
    <row r="60" spans="1:4" x14ac:dyDescent="0.2">
      <c r="A60" s="39">
        <v>40148</v>
      </c>
      <c r="B60">
        <v>337</v>
      </c>
      <c r="C60">
        <v>2.1187999999999998</v>
      </c>
      <c r="D60">
        <f t="shared" si="0"/>
        <v>1.2512000000000003</v>
      </c>
    </row>
    <row r="61" spans="1:4" x14ac:dyDescent="0.2">
      <c r="A61" s="39">
        <v>40179</v>
      </c>
      <c r="B61">
        <v>355</v>
      </c>
      <c r="C61">
        <v>1.9029</v>
      </c>
      <c r="D61">
        <f t="shared" si="0"/>
        <v>1.6470999999999998</v>
      </c>
    </row>
    <row r="62" spans="1:4" x14ac:dyDescent="0.2">
      <c r="A62" s="39">
        <v>40210</v>
      </c>
      <c r="B62">
        <v>352.5</v>
      </c>
      <c r="C62">
        <v>2.0249000000000001</v>
      </c>
      <c r="D62">
        <f t="shared" si="0"/>
        <v>1.5000999999999998</v>
      </c>
    </row>
    <row r="63" spans="1:4" x14ac:dyDescent="0.2">
      <c r="A63" s="39">
        <v>40238</v>
      </c>
      <c r="B63">
        <v>363</v>
      </c>
      <c r="C63">
        <v>2.1646000000000001</v>
      </c>
      <c r="D63">
        <f t="shared" si="0"/>
        <v>1.4653999999999998</v>
      </c>
    </row>
    <row r="64" spans="1:4" x14ac:dyDescent="0.2">
      <c r="A64" s="39">
        <v>40269</v>
      </c>
      <c r="B64">
        <v>368.09519999999998</v>
      </c>
      <c r="C64">
        <v>2.2885</v>
      </c>
      <c r="D64">
        <f t="shared" si="0"/>
        <v>1.3924519999999996</v>
      </c>
    </row>
    <row r="65" spans="1:4" x14ac:dyDescent="0.2">
      <c r="A65" s="39">
        <v>40299</v>
      </c>
      <c r="B65">
        <v>361.5</v>
      </c>
      <c r="C65">
        <v>1.9802</v>
      </c>
      <c r="D65">
        <f t="shared" si="0"/>
        <v>1.6348000000000003</v>
      </c>
    </row>
    <row r="66" spans="1:4" x14ac:dyDescent="0.2">
      <c r="A66" s="39">
        <v>40330</v>
      </c>
      <c r="B66">
        <v>357.5</v>
      </c>
      <c r="C66">
        <v>1.9817</v>
      </c>
      <c r="D66">
        <f t="shared" si="0"/>
        <v>1.5933000000000002</v>
      </c>
    </row>
    <row r="67" spans="1:4" x14ac:dyDescent="0.2">
      <c r="A67" s="39">
        <v>40360</v>
      </c>
      <c r="B67">
        <v>360.71420000000001</v>
      </c>
      <c r="C67">
        <v>2.0427</v>
      </c>
      <c r="D67">
        <f t="shared" ref="D67:D130" si="1">B67/100-C67</f>
        <v>1.5644420000000001</v>
      </c>
    </row>
    <row r="68" spans="1:4" x14ac:dyDescent="0.2">
      <c r="A68" s="39">
        <v>40391</v>
      </c>
      <c r="B68">
        <v>365</v>
      </c>
      <c r="C68">
        <v>1.9944</v>
      </c>
      <c r="D68">
        <f t="shared" si="1"/>
        <v>1.6556</v>
      </c>
    </row>
    <row r="69" spans="1:4" x14ac:dyDescent="0.2">
      <c r="A69" s="39">
        <v>40422</v>
      </c>
      <c r="B69">
        <v>365.71420000000001</v>
      </c>
      <c r="C69">
        <v>2.2440000000000002</v>
      </c>
      <c r="D69">
        <f t="shared" si="1"/>
        <v>1.4131419999999997</v>
      </c>
    </row>
    <row r="70" spans="1:4" x14ac:dyDescent="0.2">
      <c r="A70" s="39">
        <v>40452</v>
      </c>
      <c r="B70">
        <v>383.33330000000001</v>
      </c>
      <c r="C70">
        <v>2.2201</v>
      </c>
      <c r="D70">
        <f t="shared" si="1"/>
        <v>1.6132330000000001</v>
      </c>
    </row>
    <row r="71" spans="1:4" x14ac:dyDescent="0.2">
      <c r="A71" s="39">
        <v>40483</v>
      </c>
      <c r="B71">
        <v>408.57139999999998</v>
      </c>
      <c r="C71">
        <v>2.3169</v>
      </c>
      <c r="D71">
        <f t="shared" si="1"/>
        <v>1.7688139999999994</v>
      </c>
    </row>
    <row r="72" spans="1:4" x14ac:dyDescent="0.2">
      <c r="A72" s="39">
        <v>40513</v>
      </c>
      <c r="B72">
        <v>421.59089999999998</v>
      </c>
      <c r="C72">
        <v>2.5436999999999999</v>
      </c>
      <c r="D72">
        <f t="shared" si="1"/>
        <v>1.6722090000000001</v>
      </c>
    </row>
    <row r="73" spans="1:4" x14ac:dyDescent="0.2">
      <c r="A73" s="39">
        <v>40544</v>
      </c>
      <c r="B73">
        <v>445.5</v>
      </c>
      <c r="C73">
        <v>2.7467999999999999</v>
      </c>
      <c r="D73">
        <f t="shared" si="1"/>
        <v>1.7082000000000002</v>
      </c>
    </row>
    <row r="74" spans="1:4" x14ac:dyDescent="0.2">
      <c r="A74" s="39">
        <v>40575</v>
      </c>
      <c r="B74">
        <v>453.94729999999998</v>
      </c>
      <c r="C74">
        <v>2.9258000000000002</v>
      </c>
      <c r="D74">
        <f t="shared" si="1"/>
        <v>1.6136729999999999</v>
      </c>
    </row>
    <row r="75" spans="1:4" x14ac:dyDescent="0.2">
      <c r="A75" s="39">
        <v>40603</v>
      </c>
      <c r="B75">
        <v>481.73910000000001</v>
      </c>
      <c r="C75">
        <v>3.0897999999999999</v>
      </c>
      <c r="D75">
        <f t="shared" si="1"/>
        <v>1.7275909999999999</v>
      </c>
    </row>
    <row r="76" spans="1:4" x14ac:dyDescent="0.2">
      <c r="A76" s="39">
        <v>40634</v>
      </c>
      <c r="B76">
        <v>490</v>
      </c>
      <c r="C76">
        <v>3.2557999999999998</v>
      </c>
      <c r="D76">
        <f t="shared" si="1"/>
        <v>1.6442000000000005</v>
      </c>
    </row>
    <row r="77" spans="1:4" x14ac:dyDescent="0.2">
      <c r="A77" s="39">
        <v>40664</v>
      </c>
      <c r="B77">
        <v>498.33330000000001</v>
      </c>
      <c r="C77">
        <v>3.0562999999999998</v>
      </c>
      <c r="D77">
        <f t="shared" si="1"/>
        <v>1.9270330000000002</v>
      </c>
    </row>
    <row r="78" spans="1:4" x14ac:dyDescent="0.2">
      <c r="A78" s="39">
        <v>40695</v>
      </c>
      <c r="B78">
        <v>502.9545</v>
      </c>
      <c r="C78">
        <v>2.9327000000000001</v>
      </c>
      <c r="D78">
        <f t="shared" si="1"/>
        <v>2.0968449999999996</v>
      </c>
    </row>
    <row r="79" spans="1:4" x14ac:dyDescent="0.2">
      <c r="A79" s="39">
        <v>40725</v>
      </c>
      <c r="B79">
        <v>499</v>
      </c>
      <c r="C79">
        <v>3.0962000000000001</v>
      </c>
      <c r="D79">
        <f t="shared" si="1"/>
        <v>1.8938000000000001</v>
      </c>
    </row>
    <row r="80" spans="1:4" x14ac:dyDescent="0.2">
      <c r="A80" s="39">
        <v>40756</v>
      </c>
      <c r="B80">
        <v>493.69560000000001</v>
      </c>
      <c r="C80">
        <v>3.0781999999999998</v>
      </c>
      <c r="D80">
        <f t="shared" si="1"/>
        <v>1.8587560000000005</v>
      </c>
    </row>
    <row r="81" spans="1:4" x14ac:dyDescent="0.2">
      <c r="A81" s="39">
        <v>40787</v>
      </c>
      <c r="B81">
        <v>500.47609999999997</v>
      </c>
      <c r="C81">
        <v>2.7948</v>
      </c>
      <c r="D81">
        <f t="shared" si="1"/>
        <v>2.2099609999999994</v>
      </c>
    </row>
    <row r="82" spans="1:4" x14ac:dyDescent="0.2">
      <c r="A82" s="39">
        <v>40817</v>
      </c>
      <c r="B82">
        <v>491.90469999999999</v>
      </c>
      <c r="C82">
        <v>3.0428999999999999</v>
      </c>
      <c r="D82">
        <f t="shared" si="1"/>
        <v>1.876147</v>
      </c>
    </row>
    <row r="83" spans="1:4" x14ac:dyDescent="0.2">
      <c r="A83" s="39">
        <v>40848</v>
      </c>
      <c r="B83">
        <v>505.5</v>
      </c>
      <c r="C83">
        <v>3.0213999999999999</v>
      </c>
      <c r="D83">
        <f t="shared" si="1"/>
        <v>2.0335999999999999</v>
      </c>
    </row>
    <row r="84" spans="1:4" x14ac:dyDescent="0.2">
      <c r="A84" s="39">
        <v>40878</v>
      </c>
      <c r="B84">
        <v>489.04759999999999</v>
      </c>
      <c r="C84">
        <v>2.9350000000000001</v>
      </c>
      <c r="D84">
        <f t="shared" si="1"/>
        <v>1.9554759999999995</v>
      </c>
    </row>
    <row r="85" spans="1:4" x14ac:dyDescent="0.2">
      <c r="A85" s="39">
        <v>40909</v>
      </c>
      <c r="B85">
        <v>490</v>
      </c>
      <c r="C85">
        <v>3.0628000000000002</v>
      </c>
      <c r="D85">
        <f t="shared" si="1"/>
        <v>1.8372000000000002</v>
      </c>
    </row>
    <row r="86" spans="1:4" x14ac:dyDescent="0.2">
      <c r="A86" s="39">
        <v>40940</v>
      </c>
      <c r="B86">
        <v>493.75</v>
      </c>
      <c r="C86">
        <v>3.1880000000000002</v>
      </c>
      <c r="D86">
        <f t="shared" si="1"/>
        <v>1.7494999999999998</v>
      </c>
    </row>
    <row r="87" spans="1:4" x14ac:dyDescent="0.2">
      <c r="A87" s="39">
        <v>40969</v>
      </c>
      <c r="B87">
        <v>512.40899999999999</v>
      </c>
      <c r="C87">
        <v>3.1684000000000001</v>
      </c>
      <c r="D87">
        <f t="shared" si="1"/>
        <v>1.9556899999999997</v>
      </c>
    </row>
    <row r="88" spans="1:4" x14ac:dyDescent="0.2">
      <c r="A88" s="39">
        <v>41000</v>
      </c>
      <c r="B88">
        <v>511.1</v>
      </c>
      <c r="C88">
        <v>3.1833999999999998</v>
      </c>
      <c r="D88">
        <f t="shared" si="1"/>
        <v>1.9276000000000009</v>
      </c>
    </row>
    <row r="89" spans="1:4" x14ac:dyDescent="0.2">
      <c r="A89" s="39">
        <v>41030</v>
      </c>
      <c r="B89">
        <v>503.40910000000002</v>
      </c>
      <c r="C89">
        <v>2.7061999999999999</v>
      </c>
      <c r="D89">
        <f t="shared" si="1"/>
        <v>2.3278910000000002</v>
      </c>
    </row>
    <row r="90" spans="1:4" x14ac:dyDescent="0.2">
      <c r="A90" s="39">
        <v>41061</v>
      </c>
      <c r="B90">
        <v>479.47620000000001</v>
      </c>
      <c r="C90">
        <v>2.6960000000000002</v>
      </c>
      <c r="D90">
        <f t="shared" si="1"/>
        <v>2.0987620000000002</v>
      </c>
    </row>
    <row r="91" spans="1:4" x14ac:dyDescent="0.2">
      <c r="A91" s="39">
        <v>41091</v>
      </c>
      <c r="B91">
        <v>468.33330000000001</v>
      </c>
      <c r="C91">
        <v>2.8416999999999999</v>
      </c>
      <c r="D91">
        <f t="shared" si="1"/>
        <v>1.8416330000000003</v>
      </c>
    </row>
    <row r="92" spans="1:4" x14ac:dyDescent="0.2">
      <c r="A92" s="39">
        <v>41122</v>
      </c>
      <c r="B92">
        <v>481.02170000000001</v>
      </c>
      <c r="C92">
        <v>3.1696</v>
      </c>
      <c r="D92">
        <f t="shared" si="1"/>
        <v>1.6406169999999998</v>
      </c>
    </row>
    <row r="93" spans="1:4" x14ac:dyDescent="0.2">
      <c r="A93" s="39">
        <v>41153</v>
      </c>
      <c r="B93">
        <v>479.73680000000002</v>
      </c>
      <c r="C93">
        <v>3.1694</v>
      </c>
      <c r="D93">
        <f t="shared" si="1"/>
        <v>1.6279680000000005</v>
      </c>
    </row>
    <row r="94" spans="1:4" x14ac:dyDescent="0.2">
      <c r="A94" s="39">
        <v>41183</v>
      </c>
      <c r="B94">
        <v>458.26089999999999</v>
      </c>
      <c r="C94">
        <v>3.0682</v>
      </c>
      <c r="D94">
        <f t="shared" si="1"/>
        <v>1.5144089999999997</v>
      </c>
    </row>
    <row r="95" spans="1:4" x14ac:dyDescent="0.2">
      <c r="A95" s="39">
        <v>41214</v>
      </c>
      <c r="B95">
        <v>419.25</v>
      </c>
      <c r="C95">
        <v>3.0413000000000001</v>
      </c>
      <c r="D95">
        <f t="shared" si="1"/>
        <v>1.1511999999999998</v>
      </c>
    </row>
    <row r="96" spans="1:4" x14ac:dyDescent="0.2">
      <c r="A96" s="39">
        <v>41244</v>
      </c>
      <c r="B96">
        <v>424.3</v>
      </c>
      <c r="C96">
        <v>3.0451000000000001</v>
      </c>
      <c r="D96">
        <f t="shared" si="1"/>
        <v>1.1979000000000002</v>
      </c>
    </row>
    <row r="97" spans="1:4" x14ac:dyDescent="0.2">
      <c r="A97" s="39">
        <v>41275</v>
      </c>
      <c r="B97">
        <v>444.45240000000001</v>
      </c>
      <c r="C97">
        <v>3.1297999999999999</v>
      </c>
      <c r="D97">
        <f t="shared" si="1"/>
        <v>1.3147240000000004</v>
      </c>
    </row>
    <row r="98" spans="1:4" x14ac:dyDescent="0.2">
      <c r="A98" s="39">
        <v>41306</v>
      </c>
      <c r="B98">
        <v>473.42110000000002</v>
      </c>
      <c r="C98">
        <v>2.9719000000000002</v>
      </c>
      <c r="D98">
        <f t="shared" si="1"/>
        <v>1.762311</v>
      </c>
    </row>
    <row r="99" spans="1:4" x14ac:dyDescent="0.2">
      <c r="A99" s="39">
        <v>41334</v>
      </c>
      <c r="B99">
        <v>490.375</v>
      </c>
      <c r="C99">
        <v>2.9152</v>
      </c>
      <c r="D99">
        <f t="shared" si="1"/>
        <v>1.9885499999999996</v>
      </c>
    </row>
    <row r="100" spans="1:4" x14ac:dyDescent="0.2">
      <c r="A100" s="39">
        <v>41365</v>
      </c>
      <c r="B100">
        <v>504.2045</v>
      </c>
      <c r="C100">
        <v>2.8734000000000002</v>
      </c>
      <c r="D100">
        <f t="shared" si="1"/>
        <v>2.1686449999999997</v>
      </c>
    </row>
    <row r="101" spans="1:4" x14ac:dyDescent="0.2">
      <c r="A101" s="39">
        <v>41395</v>
      </c>
      <c r="B101">
        <v>514.65909999999997</v>
      </c>
      <c r="C101">
        <v>2.7923</v>
      </c>
      <c r="D101">
        <f t="shared" si="1"/>
        <v>2.3542909999999999</v>
      </c>
    </row>
    <row r="102" spans="1:4" x14ac:dyDescent="0.2">
      <c r="A102" s="39">
        <v>41426</v>
      </c>
      <c r="B102">
        <v>525.45000000000005</v>
      </c>
      <c r="C102">
        <v>2.8797999999999999</v>
      </c>
      <c r="D102">
        <f t="shared" si="1"/>
        <v>2.3747000000000003</v>
      </c>
    </row>
    <row r="103" spans="1:4" x14ac:dyDescent="0.2">
      <c r="A103" s="39">
        <v>41456</v>
      </c>
      <c r="B103">
        <v>547.47730000000001</v>
      </c>
      <c r="C103">
        <v>3.0430999999999999</v>
      </c>
      <c r="D103">
        <f t="shared" si="1"/>
        <v>2.431673</v>
      </c>
    </row>
    <row r="104" spans="1:4" x14ac:dyDescent="0.2">
      <c r="A104" s="39">
        <v>41487</v>
      </c>
      <c r="B104">
        <v>550.43179999999995</v>
      </c>
      <c r="C104">
        <v>3.1396000000000002</v>
      </c>
      <c r="D104">
        <f t="shared" si="1"/>
        <v>2.3647179999999994</v>
      </c>
    </row>
    <row r="105" spans="1:4" x14ac:dyDescent="0.2">
      <c r="A105" s="39">
        <v>41518</v>
      </c>
      <c r="B105">
        <v>540.20000000000005</v>
      </c>
      <c r="C105">
        <v>2.9710000000000001</v>
      </c>
      <c r="D105">
        <f t="shared" si="1"/>
        <v>2.431</v>
      </c>
    </row>
    <row r="106" spans="1:4" x14ac:dyDescent="0.2">
      <c r="A106" s="39">
        <v>41548</v>
      </c>
      <c r="B106">
        <v>523.26089999999999</v>
      </c>
      <c r="C106">
        <v>2.9678</v>
      </c>
      <c r="D106">
        <f t="shared" si="1"/>
        <v>2.2648090000000001</v>
      </c>
    </row>
    <row r="107" spans="1:4" x14ac:dyDescent="0.2">
      <c r="A107" s="39">
        <v>41579</v>
      </c>
      <c r="B107">
        <v>479.375</v>
      </c>
      <c r="C107">
        <v>3.0478000000000001</v>
      </c>
      <c r="D107">
        <f t="shared" si="1"/>
        <v>1.7459500000000001</v>
      </c>
    </row>
    <row r="108" spans="1:4" x14ac:dyDescent="0.2">
      <c r="A108" s="39">
        <v>41609</v>
      </c>
      <c r="B108">
        <v>465.25</v>
      </c>
      <c r="C108">
        <v>3.0771999999999999</v>
      </c>
      <c r="D108">
        <f t="shared" si="1"/>
        <v>1.5752999999999999</v>
      </c>
    </row>
    <row r="109" spans="1:4" x14ac:dyDescent="0.2">
      <c r="A109" s="39">
        <v>41640</v>
      </c>
      <c r="B109">
        <v>419.28570000000002</v>
      </c>
      <c r="C109">
        <v>3.2793999999999999</v>
      </c>
      <c r="D109">
        <f t="shared" si="1"/>
        <v>0.91345700000000019</v>
      </c>
    </row>
    <row r="110" spans="1:4" x14ac:dyDescent="0.2">
      <c r="A110" s="39">
        <v>41671</v>
      </c>
      <c r="B110">
        <v>403.8947</v>
      </c>
      <c r="C110">
        <v>3.0893000000000002</v>
      </c>
      <c r="D110">
        <f t="shared" si="1"/>
        <v>0.94964700000000013</v>
      </c>
    </row>
    <row r="111" spans="1:4" x14ac:dyDescent="0.2">
      <c r="A111" s="39">
        <v>41699</v>
      </c>
      <c r="B111">
        <v>396.38099999999997</v>
      </c>
      <c r="C111">
        <v>2.9319999999999999</v>
      </c>
      <c r="D111">
        <f t="shared" si="1"/>
        <v>1.0318099999999997</v>
      </c>
    </row>
    <row r="112" spans="1:4" x14ac:dyDescent="0.2">
      <c r="A112" s="39">
        <v>41730</v>
      </c>
      <c r="B112">
        <v>387.73809999999997</v>
      </c>
      <c r="C112">
        <v>2.9348999999999998</v>
      </c>
      <c r="D112">
        <f t="shared" si="1"/>
        <v>0.9424809999999999</v>
      </c>
    </row>
    <row r="113" spans="1:4" x14ac:dyDescent="0.2">
      <c r="A113" s="39">
        <v>41760</v>
      </c>
      <c r="B113">
        <v>388.04759999999999</v>
      </c>
      <c r="C113">
        <v>2.8845999999999998</v>
      </c>
      <c r="D113">
        <f t="shared" si="1"/>
        <v>0.99587599999999998</v>
      </c>
    </row>
    <row r="114" spans="1:4" x14ac:dyDescent="0.2">
      <c r="A114" s="39">
        <v>41791</v>
      </c>
      <c r="B114">
        <v>385.57139999999998</v>
      </c>
      <c r="C114">
        <v>2.9708000000000001</v>
      </c>
      <c r="D114">
        <f t="shared" si="1"/>
        <v>0.88491399999999976</v>
      </c>
    </row>
    <row r="115" spans="1:4" x14ac:dyDescent="0.2">
      <c r="A115" s="39">
        <v>41821</v>
      </c>
      <c r="B115">
        <v>385.90910000000002</v>
      </c>
      <c r="C115">
        <v>2.8866000000000001</v>
      </c>
      <c r="D115">
        <f t="shared" si="1"/>
        <v>0.97249100000000022</v>
      </c>
    </row>
    <row r="116" spans="1:4" x14ac:dyDescent="0.2">
      <c r="A116" s="39">
        <v>41852</v>
      </c>
      <c r="B116">
        <v>377.71429999999998</v>
      </c>
      <c r="C116">
        <v>2.8569</v>
      </c>
      <c r="D116">
        <f t="shared" si="1"/>
        <v>0.9202429999999997</v>
      </c>
    </row>
    <row r="117" spans="1:4" x14ac:dyDescent="0.2">
      <c r="A117" s="39">
        <v>41883</v>
      </c>
      <c r="B117">
        <v>369.38099999999997</v>
      </c>
      <c r="C117">
        <v>2.6472000000000002</v>
      </c>
      <c r="D117">
        <f t="shared" si="1"/>
        <v>1.0466099999999994</v>
      </c>
    </row>
    <row r="118" spans="1:4" x14ac:dyDescent="0.2">
      <c r="A118" s="39">
        <v>41913</v>
      </c>
      <c r="B118">
        <v>347.9348</v>
      </c>
      <c r="C118">
        <v>2.5145</v>
      </c>
      <c r="D118">
        <f t="shared" si="1"/>
        <v>0.96484799999999993</v>
      </c>
    </row>
    <row r="119" spans="1:4" x14ac:dyDescent="0.2">
      <c r="A119" s="39">
        <v>41944</v>
      </c>
      <c r="B119">
        <v>340.75</v>
      </c>
      <c r="C119">
        <v>2.2307999999999999</v>
      </c>
      <c r="D119">
        <f t="shared" si="1"/>
        <v>1.1767000000000003</v>
      </c>
    </row>
    <row r="120" spans="1:4" x14ac:dyDescent="0.2">
      <c r="A120" s="39">
        <v>41974</v>
      </c>
      <c r="B120">
        <v>330.3571</v>
      </c>
      <c r="C120">
        <v>1.8466</v>
      </c>
      <c r="D120">
        <f t="shared" si="1"/>
        <v>1.4569709999999998</v>
      </c>
    </row>
    <row r="121" spans="1:4" x14ac:dyDescent="0.2">
      <c r="A121" s="39">
        <v>42005</v>
      </c>
      <c r="B121">
        <v>306.25</v>
      </c>
      <c r="C121">
        <v>1.6862999999999999</v>
      </c>
      <c r="D121">
        <f t="shared" si="1"/>
        <v>1.3762000000000001</v>
      </c>
    </row>
    <row r="122" spans="1:4" x14ac:dyDescent="0.2">
      <c r="A122" s="39">
        <v>42036</v>
      </c>
      <c r="B122">
        <v>312.26319999999998</v>
      </c>
      <c r="C122">
        <v>2.2989000000000002</v>
      </c>
      <c r="D122">
        <f t="shared" si="1"/>
        <v>0.82373199999999969</v>
      </c>
    </row>
    <row r="123" spans="1:4" x14ac:dyDescent="0.2">
      <c r="A123" s="39">
        <v>42064</v>
      </c>
      <c r="B123">
        <v>318.59089999999998</v>
      </c>
      <c r="C123">
        <v>1.7179</v>
      </c>
      <c r="D123">
        <f t="shared" si="1"/>
        <v>1.4680089999999997</v>
      </c>
    </row>
    <row r="124" spans="1:4" x14ac:dyDescent="0.2">
      <c r="A124" s="39">
        <v>42095</v>
      </c>
      <c r="B124">
        <v>316.28570000000002</v>
      </c>
      <c r="C124">
        <v>1.9762999999999999</v>
      </c>
      <c r="D124">
        <f t="shared" si="1"/>
        <v>1.1865570000000003</v>
      </c>
    </row>
    <row r="125" spans="1:4" x14ac:dyDescent="0.2">
      <c r="A125" s="39">
        <v>42125</v>
      </c>
      <c r="B125">
        <v>324.25</v>
      </c>
      <c r="C125">
        <v>1.9553</v>
      </c>
      <c r="D125">
        <f t="shared" si="1"/>
        <v>1.2872000000000001</v>
      </c>
    </row>
    <row r="126" spans="1:4" x14ac:dyDescent="0.2">
      <c r="A126" s="39">
        <v>42156</v>
      </c>
      <c r="B126">
        <v>328.13639999999998</v>
      </c>
      <c r="C126">
        <v>1.8866000000000001</v>
      </c>
      <c r="D126">
        <f t="shared" si="1"/>
        <v>1.3947639999999999</v>
      </c>
    </row>
    <row r="127" spans="1:4" x14ac:dyDescent="0.2">
      <c r="A127" s="39">
        <v>42186</v>
      </c>
      <c r="B127">
        <v>322.34089999999998</v>
      </c>
      <c r="C127">
        <v>1.5840000000000001</v>
      </c>
      <c r="D127">
        <f t="shared" si="1"/>
        <v>1.6394089999999997</v>
      </c>
    </row>
    <row r="128" spans="1:4" x14ac:dyDescent="0.2">
      <c r="A128" s="39">
        <v>42217</v>
      </c>
      <c r="B128">
        <v>306.88099999999997</v>
      </c>
      <c r="C128">
        <v>1.6736</v>
      </c>
      <c r="D128">
        <f t="shared" si="1"/>
        <v>1.3952099999999996</v>
      </c>
    </row>
    <row r="129" spans="1:4" x14ac:dyDescent="0.2">
      <c r="A129" s="39">
        <v>42248</v>
      </c>
      <c r="B129">
        <v>290.88099999999997</v>
      </c>
      <c r="C129">
        <v>1.5125999999999999</v>
      </c>
      <c r="D129">
        <f t="shared" si="1"/>
        <v>1.39621</v>
      </c>
    </row>
    <row r="130" spans="1:4" x14ac:dyDescent="0.2">
      <c r="A130" s="39">
        <v>42278</v>
      </c>
      <c r="B130">
        <v>298.15910000000002</v>
      </c>
      <c r="C130">
        <v>1.4994000000000001</v>
      </c>
      <c r="D130">
        <f t="shared" si="1"/>
        <v>1.4821910000000003</v>
      </c>
    </row>
    <row r="131" spans="1:4" x14ac:dyDescent="0.2">
      <c r="A131" s="39">
        <v>42309</v>
      </c>
      <c r="B131">
        <v>283.57889999999998</v>
      </c>
      <c r="C131">
        <v>1.3369</v>
      </c>
      <c r="D131">
        <f t="shared" ref="D131:D178" si="2">B131/100-C131</f>
        <v>1.4988889999999997</v>
      </c>
    </row>
    <row r="132" spans="1:4" x14ac:dyDescent="0.2">
      <c r="A132" s="39">
        <v>42339</v>
      </c>
      <c r="B132">
        <v>281.52269999999999</v>
      </c>
      <c r="C132">
        <v>1.1007</v>
      </c>
      <c r="D132">
        <f t="shared" si="2"/>
        <v>1.7145269999999997</v>
      </c>
    </row>
    <row r="133" spans="1:4" x14ac:dyDescent="0.2">
      <c r="A133" s="39">
        <v>42370</v>
      </c>
      <c r="B133">
        <v>309.42110000000002</v>
      </c>
      <c r="C133">
        <v>1.0550999999999999</v>
      </c>
      <c r="D133">
        <f t="shared" si="2"/>
        <v>2.0391110000000001</v>
      </c>
    </row>
    <row r="134" spans="1:4" x14ac:dyDescent="0.2">
      <c r="A134" s="39">
        <v>42401</v>
      </c>
      <c r="B134">
        <v>335.27499999999998</v>
      </c>
      <c r="C134">
        <v>1.0760000000000001</v>
      </c>
      <c r="D134">
        <f t="shared" si="2"/>
        <v>2.2767499999999998</v>
      </c>
    </row>
    <row r="135" spans="1:4" x14ac:dyDescent="0.2">
      <c r="A135" s="39">
        <v>42430</v>
      </c>
      <c r="B135">
        <v>340.9545</v>
      </c>
      <c r="C135">
        <v>1.1848000000000001</v>
      </c>
      <c r="D135">
        <f t="shared" si="2"/>
        <v>2.224745</v>
      </c>
    </row>
    <row r="136" spans="1:4" x14ac:dyDescent="0.2">
      <c r="A136" s="39">
        <v>42461</v>
      </c>
      <c r="B136">
        <v>348.45240000000001</v>
      </c>
      <c r="C136">
        <v>1.3778999999999999</v>
      </c>
      <c r="D136">
        <f t="shared" si="2"/>
        <v>2.1066240000000001</v>
      </c>
    </row>
    <row r="137" spans="1:4" x14ac:dyDescent="0.2">
      <c r="A137" s="39">
        <v>42491</v>
      </c>
      <c r="B137">
        <v>356.54759999999999</v>
      </c>
      <c r="C137">
        <v>1.4975000000000001</v>
      </c>
      <c r="D137">
        <f t="shared" si="2"/>
        <v>2.0679759999999998</v>
      </c>
    </row>
    <row r="138" spans="1:4" x14ac:dyDescent="0.2">
      <c r="A138" s="39">
        <v>42522</v>
      </c>
      <c r="B138">
        <v>365.22730000000001</v>
      </c>
      <c r="C138">
        <v>1.4846999999999999</v>
      </c>
      <c r="D138">
        <f t="shared" si="2"/>
        <v>2.167573</v>
      </c>
    </row>
    <row r="139" spans="1:4" x14ac:dyDescent="0.2">
      <c r="A139" s="39">
        <v>42552</v>
      </c>
      <c r="B139">
        <v>359.05</v>
      </c>
      <c r="C139">
        <v>1.276</v>
      </c>
      <c r="D139">
        <f t="shared" si="2"/>
        <v>2.3144999999999998</v>
      </c>
    </row>
    <row r="140" spans="1:4" x14ac:dyDescent="0.2">
      <c r="A140" s="39">
        <v>42583</v>
      </c>
      <c r="B140">
        <v>349.52170000000001</v>
      </c>
      <c r="C140">
        <v>1.4101999999999999</v>
      </c>
      <c r="D140">
        <f t="shared" si="2"/>
        <v>2.0850170000000006</v>
      </c>
    </row>
    <row r="141" spans="1:4" x14ac:dyDescent="0.2">
      <c r="A141" s="39">
        <v>42614</v>
      </c>
      <c r="B141">
        <v>358.21429999999998</v>
      </c>
      <c r="C141">
        <v>1.5279</v>
      </c>
      <c r="D141">
        <f t="shared" si="2"/>
        <v>2.0542429999999996</v>
      </c>
    </row>
    <row r="142" spans="1:4" x14ac:dyDescent="0.2">
      <c r="A142" s="39">
        <v>42644</v>
      </c>
      <c r="B142">
        <v>365.19049999999999</v>
      </c>
      <c r="C142">
        <v>1.4955000000000001</v>
      </c>
      <c r="D142">
        <f t="shared" si="2"/>
        <v>2.1564049999999995</v>
      </c>
    </row>
    <row r="143" spans="1:4" x14ac:dyDescent="0.2">
      <c r="A143" s="39">
        <v>42675</v>
      </c>
      <c r="B143">
        <v>365.65</v>
      </c>
      <c r="C143">
        <v>1.5709</v>
      </c>
      <c r="D143">
        <f t="shared" si="2"/>
        <v>2.0855999999999999</v>
      </c>
    </row>
    <row r="144" spans="1:4" x14ac:dyDescent="0.2">
      <c r="A144" s="39">
        <v>42705</v>
      </c>
      <c r="B144">
        <v>375.1429</v>
      </c>
      <c r="C144">
        <v>1.7042999999999999</v>
      </c>
      <c r="D144">
        <f t="shared" si="2"/>
        <v>2.047129</v>
      </c>
    </row>
    <row r="145" spans="1:4" x14ac:dyDescent="0.2">
      <c r="A145" s="39">
        <v>42736</v>
      </c>
      <c r="B145">
        <v>359.125</v>
      </c>
      <c r="C145">
        <v>1.6116999999999999</v>
      </c>
      <c r="D145">
        <f t="shared" si="2"/>
        <v>1.9795500000000001</v>
      </c>
    </row>
    <row r="146" spans="1:4" x14ac:dyDescent="0.2">
      <c r="A146" s="39">
        <v>42767</v>
      </c>
      <c r="B146">
        <v>339.47370000000001</v>
      </c>
      <c r="C146">
        <v>1.6208</v>
      </c>
      <c r="D146">
        <f t="shared" si="2"/>
        <v>1.7739370000000001</v>
      </c>
    </row>
    <row r="147" spans="1:4" x14ac:dyDescent="0.2">
      <c r="A147" s="39">
        <v>42795</v>
      </c>
      <c r="B147">
        <v>336.73910000000001</v>
      </c>
      <c r="C147">
        <v>1.5736000000000001</v>
      </c>
      <c r="D147">
        <f t="shared" si="2"/>
        <v>1.7937909999999999</v>
      </c>
    </row>
    <row r="148" spans="1:4" x14ac:dyDescent="0.2">
      <c r="A148" s="39">
        <v>42826</v>
      </c>
      <c r="B148">
        <v>340.3947</v>
      </c>
      <c r="C148">
        <v>1.504</v>
      </c>
      <c r="D148">
        <f t="shared" si="2"/>
        <v>1.8999470000000001</v>
      </c>
    </row>
    <row r="149" spans="1:4" x14ac:dyDescent="0.2">
      <c r="A149" s="39">
        <v>42856</v>
      </c>
      <c r="B149">
        <v>331.81819999999999</v>
      </c>
      <c r="C149">
        <v>1.5153000000000001</v>
      </c>
      <c r="D149">
        <f t="shared" si="2"/>
        <v>1.8028819999999997</v>
      </c>
    </row>
    <row r="150" spans="1:4" x14ac:dyDescent="0.2">
      <c r="A150" s="39">
        <v>42887</v>
      </c>
      <c r="B150">
        <v>336.15910000000002</v>
      </c>
      <c r="C150">
        <v>1.4755</v>
      </c>
      <c r="D150">
        <f t="shared" si="2"/>
        <v>1.8860910000000002</v>
      </c>
    </row>
    <row r="151" spans="1:4" x14ac:dyDescent="0.2">
      <c r="A151" s="39">
        <v>42917</v>
      </c>
      <c r="B151">
        <v>346.5</v>
      </c>
      <c r="C151">
        <v>1.6518999999999999</v>
      </c>
      <c r="D151">
        <f t="shared" si="2"/>
        <v>1.8130999999999999</v>
      </c>
    </row>
    <row r="152" spans="1:4" x14ac:dyDescent="0.2">
      <c r="A152" s="39">
        <v>42948</v>
      </c>
      <c r="B152">
        <v>362.13040000000001</v>
      </c>
      <c r="C152">
        <v>1.7575000000000001</v>
      </c>
      <c r="D152">
        <f t="shared" si="2"/>
        <v>1.8638040000000002</v>
      </c>
    </row>
    <row r="153" spans="1:4" x14ac:dyDescent="0.2">
      <c r="A153" s="39">
        <v>42979</v>
      </c>
      <c r="B153">
        <v>368.27499999999998</v>
      </c>
      <c r="C153">
        <v>1.8117000000000001</v>
      </c>
      <c r="D153">
        <f t="shared" si="2"/>
        <v>1.8710499999999999</v>
      </c>
    </row>
    <row r="154" spans="1:4" x14ac:dyDescent="0.2">
      <c r="A154" s="39">
        <v>43009</v>
      </c>
      <c r="B154">
        <v>364.88639999999998</v>
      </c>
      <c r="C154">
        <v>1.8845000000000001</v>
      </c>
      <c r="D154">
        <f t="shared" si="2"/>
        <v>1.7643639999999996</v>
      </c>
    </row>
    <row r="155" spans="1:4" x14ac:dyDescent="0.2">
      <c r="A155" s="39">
        <v>43040</v>
      </c>
      <c r="B155">
        <v>373.375</v>
      </c>
      <c r="C155">
        <v>1.8927</v>
      </c>
      <c r="D155">
        <f t="shared" si="2"/>
        <v>1.8410500000000001</v>
      </c>
    </row>
    <row r="156" spans="1:4" x14ac:dyDescent="0.2">
      <c r="A156" s="39">
        <v>43070</v>
      </c>
      <c r="B156">
        <v>363.82499999999999</v>
      </c>
      <c r="C156">
        <v>2.0754999999999999</v>
      </c>
      <c r="D156">
        <f t="shared" si="2"/>
        <v>1.5627499999999999</v>
      </c>
    </row>
    <row r="157" spans="1:4" x14ac:dyDescent="0.2">
      <c r="A157" s="39">
        <v>43101</v>
      </c>
      <c r="B157">
        <v>365.47620000000001</v>
      </c>
      <c r="C157">
        <v>2.0691999999999999</v>
      </c>
      <c r="D157">
        <f t="shared" si="2"/>
        <v>1.5855619999999999</v>
      </c>
    </row>
    <row r="158" spans="1:4" x14ac:dyDescent="0.2">
      <c r="A158" s="39">
        <v>43132</v>
      </c>
      <c r="B158">
        <v>356.57889999999998</v>
      </c>
      <c r="C158">
        <v>1.9136</v>
      </c>
      <c r="D158">
        <f t="shared" si="2"/>
        <v>1.6521889999999997</v>
      </c>
    </row>
    <row r="159" spans="1:4" x14ac:dyDescent="0.2">
      <c r="A159" s="39">
        <v>43160</v>
      </c>
      <c r="B159">
        <v>354.6429</v>
      </c>
      <c r="C159">
        <v>2.0284</v>
      </c>
      <c r="D159">
        <f t="shared" si="2"/>
        <v>1.5180289999999999</v>
      </c>
    </row>
    <row r="160" spans="1:4" x14ac:dyDescent="0.2">
      <c r="A160" s="39">
        <v>43191</v>
      </c>
      <c r="B160">
        <v>346.66669999999999</v>
      </c>
      <c r="C160">
        <v>2.1674000000000002</v>
      </c>
      <c r="D160">
        <f t="shared" si="2"/>
        <v>1.2992669999999995</v>
      </c>
    </row>
    <row r="161" spans="1:6" x14ac:dyDescent="0.2">
      <c r="A161" s="39">
        <v>43221</v>
      </c>
      <c r="B161">
        <v>350.22730000000001</v>
      </c>
      <c r="C161">
        <v>2.1913999999999998</v>
      </c>
      <c r="D161">
        <f t="shared" si="2"/>
        <v>1.3108730000000004</v>
      </c>
    </row>
    <row r="162" spans="1:6" x14ac:dyDescent="0.2">
      <c r="A162" s="39">
        <v>43252</v>
      </c>
      <c r="B162">
        <v>351.19049999999999</v>
      </c>
      <c r="C162">
        <v>2.2092999999999998</v>
      </c>
      <c r="D162">
        <f t="shared" si="2"/>
        <v>1.3026050000000002</v>
      </c>
    </row>
    <row r="163" spans="1:6" x14ac:dyDescent="0.2">
      <c r="A163" s="39">
        <v>43282</v>
      </c>
      <c r="B163">
        <v>348.80950000000001</v>
      </c>
      <c r="C163">
        <v>2.1318999999999999</v>
      </c>
      <c r="D163">
        <f t="shared" si="2"/>
        <v>1.356195</v>
      </c>
    </row>
    <row r="164" spans="1:6" x14ac:dyDescent="0.2">
      <c r="A164" s="39">
        <v>43313</v>
      </c>
      <c r="B164">
        <v>349.36959999999999</v>
      </c>
      <c r="C164">
        <v>2.2412999999999998</v>
      </c>
      <c r="D164">
        <f t="shared" si="2"/>
        <v>1.2523960000000001</v>
      </c>
    </row>
    <row r="165" spans="1:6" x14ac:dyDescent="0.2">
      <c r="A165" s="39">
        <v>43344</v>
      </c>
      <c r="B165">
        <v>355.65789999999998</v>
      </c>
      <c r="C165">
        <v>2.3517999999999999</v>
      </c>
      <c r="D165">
        <f t="shared" si="2"/>
        <v>1.2047789999999998</v>
      </c>
    </row>
    <row r="166" spans="1:6" x14ac:dyDescent="0.2">
      <c r="A166" s="39">
        <v>43374</v>
      </c>
      <c r="B166">
        <v>358.36959999999999</v>
      </c>
      <c r="C166">
        <v>2.2618</v>
      </c>
      <c r="D166">
        <f t="shared" si="2"/>
        <v>1.3218959999999997</v>
      </c>
    </row>
    <row r="167" spans="1:6" x14ac:dyDescent="0.2">
      <c r="A167" s="39">
        <v>43405</v>
      </c>
      <c r="B167">
        <v>355.25</v>
      </c>
      <c r="C167">
        <v>1.8454999999999999</v>
      </c>
      <c r="D167">
        <f t="shared" si="2"/>
        <v>1.7070000000000003</v>
      </c>
    </row>
    <row r="168" spans="1:6" x14ac:dyDescent="0.2">
      <c r="A168" s="39">
        <v>43435</v>
      </c>
      <c r="B168">
        <v>337</v>
      </c>
      <c r="C168">
        <v>1.6808000000000001</v>
      </c>
      <c r="D168">
        <f t="shared" si="2"/>
        <v>1.6892</v>
      </c>
    </row>
    <row r="169" spans="1:6" x14ac:dyDescent="0.2">
      <c r="A169" s="39">
        <v>43466</v>
      </c>
      <c r="B169">
        <v>322.5</v>
      </c>
      <c r="C169">
        <v>1.8788</v>
      </c>
      <c r="D169">
        <f t="shared" si="2"/>
        <v>1.3462000000000001</v>
      </c>
    </row>
    <row r="170" spans="1:6" x14ac:dyDescent="0.2">
      <c r="A170" s="39">
        <v>43497</v>
      </c>
      <c r="B170">
        <v>326.23680000000002</v>
      </c>
      <c r="C170">
        <v>2.0234999999999999</v>
      </c>
      <c r="D170">
        <f t="shared" si="2"/>
        <v>1.2388680000000005</v>
      </c>
    </row>
    <row r="171" spans="1:6" x14ac:dyDescent="0.2">
      <c r="A171" s="39">
        <v>43525</v>
      </c>
      <c r="B171">
        <v>328</v>
      </c>
      <c r="C171">
        <v>1.9734</v>
      </c>
      <c r="D171">
        <f t="shared" si="2"/>
        <v>1.3065999999999998</v>
      </c>
    </row>
    <row r="172" spans="1:6" x14ac:dyDescent="0.2">
      <c r="A172" s="39">
        <v>43556</v>
      </c>
      <c r="B172">
        <v>324.3571</v>
      </c>
      <c r="C172">
        <v>2.0811999999999999</v>
      </c>
      <c r="D172">
        <f t="shared" si="2"/>
        <v>1.1623710000000003</v>
      </c>
    </row>
    <row r="173" spans="1:6" x14ac:dyDescent="0.2">
      <c r="A173" s="39">
        <v>43586</v>
      </c>
      <c r="B173">
        <v>327.5</v>
      </c>
      <c r="C173">
        <v>1.8418000000000001</v>
      </c>
      <c r="D173">
        <f t="shared" si="2"/>
        <v>1.4331999999999998</v>
      </c>
    </row>
    <row r="174" spans="1:6" x14ac:dyDescent="0.2">
      <c r="A174" s="39">
        <v>43617</v>
      </c>
      <c r="B174">
        <v>327.2</v>
      </c>
      <c r="C174">
        <v>1.9446000000000001</v>
      </c>
      <c r="D174">
        <f t="shared" si="2"/>
        <v>1.3273999999999997</v>
      </c>
      <c r="E174">
        <v>1.9387000000000001</v>
      </c>
      <c r="F174">
        <f>C174-E174</f>
        <v>5.9000000000000163E-3</v>
      </c>
    </row>
    <row r="175" spans="1:6" x14ac:dyDescent="0.2">
      <c r="A175" s="39">
        <v>43647</v>
      </c>
      <c r="B175">
        <v>332.86360000000002</v>
      </c>
      <c r="C175">
        <v>1.9550000000000001</v>
      </c>
      <c r="D175">
        <f t="shared" si="2"/>
        <v>1.3736360000000003</v>
      </c>
      <c r="E175">
        <v>1.9293</v>
      </c>
      <c r="F175">
        <f>C175-E175</f>
        <v>2.5700000000000056E-2</v>
      </c>
    </row>
    <row r="176" spans="1:6" x14ac:dyDescent="0.2">
      <c r="A176" s="39">
        <v>43678</v>
      </c>
      <c r="B176">
        <v>338.5</v>
      </c>
      <c r="C176">
        <v>1.8282</v>
      </c>
      <c r="D176">
        <f t="shared" si="2"/>
        <v>1.5567999999999997</v>
      </c>
      <c r="E176">
        <v>1.8425</v>
      </c>
      <c r="F176">
        <f>C176-E176</f>
        <v>-1.4299999999999979E-2</v>
      </c>
    </row>
    <row r="177" spans="1:6" x14ac:dyDescent="0.2">
      <c r="A177" s="39">
        <v>43709</v>
      </c>
      <c r="B177">
        <v>343.97500000000002</v>
      </c>
      <c r="C177">
        <v>1.9056</v>
      </c>
      <c r="D177">
        <f t="shared" si="2"/>
        <v>1.5341500000000001</v>
      </c>
      <c r="E177">
        <v>1.9444999999999999</v>
      </c>
      <c r="F177">
        <f>C177-E177</f>
        <v>-3.8899999999999935E-2</v>
      </c>
    </row>
    <row r="178" spans="1:6" x14ac:dyDescent="0.2">
      <c r="A178" s="39">
        <v>43739</v>
      </c>
      <c r="B178">
        <v>338.3261</v>
      </c>
      <c r="C178">
        <v>1.8779999999999999</v>
      </c>
      <c r="D178">
        <f t="shared" si="2"/>
        <v>1.5052610000000002</v>
      </c>
      <c r="E178">
        <v>1.9380999999999999</v>
      </c>
      <c r="F178">
        <f>C178-E178</f>
        <v>-6.0100000000000042E-2</v>
      </c>
    </row>
    <row r="179" spans="1:6" x14ac:dyDescent="0.2">
      <c r="A179" s="39">
        <v>43770</v>
      </c>
    </row>
    <row r="180" spans="1:6" x14ac:dyDescent="0.2">
      <c r="A180" s="39">
        <v>43800</v>
      </c>
    </row>
    <row r="181" spans="1:6" x14ac:dyDescent="0.2">
      <c r="A181" s="39">
        <v>43831</v>
      </c>
    </row>
    <row r="182" spans="1:6" x14ac:dyDescent="0.2">
      <c r="A182" s="39">
        <v>43862</v>
      </c>
    </row>
    <row r="183" spans="1:6" x14ac:dyDescent="0.2">
      <c r="A183" s="39">
        <v>43891</v>
      </c>
    </row>
    <row r="184" spans="1:6" x14ac:dyDescent="0.2">
      <c r="A184" s="39">
        <v>43922</v>
      </c>
    </row>
    <row r="185" spans="1:6" x14ac:dyDescent="0.2">
      <c r="A185" s="39">
        <v>43952</v>
      </c>
    </row>
    <row r="186" spans="1:6" x14ac:dyDescent="0.2">
      <c r="A186" s="39">
        <v>43983</v>
      </c>
    </row>
    <row r="187" spans="1:6" x14ac:dyDescent="0.2">
      <c r="A187" s="39">
        <v>44013</v>
      </c>
    </row>
    <row r="188" spans="1:6" x14ac:dyDescent="0.2">
      <c r="A188" s="39">
        <v>44044</v>
      </c>
    </row>
    <row r="189" spans="1:6" x14ac:dyDescent="0.2">
      <c r="A189" s="39">
        <v>44075</v>
      </c>
    </row>
    <row r="190" spans="1:6" x14ac:dyDescent="0.2">
      <c r="A190" s="39">
        <v>44105</v>
      </c>
    </row>
    <row r="191" spans="1:6" x14ac:dyDescent="0.2">
      <c r="A191" s="39">
        <v>44136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2</vt:i4>
      </vt:variant>
    </vt:vector>
  </HeadingPairs>
  <TitlesOfParts>
    <vt:vector size="7" baseType="lpstr">
      <vt:lpstr>Dashboard</vt:lpstr>
      <vt:lpstr>Forecasts</vt:lpstr>
      <vt:lpstr>AnnualForecast</vt:lpstr>
      <vt:lpstr>Sheet2</vt:lpstr>
      <vt:lpstr>Historical Comp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2025-07-09T11:08:22Z</dcterms:created>
  <dcterms:modified xsi:type="dcterms:W3CDTF">2025-07-09T11:08:56Z</dcterms:modified>
</cp:coreProperties>
</file>