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.xml" ContentType="application/vnd.openxmlformats-officedocument.spreadsheetml.worksheet+xml"/>
  <Override PartName="/xl/chartsheets/sheet8.xml" ContentType="application/vnd.openxmlformats-officedocument.spreadsheetml.chartsheet+xml"/>
  <Override PartName="/xl/worksheets/sheet3.xml" ContentType="application/vnd.openxmlformats-officedocument.spreadsheetml.worksheet+xml"/>
  <Override PartName="/xl/chartsheets/sheet9.xml" ContentType="application/vnd.openxmlformats-officedocument.spreadsheetml.chartsheet+xml"/>
  <Override PartName="/xl/worksheets/sheet4.xml" ContentType="application/vnd.openxmlformats-officedocument.spreadsheetml.work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1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CBE1AEFC-CB4A-43AC-9C34-6715A52C744A}" xr6:coauthVersionLast="47" xr6:coauthVersionMax="47" xr10:uidLastSave="{00000000-0000-0000-0000-000000000000}"/>
  <bookViews>
    <workbookView minimized="1" xWindow="-435" yWindow="225" windowWidth="28905" windowHeight="15555" activeTab="3" xr2:uid="{D8110EEC-FAFD-49F6-B8A2-02A55C521F74}"/>
  </bookViews>
  <sheets>
    <sheet name="Conditions and Yield Chart" sheetId="1" r:id="rId1"/>
    <sheet name="Conditions Chart Data" sheetId="2" r:id="rId2"/>
    <sheet name="Good and Excellent Chart" sheetId="3" r:id="rId3"/>
    <sheet name="Jul - Aug Yield Change" sheetId="4" r:id="rId4"/>
    <sheet name="Aug - Sep Yield Change" sheetId="5" r:id="rId5"/>
    <sheet name="Sep - Oct Yield Change" sheetId="6" r:id="rId6"/>
    <sheet name="Oct - Nov Yield Change" sheetId="7" r:id="rId7"/>
    <sheet name="Nov - Final Yield Change" sheetId="8" r:id="rId8"/>
    <sheet name="Planting Chart Data" sheetId="9" r:id="rId9"/>
    <sheet name="Planting Progress Chart" sheetId="10" r:id="rId10"/>
    <sheet name="Pod Setting Data" sheetId="11" r:id="rId11"/>
    <sheet name="Pod Setting Chart" sheetId="12" r:id="rId12"/>
    <sheet name="Harvest Chart Data" sheetId="13" r:id="rId13"/>
    <sheet name="Harvest Progress Chart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2" l="1"/>
  <c r="L48" i="2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K34" i="2"/>
  <c r="L34" i="2"/>
  <c r="M34" i="2"/>
  <c r="N34" i="2"/>
  <c r="O34" i="2"/>
  <c r="P34" i="2"/>
  <c r="Q34" i="2"/>
  <c r="R34" i="2"/>
  <c r="S34" i="2"/>
  <c r="T34" i="2"/>
  <c r="U34" i="2"/>
  <c r="G36" i="2"/>
  <c r="H36" i="2" s="1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F36" i="2"/>
  <c r="E36" i="2"/>
  <c r="F35" i="2" a="1"/>
  <c r="F35" i="2" s="1"/>
  <c r="H34" i="2"/>
  <c r="I34" i="2"/>
  <c r="J34" i="2"/>
  <c r="G34" i="2"/>
  <c r="E34" i="2"/>
  <c r="F34" i="2"/>
  <c r="G35" i="2" a="1"/>
  <c r="G35" i="2" s="1"/>
  <c r="H35" i="2" a="1"/>
  <c r="H35" i="2" s="1"/>
  <c r="I35" i="2" a="1"/>
  <c r="I35" i="2" s="1"/>
  <c r="J35" i="2" a="1"/>
  <c r="J35" i="2" s="1"/>
  <c r="E35" i="2" a="1"/>
  <c r="E35" i="2" s="1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S36" i="2" l="1"/>
  <c r="T36" i="2" s="1"/>
  <c r="U36" i="2" s="1"/>
  <c r="AL27" i="2"/>
  <c r="AE27" i="2" s="1"/>
  <c r="AL29" i="2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C98" i="11"/>
  <c r="D98" i="11"/>
  <c r="E98" i="11"/>
  <c r="A97" i="11"/>
  <c r="A9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B51" i="11"/>
  <c r="B50" i="11"/>
  <c r="B49" i="11"/>
  <c r="C101" i="9"/>
  <c r="D101" i="9"/>
  <c r="E101" i="9"/>
  <c r="F101" i="9"/>
  <c r="G101" i="9"/>
  <c r="H101" i="9"/>
  <c r="I101" i="9"/>
  <c r="J101" i="9"/>
  <c r="K101" i="9"/>
  <c r="L101" i="9"/>
  <c r="M101" i="9"/>
  <c r="C102" i="9"/>
  <c r="D102" i="9"/>
  <c r="E102" i="9"/>
  <c r="F102" i="9"/>
  <c r="G102" i="9"/>
  <c r="H102" i="9"/>
  <c r="I102" i="9"/>
  <c r="J102" i="9"/>
  <c r="K102" i="9"/>
  <c r="L102" i="9"/>
  <c r="M102" i="9"/>
  <c r="C103" i="9"/>
  <c r="D103" i="9"/>
  <c r="E103" i="9"/>
  <c r="F103" i="9"/>
  <c r="G103" i="9"/>
  <c r="H103" i="9"/>
  <c r="I103" i="9"/>
  <c r="J103" i="9"/>
  <c r="K103" i="9"/>
  <c r="L103" i="9"/>
  <c r="M103" i="9"/>
  <c r="B103" i="9"/>
  <c r="B102" i="9"/>
  <c r="B101" i="9"/>
  <c r="M99" i="9"/>
  <c r="M98" i="9"/>
  <c r="B99" i="9"/>
  <c r="C99" i="9"/>
  <c r="D99" i="9"/>
  <c r="E99" i="9"/>
  <c r="F99" i="9"/>
  <c r="G99" i="9"/>
  <c r="H99" i="9"/>
  <c r="I99" i="9"/>
  <c r="J99" i="9"/>
  <c r="K99" i="9"/>
  <c r="L99" i="9"/>
  <c r="A99" i="9"/>
  <c r="C49" i="9"/>
  <c r="D49" i="9"/>
  <c r="E49" i="9"/>
  <c r="F49" i="9"/>
  <c r="G49" i="9"/>
  <c r="H49" i="9"/>
  <c r="I49" i="9"/>
  <c r="J49" i="9"/>
  <c r="K49" i="9"/>
  <c r="L49" i="9"/>
  <c r="M49" i="9"/>
  <c r="N49" i="9"/>
  <c r="C50" i="9"/>
  <c r="D50" i="9"/>
  <c r="E50" i="9"/>
  <c r="F50" i="9"/>
  <c r="G50" i="9"/>
  <c r="H50" i="9"/>
  <c r="I50" i="9"/>
  <c r="J50" i="9"/>
  <c r="K50" i="9"/>
  <c r="L50" i="9"/>
  <c r="M50" i="9"/>
  <c r="N50" i="9"/>
  <c r="C51" i="9"/>
  <c r="D51" i="9"/>
  <c r="E51" i="9"/>
  <c r="F51" i="9"/>
  <c r="G51" i="9"/>
  <c r="H51" i="9"/>
  <c r="I51" i="9"/>
  <c r="J51" i="9"/>
  <c r="K51" i="9"/>
  <c r="L51" i="9"/>
  <c r="M51" i="9"/>
  <c r="N51" i="9"/>
  <c r="B51" i="9"/>
  <c r="B50" i="9"/>
  <c r="B49" i="9"/>
  <c r="K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D31" i="2"/>
  <c r="D30" i="2"/>
  <c r="D29" i="2"/>
  <c r="A48" i="2"/>
  <c r="AT36" i="2"/>
  <c r="AS36" i="2"/>
  <c r="AR36" i="2"/>
  <c r="AQ36" i="2"/>
  <c r="AP36" i="2"/>
  <c r="AO36" i="2"/>
  <c r="AN36" i="2"/>
  <c r="AM36" i="2"/>
  <c r="AT35" i="2"/>
  <c r="AS35" i="2"/>
  <c r="AR35" i="2"/>
  <c r="AQ35" i="2"/>
  <c r="AP35" i="2"/>
  <c r="AO35" i="2"/>
  <c r="AN35" i="2"/>
  <c r="AM35" i="2"/>
  <c r="AT34" i="2"/>
  <c r="AS34" i="2"/>
  <c r="AR34" i="2"/>
  <c r="AQ34" i="2"/>
  <c r="AP34" i="2"/>
  <c r="AO34" i="2"/>
  <c r="AN34" i="2"/>
  <c r="AM34" i="2"/>
  <c r="AT33" i="2"/>
  <c r="AS33" i="2"/>
  <c r="AR33" i="2"/>
  <c r="AQ33" i="2"/>
  <c r="AP33" i="2"/>
  <c r="AO33" i="2"/>
  <c r="AN33" i="2"/>
  <c r="AM33" i="2"/>
  <c r="AT32" i="2"/>
  <c r="AS32" i="2"/>
  <c r="AR32" i="2"/>
  <c r="AQ32" i="2"/>
  <c r="AP32" i="2"/>
  <c r="AO32" i="2"/>
  <c r="AN32" i="2"/>
  <c r="AM32" i="2"/>
  <c r="AT31" i="2"/>
  <c r="AS31" i="2"/>
  <c r="AR31" i="2"/>
  <c r="AQ31" i="2"/>
  <c r="AP31" i="2"/>
  <c r="AO31" i="2"/>
  <c r="AN31" i="2"/>
  <c r="AM31" i="2"/>
  <c r="AT30" i="2"/>
  <c r="AS30" i="2"/>
  <c r="AR30" i="2"/>
  <c r="AQ30" i="2"/>
  <c r="AP30" i="2"/>
  <c r="AO30" i="2"/>
  <c r="AN30" i="2"/>
  <c r="AM30" i="2"/>
  <c r="AT29" i="2"/>
  <c r="AS29" i="2"/>
  <c r="AR29" i="2"/>
  <c r="AQ29" i="2"/>
  <c r="AP29" i="2"/>
  <c r="AO29" i="2"/>
  <c r="AN29" i="2"/>
  <c r="AM29" i="2"/>
  <c r="AL36" i="2"/>
  <c r="AL35" i="2"/>
  <c r="AL34" i="2"/>
  <c r="AL33" i="2"/>
  <c r="AL32" i="2"/>
  <c r="AL31" i="2"/>
  <c r="AL30" i="2"/>
  <c r="AE29" i="2"/>
  <c r="AF29" i="2"/>
  <c r="AG29" i="2"/>
  <c r="AH29" i="2"/>
  <c r="AI29" i="2"/>
  <c r="AE30" i="2"/>
  <c r="AF30" i="2"/>
  <c r="AG30" i="2"/>
  <c r="AH30" i="2"/>
  <c r="AI30" i="2"/>
  <c r="AE31" i="2"/>
  <c r="AF31" i="2"/>
  <c r="AG31" i="2"/>
  <c r="AH31" i="2"/>
  <c r="AI31" i="2"/>
  <c r="AD31" i="2"/>
  <c r="AD30" i="2"/>
  <c r="AD29" i="2"/>
  <c r="AL26" i="2"/>
  <c r="AN26" i="2"/>
  <c r="AO26" i="2"/>
  <c r="AP26" i="2"/>
  <c r="AQ26" i="2"/>
  <c r="AR26" i="2"/>
  <c r="AS26" i="2"/>
  <c r="AT26" i="2"/>
  <c r="AL25" i="2"/>
  <c r="AN25" i="2"/>
  <c r="AO25" i="2"/>
  <c r="AP25" i="2"/>
  <c r="AQ25" i="2"/>
  <c r="AR25" i="2"/>
  <c r="AS25" i="2"/>
  <c r="AT25" i="2"/>
  <c r="H58" i="13"/>
  <c r="G58" i="13"/>
  <c r="F58" i="13"/>
  <c r="E58" i="13"/>
  <c r="D58" i="13"/>
  <c r="C58" i="13"/>
  <c r="B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O48" i="13"/>
  <c r="N48" i="13"/>
  <c r="M48" i="13"/>
  <c r="L48" i="13"/>
  <c r="K48" i="13"/>
  <c r="J48" i="13"/>
  <c r="I48" i="13"/>
  <c r="F48" i="13"/>
  <c r="E48" i="13"/>
  <c r="D48" i="13"/>
  <c r="C48" i="13"/>
  <c r="B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O30" i="13"/>
  <c r="N30" i="13"/>
  <c r="M30" i="13"/>
  <c r="L30" i="13"/>
  <c r="K30" i="13"/>
  <c r="J30" i="13"/>
  <c r="I30" i="13"/>
  <c r="H30" i="13"/>
  <c r="G30" i="13"/>
  <c r="F30" i="13"/>
  <c r="F28" i="13" s="1"/>
  <c r="G28" i="13" s="1"/>
  <c r="H28" i="13" s="1"/>
  <c r="E30" i="13"/>
  <c r="D30" i="13"/>
  <c r="C30" i="13"/>
  <c r="B30" i="13"/>
  <c r="I28" i="13"/>
  <c r="J28" i="13" s="1"/>
  <c r="F15" i="13"/>
  <c r="G15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N96" i="11"/>
  <c r="M96" i="11"/>
  <c r="L96" i="11"/>
  <c r="K96" i="11"/>
  <c r="J96" i="11"/>
  <c r="I96" i="11"/>
  <c r="H96" i="11"/>
  <c r="G96" i="11"/>
  <c r="F96" i="11"/>
  <c r="E96" i="11"/>
  <c r="D96" i="11"/>
  <c r="C96" i="11"/>
  <c r="A96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A95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A94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A93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A92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A91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A90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A89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A88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A87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86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A85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A84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A83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A82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A81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A80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A79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A78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77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A76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A75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A74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A73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A72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A71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A70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A69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A68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A67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66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A65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A64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A63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62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A61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A60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A59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A58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A57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A56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A55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A54" i="11"/>
  <c r="B53" i="11"/>
  <c r="C1" i="11"/>
  <c r="D1" i="11" s="1"/>
  <c r="L98" i="9"/>
  <c r="K98" i="9"/>
  <c r="J98" i="9"/>
  <c r="I98" i="9"/>
  <c r="H98" i="9"/>
  <c r="G98" i="9"/>
  <c r="F98" i="9"/>
  <c r="E98" i="9"/>
  <c r="D98" i="9"/>
  <c r="C98" i="9"/>
  <c r="B98" i="9"/>
  <c r="A98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BB47" i="2"/>
  <c r="AY47" i="2"/>
  <c r="AX47" i="2"/>
  <c r="AV47" i="2"/>
  <c r="AU47" i="2"/>
  <c r="AR47" i="2"/>
  <c r="U47" i="2"/>
  <c r="A47" i="2"/>
  <c r="V46" i="2"/>
  <c r="A46" i="2"/>
  <c r="AX45" i="2"/>
  <c r="V45" i="2"/>
  <c r="A45" i="2"/>
  <c r="BG44" i="2"/>
  <c r="BD44" i="2"/>
  <c r="BA44" i="2"/>
  <c r="AY44" i="2"/>
  <c r="AM44" i="2"/>
  <c r="U44" i="2"/>
  <c r="A44" i="2"/>
  <c r="V43" i="2"/>
  <c r="A43" i="2"/>
  <c r="W42" i="2"/>
  <c r="A42" i="2"/>
  <c r="W41" i="2"/>
  <c r="A41" i="2"/>
  <c r="V40" i="2"/>
  <c r="A40" i="2"/>
  <c r="V39" i="2"/>
  <c r="A39" i="2"/>
  <c r="AU38" i="2"/>
  <c r="V38" i="2"/>
  <c r="A38" i="2"/>
  <c r="AU37" i="2"/>
  <c r="W37" i="2"/>
  <c r="A37" i="2"/>
  <c r="X36" i="2"/>
  <c r="A36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F28" i="2" s="1"/>
  <c r="E33" i="2"/>
  <c r="E28" i="2" s="1"/>
  <c r="X28" i="2" s="1"/>
  <c r="AX26" i="2"/>
  <c r="AW26" i="2"/>
  <c r="AV26" i="2"/>
  <c r="AU26" i="2"/>
  <c r="AK26" i="2"/>
  <c r="AA26" i="2"/>
  <c r="AX25" i="2"/>
  <c r="AW25" i="2"/>
  <c r="AV25" i="2"/>
  <c r="AK25" i="2"/>
  <c r="AA25" i="2"/>
  <c r="AX24" i="2"/>
  <c r="AW24" i="2"/>
  <c r="AV24" i="2"/>
  <c r="AT24" i="2"/>
  <c r="BH47" i="2" s="1"/>
  <c r="AS24" i="2"/>
  <c r="AR24" i="2"/>
  <c r="BH46" i="2" s="1"/>
  <c r="AQ24" i="2"/>
  <c r="AP24" i="2"/>
  <c r="BH45" i="2" s="1"/>
  <c r="AO24" i="2"/>
  <c r="AN24" i="2"/>
  <c r="BH44" i="2" s="1"/>
  <c r="AL24" i="2"/>
  <c r="BH43" i="2" s="1"/>
  <c r="AK24" i="2"/>
  <c r="AA24" i="2"/>
  <c r="AX23" i="2"/>
  <c r="AW23" i="2"/>
  <c r="AV23" i="2"/>
  <c r="AT23" i="2"/>
  <c r="BG47" i="2" s="1"/>
  <c r="AS23" i="2"/>
  <c r="AR23" i="2"/>
  <c r="BG46" i="2" s="1"/>
  <c r="AQ23" i="2"/>
  <c r="AP23" i="2"/>
  <c r="BG45" i="2" s="1"/>
  <c r="AO23" i="2"/>
  <c r="AN23" i="2"/>
  <c r="AL23" i="2"/>
  <c r="BG43" i="2" s="1"/>
  <c r="AK23" i="2"/>
  <c r="AA23" i="2"/>
  <c r="AX22" i="2"/>
  <c r="AW22" i="2"/>
  <c r="AV22" i="2"/>
  <c r="AT22" i="2"/>
  <c r="BF47" i="2" s="1"/>
  <c r="AS22" i="2"/>
  <c r="AR22" i="2"/>
  <c r="BF46" i="2" s="1"/>
  <c r="AQ22" i="2"/>
  <c r="AP22" i="2"/>
  <c r="BF45" i="2" s="1"/>
  <c r="AO22" i="2"/>
  <c r="AN22" i="2"/>
  <c r="BF44" i="2" s="1"/>
  <c r="AL22" i="2"/>
  <c r="BF43" i="2" s="1"/>
  <c r="AK22" i="2"/>
  <c r="AA22" i="2"/>
  <c r="AX21" i="2"/>
  <c r="AW21" i="2"/>
  <c r="AV21" i="2"/>
  <c r="AT21" i="2"/>
  <c r="AS21" i="2"/>
  <c r="AR21" i="2"/>
  <c r="AU21" i="2" s="1"/>
  <c r="AQ21" i="2"/>
  <c r="AP21" i="2"/>
  <c r="BE45" i="2" s="1"/>
  <c r="AO21" i="2"/>
  <c r="AN21" i="2"/>
  <c r="AL21" i="2"/>
  <c r="BE43" i="2" s="1"/>
  <c r="AK21" i="2"/>
  <c r="AA21" i="2"/>
  <c r="AX20" i="2"/>
  <c r="AW20" i="2"/>
  <c r="AV20" i="2"/>
  <c r="AT20" i="2"/>
  <c r="BD47" i="2" s="1"/>
  <c r="AS20" i="2"/>
  <c r="AR20" i="2"/>
  <c r="AU20" i="2" s="1"/>
  <c r="AQ20" i="2"/>
  <c r="AP20" i="2"/>
  <c r="BD45" i="2" s="1"/>
  <c r="AO20" i="2"/>
  <c r="AN20" i="2"/>
  <c r="AL20" i="2"/>
  <c r="BD43" i="2" s="1"/>
  <c r="AK20" i="2"/>
  <c r="AA20" i="2"/>
  <c r="AX19" i="2"/>
  <c r="AW19" i="2"/>
  <c r="AV19" i="2"/>
  <c r="AT19" i="2"/>
  <c r="BC47" i="2" s="1"/>
  <c r="AS19" i="2"/>
  <c r="AR19" i="2"/>
  <c r="AU19" i="2" s="1"/>
  <c r="AQ19" i="2"/>
  <c r="AP19" i="2"/>
  <c r="BC45" i="2" s="1"/>
  <c r="AO19" i="2"/>
  <c r="AN19" i="2"/>
  <c r="BC44" i="2" s="1"/>
  <c r="AL19" i="2"/>
  <c r="BC43" i="2" s="1"/>
  <c r="AK19" i="2"/>
  <c r="AA19" i="2"/>
  <c r="AX18" i="2"/>
  <c r="AW18" i="2"/>
  <c r="AV18" i="2"/>
  <c r="AT18" i="2"/>
  <c r="AS18" i="2"/>
  <c r="AR18" i="2"/>
  <c r="AU18" i="2" s="1"/>
  <c r="AQ18" i="2"/>
  <c r="AP18" i="2"/>
  <c r="BB45" i="2" s="1"/>
  <c r="AO18" i="2"/>
  <c r="AN18" i="2"/>
  <c r="BB44" i="2" s="1"/>
  <c r="AL18" i="2"/>
  <c r="BB43" i="2" s="1"/>
  <c r="AK18" i="2"/>
  <c r="AA18" i="2"/>
  <c r="AX17" i="2"/>
  <c r="AW17" i="2"/>
  <c r="AV17" i="2"/>
  <c r="AT17" i="2"/>
  <c r="BA47" i="2" s="1"/>
  <c r="AS17" i="2"/>
  <c r="AR17" i="2"/>
  <c r="AU17" i="2" s="1"/>
  <c r="AQ17" i="2"/>
  <c r="AP17" i="2"/>
  <c r="BA45" i="2" s="1"/>
  <c r="AO17" i="2"/>
  <c r="AN17" i="2"/>
  <c r="AL17" i="2"/>
  <c r="BA43" i="2" s="1"/>
  <c r="AK17" i="2"/>
  <c r="AA17" i="2"/>
  <c r="AX16" i="2"/>
  <c r="AW16" i="2"/>
  <c r="AV16" i="2"/>
  <c r="AT16" i="2"/>
  <c r="AZ47" i="2" s="1"/>
  <c r="AS16" i="2"/>
  <c r="AR16" i="2"/>
  <c r="AU16" i="2" s="1"/>
  <c r="AQ16" i="2"/>
  <c r="AP16" i="2"/>
  <c r="AZ45" i="2" s="1"/>
  <c r="AO16" i="2"/>
  <c r="AN16" i="2"/>
  <c r="AZ44" i="2" s="1"/>
  <c r="AL16" i="2"/>
  <c r="AZ43" i="2" s="1"/>
  <c r="AK16" i="2"/>
  <c r="AA16" i="2"/>
  <c r="AX15" i="2"/>
  <c r="AW15" i="2"/>
  <c r="AV15" i="2"/>
  <c r="AT15" i="2"/>
  <c r="AS15" i="2"/>
  <c r="AR15" i="2"/>
  <c r="AU15" i="2" s="1"/>
  <c r="AQ15" i="2"/>
  <c r="AP15" i="2"/>
  <c r="AY45" i="2" s="1"/>
  <c r="AO15" i="2"/>
  <c r="AN15" i="2"/>
  <c r="AL15" i="2"/>
  <c r="AY43" i="2" s="1"/>
  <c r="AK15" i="2"/>
  <c r="AA15" i="2"/>
  <c r="V15" i="2"/>
  <c r="W15" i="2" s="1"/>
  <c r="AX14" i="2"/>
  <c r="AW14" i="2"/>
  <c r="AV14" i="2"/>
  <c r="AT14" i="2"/>
  <c r="AS14" i="2"/>
  <c r="AR14" i="2"/>
  <c r="AQ14" i="2"/>
  <c r="AP14" i="2"/>
  <c r="AO14" i="2"/>
  <c r="AN14" i="2"/>
  <c r="AX44" i="2" s="1"/>
  <c r="AL14" i="2"/>
  <c r="AX43" i="2" s="1"/>
  <c r="AK14" i="2"/>
  <c r="AA14" i="2"/>
  <c r="AX13" i="2"/>
  <c r="AW13" i="2"/>
  <c r="AV13" i="2"/>
  <c r="AT13" i="2"/>
  <c r="AW47" i="2" s="1"/>
  <c r="AS13" i="2"/>
  <c r="AR13" i="2"/>
  <c r="AW46" i="2" s="1"/>
  <c r="AQ13" i="2"/>
  <c r="AP13" i="2"/>
  <c r="AW45" i="2" s="1"/>
  <c r="AO13" i="2"/>
  <c r="AN13" i="2"/>
  <c r="AL13" i="2"/>
  <c r="AW43" i="2" s="1"/>
  <c r="AK13" i="2"/>
  <c r="AA13" i="2"/>
  <c r="AX12" i="2"/>
  <c r="AW12" i="2"/>
  <c r="AV12" i="2"/>
  <c r="AT12" i="2"/>
  <c r="AS12" i="2"/>
  <c r="AR12" i="2"/>
  <c r="AU12" i="2" s="1"/>
  <c r="AQ12" i="2"/>
  <c r="AP12" i="2"/>
  <c r="AV45" i="2" s="1"/>
  <c r="AO12" i="2"/>
  <c r="AN12" i="2"/>
  <c r="AV44" i="2" s="1"/>
  <c r="AL12" i="2"/>
  <c r="AV43" i="2" s="1"/>
  <c r="AK12" i="2"/>
  <c r="AA12" i="2"/>
  <c r="AX11" i="2"/>
  <c r="AW11" i="2"/>
  <c r="AV11" i="2"/>
  <c r="AT11" i="2"/>
  <c r="AS11" i="2"/>
  <c r="AR11" i="2"/>
  <c r="AU46" i="2" s="1"/>
  <c r="AQ11" i="2"/>
  <c r="AP11" i="2"/>
  <c r="AU45" i="2" s="1"/>
  <c r="AO11" i="2"/>
  <c r="AN11" i="2"/>
  <c r="AU44" i="2" s="1"/>
  <c r="AL11" i="2"/>
  <c r="AU43" i="2" s="1"/>
  <c r="AK11" i="2"/>
  <c r="AA11" i="2"/>
  <c r="AX10" i="2"/>
  <c r="AW10" i="2"/>
  <c r="AV10" i="2"/>
  <c r="AT10" i="2"/>
  <c r="AT47" i="2" s="1"/>
  <c r="AS10" i="2"/>
  <c r="AR10" i="2"/>
  <c r="AU10" i="2" s="1"/>
  <c r="AQ10" i="2"/>
  <c r="AP10" i="2"/>
  <c r="AT45" i="2" s="1"/>
  <c r="AO10" i="2"/>
  <c r="AN10" i="2"/>
  <c r="AT44" i="2" s="1"/>
  <c r="AL10" i="2"/>
  <c r="AT43" i="2" s="1"/>
  <c r="AK10" i="2"/>
  <c r="AA10" i="2"/>
  <c r="AX9" i="2"/>
  <c r="AW9" i="2"/>
  <c r="AV9" i="2"/>
  <c r="AT9" i="2"/>
  <c r="AS9" i="2"/>
  <c r="AR9" i="2"/>
  <c r="AU9" i="2" s="1"/>
  <c r="AQ9" i="2"/>
  <c r="AP9" i="2"/>
  <c r="AR45" i="2" s="1"/>
  <c r="AO9" i="2"/>
  <c r="AN9" i="2"/>
  <c r="AR44" i="2" s="1"/>
  <c r="AL9" i="2"/>
  <c r="AR43" i="2" s="1"/>
  <c r="AK9" i="2"/>
  <c r="AA9" i="2"/>
  <c r="AX8" i="2"/>
  <c r="AW8" i="2"/>
  <c r="AV8" i="2"/>
  <c r="AT8" i="2"/>
  <c r="AQ47" i="2" s="1"/>
  <c r="AS8" i="2"/>
  <c r="AR8" i="2"/>
  <c r="AQ8" i="2"/>
  <c r="AP8" i="2"/>
  <c r="AQ45" i="2" s="1"/>
  <c r="AO8" i="2"/>
  <c r="AN8" i="2"/>
  <c r="AQ44" i="2" s="1"/>
  <c r="AL8" i="2"/>
  <c r="AQ43" i="2" s="1"/>
  <c r="AK8" i="2"/>
  <c r="AA8" i="2"/>
  <c r="AX7" i="2"/>
  <c r="AW7" i="2"/>
  <c r="AV7" i="2"/>
  <c r="AT7" i="2"/>
  <c r="AP47" i="2" s="1"/>
  <c r="AS7" i="2"/>
  <c r="AR7" i="2"/>
  <c r="AP46" i="2" s="1"/>
  <c r="AQ7" i="2"/>
  <c r="AP7" i="2"/>
  <c r="AP45" i="2" s="1"/>
  <c r="AO7" i="2"/>
  <c r="AN7" i="2"/>
  <c r="AP44" i="2" s="1"/>
  <c r="AL7" i="2"/>
  <c r="AP43" i="2" s="1"/>
  <c r="AK7" i="2"/>
  <c r="AA7" i="2"/>
  <c r="AX6" i="2"/>
  <c r="AW6" i="2"/>
  <c r="AV6" i="2"/>
  <c r="AT6" i="2"/>
  <c r="AO47" i="2" s="1"/>
  <c r="AS6" i="2"/>
  <c r="AR6" i="2"/>
  <c r="AO46" i="2" s="1"/>
  <c r="AQ6" i="2"/>
  <c r="AP6" i="2"/>
  <c r="AO45" i="2" s="1"/>
  <c r="AO6" i="2"/>
  <c r="AN6" i="2"/>
  <c r="AO44" i="2" s="1"/>
  <c r="AL6" i="2"/>
  <c r="AO43" i="2" s="1"/>
  <c r="AK6" i="2"/>
  <c r="AA6" i="2"/>
  <c r="AX5" i="2"/>
  <c r="AW5" i="2"/>
  <c r="AV5" i="2"/>
  <c r="AT5" i="2"/>
  <c r="AN47" i="2" s="1"/>
  <c r="AS5" i="2"/>
  <c r="AR5" i="2"/>
  <c r="AN46" i="2" s="1"/>
  <c r="AQ5" i="2"/>
  <c r="AP5" i="2"/>
  <c r="AN45" i="2" s="1"/>
  <c r="AO5" i="2"/>
  <c r="AN5" i="2"/>
  <c r="AN44" i="2" s="1"/>
  <c r="AL5" i="2"/>
  <c r="AN43" i="2" s="1"/>
  <c r="AK5" i="2"/>
  <c r="AA5" i="2"/>
  <c r="AX4" i="2"/>
  <c r="AW4" i="2"/>
  <c r="AV4" i="2"/>
  <c r="AT4" i="2"/>
  <c r="AS4" i="2"/>
  <c r="AR4" i="2"/>
  <c r="AQ4" i="2"/>
  <c r="AP4" i="2"/>
  <c r="AM45" i="2" s="1"/>
  <c r="AO4" i="2"/>
  <c r="AN4" i="2"/>
  <c r="AL4" i="2"/>
  <c r="AM43" i="2" s="1"/>
  <c r="AK4" i="2"/>
  <c r="AA4" i="2"/>
  <c r="AX3" i="2"/>
  <c r="AW3" i="2"/>
  <c r="AV3" i="2"/>
  <c r="AT3" i="2"/>
  <c r="AL47" i="2" s="1"/>
  <c r="AS3" i="2"/>
  <c r="AR3" i="2"/>
  <c r="AU3" i="2" s="1"/>
  <c r="AQ3" i="2"/>
  <c r="AP3" i="2"/>
  <c r="AO3" i="2"/>
  <c r="AN3" i="2"/>
  <c r="AL3" i="2"/>
  <c r="AK3" i="2"/>
  <c r="AA3" i="2"/>
  <c r="AX2" i="2"/>
  <c r="AW2" i="2"/>
  <c r="AV2" i="2"/>
  <c r="AT2" i="2"/>
  <c r="AK47" i="2" s="1"/>
  <c r="AS2" i="2"/>
  <c r="AR2" i="2"/>
  <c r="AK46" i="2" s="1"/>
  <c r="AQ2" i="2"/>
  <c r="AP2" i="2"/>
  <c r="AO2" i="2"/>
  <c r="AN2" i="2"/>
  <c r="AL2" i="2"/>
  <c r="AK2" i="2"/>
  <c r="AA2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B1" i="2"/>
  <c r="C53" i="11" l="1"/>
  <c r="AV29" i="2"/>
  <c r="AW31" i="2"/>
  <c r="AU14" i="2"/>
  <c r="AU25" i="2"/>
  <c r="AR46" i="2"/>
  <c r="AS46" i="2"/>
  <c r="AV46" i="2"/>
  <c r="AX30" i="2"/>
  <c r="AY46" i="2"/>
  <c r="AU8" i="2"/>
  <c r="BB46" i="2"/>
  <c r="H48" i="13"/>
  <c r="G48" i="13"/>
  <c r="AW34" i="2"/>
  <c r="AX34" i="2"/>
  <c r="AX46" i="2"/>
  <c r="AX33" i="2"/>
  <c r="AW35" i="2"/>
  <c r="AK43" i="2"/>
  <c r="BE44" i="2"/>
  <c r="AV35" i="2"/>
  <c r="AQ46" i="2"/>
  <c r="E48" i="9"/>
  <c r="AV30" i="2"/>
  <c r="AW29" i="2"/>
  <c r="AM47" i="2"/>
  <c r="AX35" i="2"/>
  <c r="AU24" i="2"/>
  <c r="AS43" i="2"/>
  <c r="AK45" i="2"/>
  <c r="AV32" i="2"/>
  <c r="AV31" i="2"/>
  <c r="AW30" i="2"/>
  <c r="AW36" i="2"/>
  <c r="AX31" i="2"/>
  <c r="AK44" i="2"/>
  <c r="AU11" i="2"/>
  <c r="AV36" i="2"/>
  <c r="AX36" i="2"/>
  <c r="D53" i="11"/>
  <c r="E1" i="11"/>
  <c r="M48" i="9"/>
  <c r="N48" i="9" s="1"/>
  <c r="AV34" i="2"/>
  <c r="AU23" i="2"/>
  <c r="AX32" i="2"/>
  <c r="AS47" i="2"/>
  <c r="AU13" i="2"/>
  <c r="AU22" i="2"/>
  <c r="AV33" i="2"/>
  <c r="AL45" i="2"/>
  <c r="BD46" i="2"/>
  <c r="AU4" i="2"/>
  <c r="AW32" i="2"/>
  <c r="AL43" i="2"/>
  <c r="AW33" i="2"/>
  <c r="BE46" i="2"/>
  <c r="AU7" i="2"/>
  <c r="AL44" i="2"/>
  <c r="AT46" i="2"/>
  <c r="AZ46" i="2"/>
  <c r="BA46" i="2"/>
  <c r="AU6" i="2"/>
  <c r="BC46" i="2"/>
  <c r="AS44" i="2"/>
  <c r="AL46" i="2"/>
  <c r="AX29" i="2"/>
  <c r="AU2" i="2"/>
  <c r="AM46" i="2"/>
  <c r="BE47" i="2"/>
  <c r="AU5" i="2"/>
  <c r="AW44" i="2"/>
  <c r="AS45" i="2"/>
  <c r="F48" i="9" l="1"/>
  <c r="G48" i="9" s="1"/>
  <c r="F1" i="11"/>
  <c r="E53" i="11"/>
  <c r="F53" i="11" l="1"/>
  <c r="G1" i="11"/>
  <c r="G53" i="11" l="1"/>
  <c r="H1" i="11"/>
  <c r="I1" i="11" l="1"/>
  <c r="H53" i="11"/>
  <c r="I53" i="11" l="1"/>
  <c r="J1" i="11"/>
  <c r="K1" i="11" l="1"/>
  <c r="J53" i="11"/>
  <c r="L1" i="11" l="1"/>
  <c r="K53" i="11"/>
  <c r="M1" i="11" l="1"/>
  <c r="L53" i="11"/>
  <c r="M53" i="11" l="1"/>
  <c r="N1" i="11"/>
  <c r="N5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tc={F2BBB3DF-DD24-4636-B62B-EBCCE8343FFD}</author>
    <author>tc={C7EACD35-3ACE-4744-AB62-32021654EC25}</author>
  </authors>
  <commentList>
    <comment ref="V15" authorId="0" shapeId="0" xr:uid="{F2BBB3DF-DD24-4636-B62B-EBCCE8343FFD}">
      <text>
        <t>[Threaded comment]
Your version of Excel allows you to read this threaded comment; however, any edits to it will get removed if the file is opened in a newer version of Excel. Learn more: https://go.microsoft.com/fwlink/?linkid=870924
Comment:
    Govt Shut Down - Ratings Interpolated From Oct 3 and Oct 24 Data</t>
      </text>
    </comment>
    <comment ref="W15" authorId="1" shapeId="0" xr:uid="{C7EACD35-3ACE-4744-AB62-32021654EC25}">
      <text>
        <t>[Threaded comment]
Your version of Excel allows you to read this threaded comment; however, any edits to it will get removed if the file is opened in a newer version of Excel. Learn more: https://go.microsoft.com/fwlink/?linkid=870924
Comment:
    Govt Shut Down - Ratings Interpolated From Oct 3 and Oct 24 Data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<sst xmlns="http://schemas.openxmlformats.org/spreadsheetml/2006/main" count="53" uniqueCount="37">
  <si>
    <t>July</t>
  </si>
  <si>
    <t>August</t>
  </si>
  <si>
    <t>September</t>
  </si>
  <si>
    <t>October</t>
  </si>
  <si>
    <t>November</t>
  </si>
  <si>
    <t>Final</t>
  </si>
  <si>
    <t>Sep Stocks Implied</t>
  </si>
  <si>
    <t>August Rating</t>
  </si>
  <si>
    <t>Yield Change July - August</t>
  </si>
  <si>
    <t>Condition Ratings Change July - August</t>
  </si>
  <si>
    <t>Yield Change August - September</t>
  </si>
  <si>
    <t>Condition Ratings Change August - September</t>
  </si>
  <si>
    <t>Yield Change September - October</t>
  </si>
  <si>
    <t>Condition Ratings Change September - October</t>
  </si>
  <si>
    <t>Yield Change October - November</t>
  </si>
  <si>
    <t>Condition Ratings Change EO September - Final</t>
  </si>
  <si>
    <t>Yield Change November - Final</t>
  </si>
  <si>
    <t>Yield Change September - Final</t>
  </si>
  <si>
    <t>Yield Change October - Final</t>
  </si>
  <si>
    <t>current year rating above the 5-yr range?</t>
  </si>
  <si>
    <t>Five-Year Average</t>
  </si>
  <si>
    <t>Five-Year Range</t>
  </si>
  <si>
    <t>Five-Year Max</t>
  </si>
  <si>
    <t>Five-Year Min</t>
  </si>
  <si>
    <t>Change Higher</t>
  </si>
  <si>
    <t>Change Lower</t>
  </si>
  <si>
    <t>Average Raise</t>
  </si>
  <si>
    <t>Average Reduction</t>
  </si>
  <si>
    <t>Average</t>
  </si>
  <si>
    <t>5-Yr Avg</t>
  </si>
  <si>
    <t>5-Yr Min</t>
  </si>
  <si>
    <t>5-Yr Max</t>
  </si>
  <si>
    <t>Weekly Change</t>
  </si>
  <si>
    <t>5-Year Average</t>
  </si>
  <si>
    <t>FM Predicted Progress</t>
  </si>
  <si>
    <t>bold numbers are estimates due to a government shutdown restricting reporting</t>
  </si>
  <si>
    <t>Numbers in green will be our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</si>
</sst>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);[Red]\(0.0\)"/>
    <numFmt numFmtId="165" formatCode="0_);[Red]\(0\)"/>
    <numFmt numFmtId="166" formatCode="0.000_);[Red]\(0.000\)"/>
    <numFmt numFmtId="167" formatCode="#,##0.0_);[Red]\(#,##0.0\)"/>
  </numFmts>
  <fonts count="12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color theme="1"/>
      <name val="Brown"/>
    </font>
    <font>
      <b/>
      <sz val="10"/>
      <color theme="1"/>
      <name val="Brown"/>
    </font>
    <font>
      <b/>
      <sz val="10"/>
      <color theme="1"/>
      <name val="Arial Narrow"/>
      <family val="2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b/>
      <sz val="8"/>
      <color rgb="FF6F0791"/>
      <name val="Avenir Next LT Pro Demi"/>
      <family val="2"/>
    </font>
    <font>
      <b/>
      <sz val="8"/>
      <color rgb="FFFF0000"/>
      <name val="Avenir Next LT Pro Demi"/>
      <family val="2"/>
    </font>
    <font>
      <sz val="8"/>
      <color rgb="FF69C129"/>
      <name val="Avenir Next LT Pro Demi"/>
      <family val="2"/>
    </font>
    <font>
      <b/>
      <sz val="8"/>
      <color rgb="FF69C129"/>
      <name val="Avenir Next LT Pro Dem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1" fillId="0" borderId="0" xfId="0" applyNumberFormat="1" applyFont="1"/>
    <xf numFmtId="38" fontId="2" fillId="0" borderId="0" xfId="0" applyNumberFormat="1" applyFont="1"/>
    <xf numFmtId="38" fontId="3" fillId="0" borderId="0" xfId="0" applyNumberFormat="1" applyFont="1"/>
    <xf numFmtId="0" fontId="4" fillId="0" borderId="0" xfId="0" applyFont="1"/>
    <xf numFmtId="0" fontId="5" fillId="0" borderId="0" xfId="0" applyFont="1"/>
    <xf numFmtId="16" fontId="5" fillId="0" borderId="0" xfId="0" applyNumberFormat="1" applyFont="1"/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" fontId="6" fillId="0" borderId="0" xfId="0" applyNumberFormat="1" applyFont="1"/>
    <xf numFmtId="1" fontId="7" fillId="0" borderId="0" xfId="0" applyNumberFormat="1" applyFont="1"/>
    <xf numFmtId="164" fontId="8" fillId="0" borderId="0" xfId="0" applyNumberFormat="1" applyFont="1"/>
    <xf numFmtId="0" fontId="5" fillId="0" borderId="0" xfId="0" applyFont="1" applyAlignment="1">
      <alignment horizontal="right"/>
    </xf>
    <xf numFmtId="1" fontId="5" fillId="0" borderId="0" xfId="0" applyNumberFormat="1" applyFont="1"/>
    <xf numFmtId="164" fontId="5" fillId="0" borderId="0" xfId="0" applyNumberFormat="1" applyFont="1" applyAlignment="1">
      <alignment horizontal="right"/>
    </xf>
    <xf numFmtId="164" fontId="9" fillId="0" borderId="0" xfId="0" applyNumberFormat="1" applyFont="1"/>
    <xf numFmtId="0" fontId="9" fillId="0" borderId="0" xfId="0" applyFont="1" applyAlignment="1">
      <alignment horizontal="right"/>
    </xf>
    <xf numFmtId="14" fontId="5" fillId="0" borderId="0" xfId="0" applyNumberFormat="1" applyFont="1"/>
    <xf numFmtId="0" fontId="5" fillId="3" borderId="0" xfId="0" applyFont="1" applyFill="1"/>
    <xf numFmtId="1" fontId="10" fillId="0" borderId="0" xfId="0" applyNumberFormat="1" applyFont="1"/>
    <xf numFmtId="38" fontId="5" fillId="0" borderId="0" xfId="0" applyNumberFormat="1" applyFont="1"/>
    <xf numFmtId="167" fontId="5" fillId="2" borderId="0" xfId="0" applyNumberFormat="1" applyFont="1" applyFill="1"/>
    <xf numFmtId="9" fontId="5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9C129"/>
      <color rgb="FF323232"/>
      <color rgb="FF8C8C8C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worksheet" Target="worksheets/sheet4.xml"/><Relationship Id="rId18" Type="http://schemas.openxmlformats.org/officeDocument/2006/relationships/sheetMetadata" Target="metadata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3.xml"/><Relationship Id="rId5" Type="http://schemas.openxmlformats.org/officeDocument/2006/relationships/chartsheet" Target="chartsheets/sheet4.xml"/><Relationship Id="rId15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microsoft.com/office/2017/10/relationships/person" Target="persons/person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2.xml"/><Relationship Id="rId14" Type="http://schemas.openxmlformats.org/officeDocument/2006/relationships/chartsheet" Target="chartsheets/sheet1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28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Soybean</a:t>
            </a:r>
            <a:r>
              <a:rPr lang="en-GB" sz="28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Crop Condition Ratings Support Record Yields</a:t>
            </a:r>
            <a:endParaRPr lang="en-GB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9634309753407189E-2"/>
          <c:y val="0.19387452674610364"/>
          <c:w val="0.69152496860660728"/>
          <c:h val="0.63376768169465536"/>
        </c:manualLayout>
      </c:layout>
      <c:lineChart>
        <c:grouping val="standard"/>
        <c:varyColors val="0"/>
        <c:ser>
          <c:idx val="0"/>
          <c:order val="0"/>
          <c:tx>
            <c:strRef>
              <c:f>'Conditions Chart Data'!$A$15</c:f>
              <c:strCache>
                <c:ptCount val="1"/>
                <c:pt idx="0">
                  <c:v>2013</c:v>
                </c:pt>
              </c:strCache>
            </c:strRef>
          </c:tx>
          <c:spPr>
            <a:ln w="15875" cap="rnd">
              <a:solidFill>
                <a:srgbClr val="8E9A4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02C-4F40-B0BE-97560A9C0B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02C-4F40-B0BE-97560A9C0BF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61AAAB1-A229-42C0-9371-AC81B93A52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8E9A44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8E9A44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Data'!$D$15:$X$15</c:f>
              <c:numCache>
                <c:formatCode>General</c:formatCode>
                <c:ptCount val="21"/>
                <c:pt idx="2">
                  <c:v>64</c:v>
                </c:pt>
                <c:pt idx="3">
                  <c:v>65</c:v>
                </c:pt>
                <c:pt idx="4">
                  <c:v>67</c:v>
                </c:pt>
                <c:pt idx="5">
                  <c:v>67</c:v>
                </c:pt>
                <c:pt idx="6">
                  <c:v>65</c:v>
                </c:pt>
                <c:pt idx="7">
                  <c:v>64</c:v>
                </c:pt>
                <c:pt idx="8">
                  <c:v>63</c:v>
                </c:pt>
                <c:pt idx="9">
                  <c:v>64</c:v>
                </c:pt>
                <c:pt idx="10">
                  <c:v>64</c:v>
                </c:pt>
                <c:pt idx="11">
                  <c:v>62</c:v>
                </c:pt>
                <c:pt idx="12">
                  <c:v>58</c:v>
                </c:pt>
                <c:pt idx="13">
                  <c:v>54</c:v>
                </c:pt>
                <c:pt idx="14">
                  <c:v>52</c:v>
                </c:pt>
                <c:pt idx="15">
                  <c:v>50</c:v>
                </c:pt>
                <c:pt idx="16">
                  <c:v>50</c:v>
                </c:pt>
                <c:pt idx="17" formatCode="0">
                  <c:v>53</c:v>
                </c:pt>
                <c:pt idx="18" formatCode="0">
                  <c:v>54.333333333333336</c:v>
                </c:pt>
                <c:pt idx="19" formatCode="0">
                  <c:v>55.666666666666671</c:v>
                </c:pt>
                <c:pt idx="20">
                  <c:v>57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Data'!$D$36:$X$36</c15:f>
                <c15:dlblRangeCache>
                  <c:ptCount val="21"/>
                  <c:pt idx="1">
                    <c:v>69</c:v>
                  </c:pt>
                  <c:pt idx="2">
                    <c:v>68</c:v>
                  </c:pt>
                  <c:pt idx="3">
                    <c:v>67</c:v>
                  </c:pt>
                  <c:pt idx="4">
                    <c:v>66</c:v>
                  </c:pt>
                  <c:pt idx="5">
                    <c:v>65</c:v>
                  </c:pt>
                  <c:pt idx="6">
                    <c:v>64</c:v>
                  </c:pt>
                  <c:pt idx="7">
                    <c:v>64</c:v>
                  </c:pt>
                  <c:pt idx="8">
                    <c:v>64</c:v>
                  </c:pt>
                  <c:pt idx="9">
                    <c:v>64</c:v>
                  </c:pt>
                  <c:pt idx="10">
                    <c:v>63</c:v>
                  </c:pt>
                  <c:pt idx="11">
                    <c:v>63</c:v>
                  </c:pt>
                  <c:pt idx="12">
                    <c:v>62</c:v>
                  </c:pt>
                  <c:pt idx="13">
                    <c:v>61</c:v>
                  </c:pt>
                  <c:pt idx="14">
                    <c:v>61</c:v>
                  </c:pt>
                  <c:pt idx="15">
                    <c:v>61</c:v>
                  </c:pt>
                  <c:pt idx="16">
                    <c:v>61</c:v>
                  </c:pt>
                  <c:pt idx="17">
                    <c:v>60</c:v>
                  </c:pt>
                  <c:pt idx="20">
                    <c:v>44.0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402C-4F40-B0BE-97560A9C0BF8}"/>
            </c:ext>
          </c:extLst>
        </c:ser>
        <c:ser>
          <c:idx val="1"/>
          <c:order val="1"/>
          <c:tx>
            <c:strRef>
              <c:f>'Conditions Chart Data'!$A$16</c:f>
              <c:strCache>
                <c:ptCount val="1"/>
                <c:pt idx="0">
                  <c:v>2014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52F5208-C487-4EFD-9702-5834BE00F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2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Data'!$D$16:$X$16</c:f>
              <c:numCache>
                <c:formatCode>General</c:formatCode>
                <c:ptCount val="21"/>
                <c:pt idx="0">
                  <c:v>74</c:v>
                </c:pt>
                <c:pt idx="1">
                  <c:v>73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73</c:v>
                </c:pt>
                <c:pt idx="7">
                  <c:v>71</c:v>
                </c:pt>
                <c:pt idx="8">
                  <c:v>71</c:v>
                </c:pt>
                <c:pt idx="9">
                  <c:v>70</c:v>
                </c:pt>
                <c:pt idx="10">
                  <c:v>71</c:v>
                </c:pt>
                <c:pt idx="11">
                  <c:v>70</c:v>
                </c:pt>
                <c:pt idx="12">
                  <c:v>72</c:v>
                </c:pt>
                <c:pt idx="13">
                  <c:v>72</c:v>
                </c:pt>
                <c:pt idx="14">
                  <c:v>72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73</c:v>
                </c:pt>
                <c:pt idx="19">
                  <c:v>73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Data'!$D$37:$X$37</c15:f>
                <c15:dlblRangeCache>
                  <c:ptCount val="21"/>
                  <c:pt idx="19">
                    <c:v>47.5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402C-4F40-B0BE-97560A9C0BF8}"/>
            </c:ext>
          </c:extLst>
        </c:ser>
        <c:ser>
          <c:idx val="2"/>
          <c:order val="2"/>
          <c:tx>
            <c:strRef>
              <c:f>'Conditions Chart Data'!$A$17</c:f>
              <c:strCache>
                <c:ptCount val="1"/>
                <c:pt idx="0">
                  <c:v>2015</c:v>
                </c:pt>
              </c:strCache>
            </c:strRef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02C-4F40-B0BE-97560A9C0BF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B9958F2-A8DB-4D41-A7D7-7EA645029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6258D94-6BD2-4C6F-94C3-F12E59C137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8C8C8C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Data'!$D$17:$X$17</c:f>
              <c:numCache>
                <c:formatCode>General</c:formatCode>
                <c:ptCount val="21"/>
                <c:pt idx="0">
                  <c:v>69</c:v>
                </c:pt>
                <c:pt idx="1">
                  <c:v>67</c:v>
                </c:pt>
                <c:pt idx="2">
                  <c:v>65</c:v>
                </c:pt>
                <c:pt idx="3">
                  <c:v>63</c:v>
                </c:pt>
                <c:pt idx="4">
                  <c:v>63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63</c:v>
                </c:pt>
                <c:pt idx="9">
                  <c:v>63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61</c:v>
                </c:pt>
                <c:pt idx="15">
                  <c:v>63</c:v>
                </c:pt>
                <c:pt idx="16">
                  <c:v>62</c:v>
                </c:pt>
                <c:pt idx="17">
                  <c:v>64</c:v>
                </c:pt>
                <c:pt idx="18">
                  <c:v>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Data'!$D$38:$X$38</c15:f>
                <c15:dlblRangeCache>
                  <c:ptCount val="21"/>
                  <c:pt idx="18">
                    <c:v>48.0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402C-4F40-B0BE-97560A9C0BF8}"/>
            </c:ext>
          </c:extLst>
        </c:ser>
        <c:ser>
          <c:idx val="3"/>
          <c:order val="3"/>
          <c:tx>
            <c:strRef>
              <c:f>'Conditions Chart Data'!$A$18</c:f>
              <c:strCache>
                <c:ptCount val="1"/>
                <c:pt idx="0">
                  <c:v>2016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402C-4F40-B0BE-97560A9C0BF8}"/>
                </c:ext>
              </c:extLst>
            </c:dLbl>
            <c:dLbl>
              <c:idx val="18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700" b="1" i="0" u="none" strike="noStrike" kern="1200" baseline="0">
                        <a:solidFill>
                          <a:srgbClr val="FFC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5D4481D7-554B-4638-B45B-3E4C7004F82E}" type="CELLRANGE">
                      <a:rPr lang="en-US"/>
                      <a:pPr>
                        <a:defRPr sz="700" b="1">
                          <a:solidFill>
                            <a:srgbClr val="FFC000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5875"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FFC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FFC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Data'!$D$18:$X$18</c:f>
              <c:numCache>
                <c:formatCode>General</c:formatCode>
                <c:ptCount val="21"/>
                <c:pt idx="0">
                  <c:v>74</c:v>
                </c:pt>
                <c:pt idx="1">
                  <c:v>73</c:v>
                </c:pt>
                <c:pt idx="2">
                  <c:v>72</c:v>
                </c:pt>
                <c:pt idx="3">
                  <c:v>70</c:v>
                </c:pt>
                <c:pt idx="4">
                  <c:v>71</c:v>
                </c:pt>
                <c:pt idx="5">
                  <c:v>71</c:v>
                </c:pt>
                <c:pt idx="6">
                  <c:v>71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73</c:v>
                </c:pt>
                <c:pt idx="12">
                  <c:v>73</c:v>
                </c:pt>
                <c:pt idx="13">
                  <c:v>73</c:v>
                </c:pt>
                <c:pt idx="14">
                  <c:v>73</c:v>
                </c:pt>
                <c:pt idx="15">
                  <c:v>73</c:v>
                </c:pt>
                <c:pt idx="16">
                  <c:v>74</c:v>
                </c:pt>
                <c:pt idx="17">
                  <c:v>74</c:v>
                </c:pt>
                <c:pt idx="18">
                  <c:v>74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Data'!$D$39:$X$39</c15:f>
                <c15:dlblRangeCache>
                  <c:ptCount val="21"/>
                  <c:pt idx="18">
                    <c:v>51.9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7-402C-4F40-B0BE-97560A9C0BF8}"/>
            </c:ext>
          </c:extLst>
        </c:ser>
        <c:ser>
          <c:idx val="4"/>
          <c:order val="4"/>
          <c:tx>
            <c:strRef>
              <c:f>'Conditions Chart Data'!$A$19</c:f>
              <c:strCache>
                <c:ptCount val="1"/>
                <c:pt idx="0">
                  <c:v>2017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41FD8F6-725E-4F5E-84E4-1EB10C54F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402C-4F40-B0BE-97560A9C0BF8}"/>
                </c:ext>
              </c:extLst>
            </c:dLbl>
            <c:spPr>
              <a:solidFill>
                <a:schemeClr val="lt1"/>
              </a:solidFill>
              <a:ln w="1587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25000"/>
                        <a:lumOff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Data'!$D$19:$X$19</c:f>
              <c:numCache>
                <c:formatCode>General</c:formatCode>
                <c:ptCount val="21"/>
                <c:pt idx="0">
                  <c:v>66</c:v>
                </c:pt>
                <c:pt idx="1">
                  <c:v>67</c:v>
                </c:pt>
                <c:pt idx="2">
                  <c:v>66</c:v>
                </c:pt>
                <c:pt idx="3">
                  <c:v>64</c:v>
                </c:pt>
                <c:pt idx="4">
                  <c:v>62</c:v>
                </c:pt>
                <c:pt idx="5">
                  <c:v>61</c:v>
                </c:pt>
                <c:pt idx="6">
                  <c:v>57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61</c:v>
                </c:pt>
                <c:pt idx="13">
                  <c:v>60</c:v>
                </c:pt>
                <c:pt idx="14">
                  <c:v>59</c:v>
                </c:pt>
                <c:pt idx="15">
                  <c:v>60</c:v>
                </c:pt>
                <c:pt idx="16">
                  <c:v>60</c:v>
                </c:pt>
                <c:pt idx="17">
                  <c:v>61</c:v>
                </c:pt>
                <c:pt idx="18">
                  <c:v>61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Data'!$D$40:$X$40</c15:f>
                <c15:dlblRangeCache>
                  <c:ptCount val="21"/>
                  <c:pt idx="18">
                    <c:v>49.3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D-402C-4F40-B0BE-97560A9C0BF8}"/>
            </c:ext>
          </c:extLst>
        </c:ser>
        <c:ser>
          <c:idx val="5"/>
          <c:order val="5"/>
          <c:tx>
            <c:strRef>
              <c:f>'Conditions Chart Data'!$A$20</c:f>
              <c:strCache>
                <c:ptCount val="1"/>
                <c:pt idx="0">
                  <c:v>2018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CD37699-3419-48E0-AB3E-55A63125F9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6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Data'!$D$20:$X$20</c:f>
              <c:numCache>
                <c:formatCode>General</c:formatCode>
                <c:ptCount val="21"/>
                <c:pt idx="0">
                  <c:v>74</c:v>
                </c:pt>
                <c:pt idx="1">
                  <c:v>73</c:v>
                </c:pt>
                <c:pt idx="2">
                  <c:v>73</c:v>
                </c:pt>
                <c:pt idx="3">
                  <c:v>71</c:v>
                </c:pt>
                <c:pt idx="4">
                  <c:v>71</c:v>
                </c:pt>
                <c:pt idx="5">
                  <c:v>69</c:v>
                </c:pt>
                <c:pt idx="6">
                  <c:v>70</c:v>
                </c:pt>
                <c:pt idx="7">
                  <c:v>70</c:v>
                </c:pt>
                <c:pt idx="8">
                  <c:v>67</c:v>
                </c:pt>
                <c:pt idx="9">
                  <c:v>66</c:v>
                </c:pt>
                <c:pt idx="10">
                  <c:v>65</c:v>
                </c:pt>
                <c:pt idx="11">
                  <c:v>66</c:v>
                </c:pt>
                <c:pt idx="12">
                  <c:v>66</c:v>
                </c:pt>
                <c:pt idx="13">
                  <c:v>68</c:v>
                </c:pt>
                <c:pt idx="14">
                  <c:v>67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66</c:v>
                </c:pt>
                <c:pt idx="19">
                  <c:v>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Data'!$D$41:$X$41</c15:f>
                <c15:dlblRangeCache>
                  <c:ptCount val="21"/>
                  <c:pt idx="19">
                    <c:v>50.6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3-402C-4F40-B0BE-97560A9C0BF8}"/>
            </c:ext>
          </c:extLst>
        </c:ser>
        <c:ser>
          <c:idx val="6"/>
          <c:order val="6"/>
          <c:tx>
            <c:strRef>
              <c:f>'Conditions Chart Data'!$A$21</c:f>
              <c:strCache>
                <c:ptCount val="1"/>
                <c:pt idx="0">
                  <c:v>2019</c:v>
                </c:pt>
              </c:strCache>
            </c:strRef>
          </c:tx>
          <c:spPr>
            <a:ln w="158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402C-4F40-B0BE-97560A9C0B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9E99DAA-95E2-426D-BFC1-4977C0FDE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4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Data'!$D$21:$X$21</c:f>
              <c:numCache>
                <c:formatCode>General</c:formatCode>
                <c:ptCount val="21"/>
                <c:pt idx="2">
                  <c:v>54</c:v>
                </c:pt>
                <c:pt idx="3">
                  <c:v>54</c:v>
                </c:pt>
                <c:pt idx="4">
                  <c:v>53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53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54</c:v>
                </c:pt>
                <c:pt idx="15">
                  <c:v>54</c:v>
                </c:pt>
                <c:pt idx="16">
                  <c:v>55</c:v>
                </c:pt>
                <c:pt idx="17">
                  <c:v>53</c:v>
                </c:pt>
                <c:pt idx="18">
                  <c:v>54</c:v>
                </c:pt>
                <c:pt idx="19">
                  <c:v>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Data'!$D$42:$X$42</c15:f>
                <c15:dlblRangeCache>
                  <c:ptCount val="21"/>
                  <c:pt idx="19">
                    <c:v>47.4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9-402C-4F40-B0BE-97560A9C0BF8}"/>
            </c:ext>
          </c:extLst>
        </c:ser>
        <c:ser>
          <c:idx val="7"/>
          <c:order val="7"/>
          <c:tx>
            <c:strRef>
              <c:f>'Conditions Chart Data'!$A$22</c:f>
              <c:strCache>
                <c:ptCount val="1"/>
                <c:pt idx="0">
                  <c:v>2020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3D1ACBC-B400-4E42-A355-E50B2100B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2">
                    <a:lumMod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Data'!$D$22:$X$22</c:f>
              <c:numCache>
                <c:formatCode>General</c:formatCode>
                <c:ptCount val="21"/>
                <c:pt idx="0">
                  <c:v>72</c:v>
                </c:pt>
                <c:pt idx="1">
                  <c:v>72</c:v>
                </c:pt>
                <c:pt idx="2">
                  <c:v>70</c:v>
                </c:pt>
                <c:pt idx="3">
                  <c:v>71</c:v>
                </c:pt>
                <c:pt idx="4">
                  <c:v>71</c:v>
                </c:pt>
                <c:pt idx="5">
                  <c:v>68</c:v>
                </c:pt>
                <c:pt idx="6">
                  <c:v>69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72</c:v>
                </c:pt>
                <c:pt idx="11">
                  <c:v>69</c:v>
                </c:pt>
                <c:pt idx="12">
                  <c:v>66</c:v>
                </c:pt>
                <c:pt idx="13">
                  <c:v>65</c:v>
                </c:pt>
                <c:pt idx="14">
                  <c:v>63</c:v>
                </c:pt>
                <c:pt idx="15">
                  <c:v>63</c:v>
                </c:pt>
                <c:pt idx="16">
                  <c:v>64</c:v>
                </c:pt>
                <c:pt idx="17">
                  <c:v>64</c:v>
                </c:pt>
                <c:pt idx="18">
                  <c:v>63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Data'!$D$43:$X$43</c15:f>
                <c15:dlblRangeCache>
                  <c:ptCount val="21"/>
                  <c:pt idx="18">
                    <c:v>50.2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F-402C-4F40-B0BE-97560A9C0BF8}"/>
            </c:ext>
          </c:extLst>
        </c:ser>
        <c:ser>
          <c:idx val="8"/>
          <c:order val="8"/>
          <c:tx>
            <c:strRef>
              <c:f>'Conditions Chart Data'!$A$23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402C-4F40-B0BE-97560A9C0BF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68C80EC-671D-4794-B5F9-5BCEDFC240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402C-4F40-B0BE-97560A9C0BF8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323232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Data'!$D$23:$X$23</c:f>
              <c:numCache>
                <c:formatCode>General</c:formatCode>
                <c:ptCount val="21"/>
                <c:pt idx="0">
                  <c:v>62</c:v>
                </c:pt>
                <c:pt idx="1">
                  <c:v>60</c:v>
                </c:pt>
                <c:pt idx="2">
                  <c:v>60</c:v>
                </c:pt>
                <c:pt idx="3">
                  <c:v>59</c:v>
                </c:pt>
                <c:pt idx="4">
                  <c:v>59</c:v>
                </c:pt>
                <c:pt idx="5">
                  <c:v>60</c:v>
                </c:pt>
                <c:pt idx="6">
                  <c:v>58</c:v>
                </c:pt>
                <c:pt idx="7">
                  <c:v>60</c:v>
                </c:pt>
                <c:pt idx="8">
                  <c:v>60</c:v>
                </c:pt>
                <c:pt idx="9">
                  <c:v>57</c:v>
                </c:pt>
                <c:pt idx="10">
                  <c:v>56</c:v>
                </c:pt>
                <c:pt idx="11">
                  <c:v>56</c:v>
                </c:pt>
                <c:pt idx="12">
                  <c:v>57</c:v>
                </c:pt>
                <c:pt idx="13">
                  <c:v>57</c:v>
                </c:pt>
                <c:pt idx="14">
                  <c:v>58</c:v>
                </c:pt>
                <c:pt idx="15">
                  <c:v>58</c:v>
                </c:pt>
                <c:pt idx="16">
                  <c:v>58</c:v>
                </c:pt>
                <c:pt idx="17">
                  <c:v>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Data'!$D$44:$X$44</c15:f>
                <c15:dlblRangeCache>
                  <c:ptCount val="21"/>
                  <c:pt idx="17">
                    <c:v>51.4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5-402C-4F40-B0BE-97560A9C0BF8}"/>
            </c:ext>
          </c:extLst>
        </c:ser>
        <c:ser>
          <c:idx val="9"/>
          <c:order val="9"/>
          <c:tx>
            <c:strRef>
              <c:f>'Conditions Chart Data'!$A$24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C7AAB85-6B1B-47EC-8CD7-261CE6F9E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402C-4F40-B0BE-97560A9C0BF8}"/>
                </c:ext>
              </c:extLst>
            </c:dLbl>
            <c:spPr>
              <a:solidFill>
                <a:schemeClr val="lt1"/>
              </a:solidFill>
              <a:ln w="22225">
                <a:solidFill>
                  <a:schemeClr val="accent4">
                    <a:lumMod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Data'!$D$24:$X$24</c:f>
              <c:numCache>
                <c:formatCode>General</c:formatCode>
                <c:ptCount val="21"/>
                <c:pt idx="0">
                  <c:v>70</c:v>
                </c:pt>
                <c:pt idx="1">
                  <c:v>68</c:v>
                </c:pt>
                <c:pt idx="2">
                  <c:v>65</c:v>
                </c:pt>
                <c:pt idx="3">
                  <c:v>63</c:v>
                </c:pt>
                <c:pt idx="4">
                  <c:v>62</c:v>
                </c:pt>
                <c:pt idx="5">
                  <c:v>61</c:v>
                </c:pt>
                <c:pt idx="6">
                  <c:v>59</c:v>
                </c:pt>
                <c:pt idx="7">
                  <c:v>60</c:v>
                </c:pt>
                <c:pt idx="8">
                  <c:v>59</c:v>
                </c:pt>
                <c:pt idx="9">
                  <c:v>58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56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57</c:v>
                </c:pt>
                <c:pt idx="18">
                  <c:v>57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Data'!$D$45:$X$45</c15:f>
                <c15:dlblRangeCache>
                  <c:ptCount val="21"/>
                  <c:pt idx="18">
                    <c:v>49.5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DB-402C-4F40-B0BE-97560A9C0BF8}"/>
            </c:ext>
          </c:extLst>
        </c:ser>
        <c:ser>
          <c:idx val="10"/>
          <c:order val="10"/>
          <c:tx>
            <c:strRef>
              <c:f>'Conditions Chart Data'!$A$25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F108B4B-2239-42A0-8860-9E84DD6EC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402C-4F40-B0BE-97560A9C0BF8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chemeClr val="accent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Data'!$D$25:$X$25</c:f>
              <c:numCache>
                <c:formatCode>General</c:formatCode>
                <c:ptCount val="21"/>
                <c:pt idx="0">
                  <c:v>59</c:v>
                </c:pt>
                <c:pt idx="1">
                  <c:v>54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55</c:v>
                </c:pt>
                <c:pt idx="6">
                  <c:v>54</c:v>
                </c:pt>
                <c:pt idx="7">
                  <c:v>52</c:v>
                </c:pt>
                <c:pt idx="8">
                  <c:v>54</c:v>
                </c:pt>
                <c:pt idx="9">
                  <c:v>59</c:v>
                </c:pt>
                <c:pt idx="10">
                  <c:v>59</c:v>
                </c:pt>
                <c:pt idx="11">
                  <c:v>58</c:v>
                </c:pt>
                <c:pt idx="12">
                  <c:v>53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52</c:v>
                </c:pt>
                <c:pt idx="17">
                  <c:v>51</c:v>
                </c:pt>
                <c:pt idx="18">
                  <c:v>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Data'!$D$46:$X$46</c15:f>
                <c15:dlblRangeCache>
                  <c:ptCount val="21"/>
                  <c:pt idx="18">
                    <c:v>50.6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F1-402C-4F40-B0BE-97560A9C0BF8}"/>
            </c:ext>
          </c:extLst>
        </c:ser>
        <c:ser>
          <c:idx val="11"/>
          <c:order val="11"/>
          <c:tx>
            <c:strRef>
              <c:f>'Conditions Chart Data'!$A$26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402C-4F40-B0BE-97560A9C0BF8}"/>
                </c:ext>
              </c:extLst>
            </c:dLbl>
            <c:dLbl>
              <c:idx val="17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2844D70-32D1-43AA-BF90-AF6B62A3693C}" type="CELLRANGE">
                      <a:rPr lang="en-US"/>
                      <a:pPr>
                        <a:defRPr sz="1000" b="1">
                          <a:solidFill>
                            <a:schemeClr val="accent5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22225"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402C-4F40-B0BE-97560A9C0BF8}"/>
                </c:ext>
              </c:extLst>
            </c:dLbl>
            <c:spPr>
              <a:solidFill>
                <a:schemeClr val="bg1">
                  <a:alpha val="0"/>
                </a:schemeClr>
              </a:solidFill>
              <a:ln w="22225">
                <a:solidFill>
                  <a:schemeClr val="accent5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'Conditions Chart Data'!$D$26:$X$26</c:f>
              <c:numCache>
                <c:formatCode>General</c:formatCode>
                <c:ptCount val="21"/>
                <c:pt idx="0">
                  <c:v>72</c:v>
                </c:pt>
                <c:pt idx="1">
                  <c:v>70</c:v>
                </c:pt>
                <c:pt idx="2">
                  <c:v>67</c:v>
                </c:pt>
                <c:pt idx="3">
                  <c:v>67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67</c:v>
                </c:pt>
                <c:pt idx="12">
                  <c:v>65</c:v>
                </c:pt>
                <c:pt idx="13">
                  <c:v>65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Data'!$D$47:$X$47</c15:f>
                <c15:dlblRangeCache>
                  <c:ptCount val="21"/>
                  <c:pt idx="17">
                    <c:v>50.7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07-402C-4F40-B0BE-97560A9C0BF8}"/>
            </c:ext>
          </c:extLst>
        </c:ser>
        <c:ser>
          <c:idx val="12"/>
          <c:order val="12"/>
          <c:tx>
            <c:strRef>
              <c:f>'Conditions Chart Data'!$A$27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48AF2FD-29FA-434B-8C34-7926ACF242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CA4-4F3F-81A4-C65060A5CE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B706C4-93A4-4EDA-91C1-670AB75C0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CA4-4F3F-81A4-C65060A5CE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312D71-B09C-421C-99EC-2C0EC5457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A4-4F3F-81A4-C65060A5CE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3413126-0C46-4FC5-85BA-B82677225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CA4-4F3F-81A4-C65060A5CE0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D9799A-00FC-4FC5-81F6-EA61CF733C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A4-4F3F-81A4-C65060A5CE0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2F5CB19-1287-4AB5-A7BC-235AD56390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A4-4F3F-81A4-C65060A5CE0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8AA4F63-8EF9-4548-BA98-4103896AB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A4-4F3F-81A4-C65060A5CE0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BA8A18-7A55-421F-AD2F-C714F65E8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A4-4F3F-81A4-C65060A5CE00}"/>
                </c:ext>
              </c:extLst>
            </c:dLbl>
            <c:dLbl>
              <c:idx val="8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99DC8C5-30B4-4860-BF00-AB3F21469143}" type="CELLRANGE">
                      <a:rPr lang="en-US"/>
                      <a:pPr>
                        <a:defRPr sz="1200" b="1"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solidFill>
                  <a:schemeClr val="bg1"/>
                </a:solidFill>
                <a:ln w="1587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CA4-4F3F-81A4-C65060A5CE0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CA4-4F3F-81A4-C65060A5CE0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CA4-4F3F-81A4-C65060A5CE0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CA4-4F3F-81A4-C65060A5CE0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CA4-4F3F-81A4-C65060A5CE0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CA4-4F3F-81A4-C65060A5CE0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CA4-4F3F-81A4-C65060A5CE0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CA4-4F3F-81A4-C65060A5CE0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CA4-4F3F-81A4-C65060A5CE0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CA4-4F3F-81A4-C65060A5CE0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CA4-4F3F-81A4-C65060A5CE00}"/>
                </c:ext>
              </c:extLst>
            </c:dLbl>
            <c:numFmt formatCode="#,##0.0" sourceLinked="0"/>
            <c:spPr>
              <a:solidFill>
                <a:schemeClr val="bg1"/>
              </a:solidFill>
              <a:ln w="1587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'Conditions Chart Data'!$D$27:$V$27</c:f>
              <c:numCache>
                <c:formatCode>General</c:formatCode>
                <c:ptCount val="19"/>
                <c:pt idx="0">
                  <c:v>68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70</c:v>
                </c:pt>
                <c:pt idx="6">
                  <c:v>68</c:v>
                </c:pt>
                <c:pt idx="7">
                  <c:v>70</c:v>
                </c:pt>
                <c:pt idx="8">
                  <c:v>69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Data'!$D$48:$V$48</c15:f>
                <c15:dlblRangeCache>
                  <c:ptCount val="19"/>
                  <c:pt idx="3">
                    <c:v>52.5 </c:v>
                  </c:pt>
                  <c:pt idx="8">
                    <c:v>53.2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CA4-4F3F-81A4-C65060A5C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169328"/>
        <c:axId val="2052166928"/>
      </c:lineChart>
      <c:dateAx>
        <c:axId val="2052169328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2166928"/>
        <c:crosses val="autoZero"/>
        <c:auto val="1"/>
        <c:lblOffset val="100"/>
        <c:baseTimeUnit val="days"/>
      </c:dateAx>
      <c:valAx>
        <c:axId val="2052166928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Percent</a:t>
                </a:r>
                <a:r>
                  <a:rPr lang="en-GB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US Crop Rated Good + Excellent (percent)</a:t>
                </a:r>
                <a:endParaRPr lang="en-GB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21693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76355035057656295"/>
          <c:y val="0.19564592479037465"/>
          <c:w val="0.22737978946821102"/>
          <c:h val="0.62710278029405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'Conditions Chart Data'!$AJ$43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Data'!$AK$43:$BH$43</c:f>
              <c:numCache>
                <c:formatCode>0.0_);[Red]\(0.0\)</c:formatCode>
                <c:ptCount val="24"/>
                <c:pt idx="0">
                  <c:v>0.70000000000000284</c:v>
                </c:pt>
                <c:pt idx="1">
                  <c:v>-0.79999999999999716</c:v>
                </c:pt>
                <c:pt idx="2">
                  <c:v>-3.2000000000000028</c:v>
                </c:pt>
                <c:pt idx="3">
                  <c:v>-0.30000000000000426</c:v>
                </c:pt>
                <c:pt idx="4">
                  <c:v>-0.79999999999999716</c:v>
                </c:pt>
                <c:pt idx="5">
                  <c:v>-1.1999999999999957</c:v>
                </c:pt>
                <c:pt idx="6">
                  <c:v>-1.1000000000000014</c:v>
                </c:pt>
                <c:pt idx="7">
                  <c:v>0</c:v>
                </c:pt>
                <c:pt idx="8">
                  <c:v>-1.1000000000000014</c:v>
                </c:pt>
                <c:pt idx="9">
                  <c:v>-1.1000000000000014</c:v>
                </c:pt>
                <c:pt idx="10">
                  <c:v>-0.89999999999999858</c:v>
                </c:pt>
                <c:pt idx="11">
                  <c:v>1.1000000000000014</c:v>
                </c:pt>
                <c:pt idx="12">
                  <c:v>-2</c:v>
                </c:pt>
                <c:pt idx="13">
                  <c:v>-4.3999999999999986</c:v>
                </c:pt>
                <c:pt idx="14">
                  <c:v>-1.8999999999999986</c:v>
                </c:pt>
                <c:pt idx="15">
                  <c:v>0.19999999999999574</c:v>
                </c:pt>
                <c:pt idx="16">
                  <c:v>0.89999999999999858</c:v>
                </c:pt>
                <c:pt idx="17">
                  <c:v>2.1999999999999957</c:v>
                </c:pt>
                <c:pt idx="18">
                  <c:v>1.3999999999999986</c:v>
                </c:pt>
                <c:pt idx="19">
                  <c:v>3.1000000000000014</c:v>
                </c:pt>
                <c:pt idx="20">
                  <c:v>0</c:v>
                </c:pt>
                <c:pt idx="21">
                  <c:v>3.5</c:v>
                </c:pt>
                <c:pt idx="22">
                  <c:v>-0.79999999999999716</c:v>
                </c:pt>
                <c:pt idx="23">
                  <c:v>0.39999999999999858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1-4513-AC52-6000B18F2E07}"/>
            </c:ext>
          </c:extLst>
        </c:ser>
        <c:ser>
          <c:idx val="1"/>
          <c:order val="1"/>
          <c:tx>
            <c:strRef>
              <c:f>'Conditions Chart Data'!$AJ$44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Data'!$AK$44:$BH$44</c:f>
              <c:numCache>
                <c:formatCode>0.0_);[Red]\(0.0\)</c:formatCode>
                <c:ptCount val="24"/>
                <c:pt idx="0">
                  <c:v>-1.2000000000000028</c:v>
                </c:pt>
                <c:pt idx="1">
                  <c:v>-0.5</c:v>
                </c:pt>
                <c:pt idx="2">
                  <c:v>0.5</c:v>
                </c:pt>
                <c:pt idx="3">
                  <c:v>-3</c:v>
                </c:pt>
                <c:pt idx="4">
                  <c:v>-0.60000000000000142</c:v>
                </c:pt>
                <c:pt idx="5">
                  <c:v>0.89999999999999858</c:v>
                </c:pt>
                <c:pt idx="6">
                  <c:v>2.1999999999999957</c:v>
                </c:pt>
                <c:pt idx="7">
                  <c:v>-0.10000000000000142</c:v>
                </c:pt>
                <c:pt idx="8">
                  <c:v>-0.5</c:v>
                </c:pt>
                <c:pt idx="9">
                  <c:v>-0.5</c:v>
                </c:pt>
                <c:pt idx="10">
                  <c:v>0.59999999999999432</c:v>
                </c:pt>
                <c:pt idx="11">
                  <c:v>0.70000000000000284</c:v>
                </c:pt>
                <c:pt idx="12">
                  <c:v>0.39999999999999858</c:v>
                </c:pt>
                <c:pt idx="13">
                  <c:v>-0.80000000000000426</c:v>
                </c:pt>
                <c:pt idx="14">
                  <c:v>-1.3999999999999986</c:v>
                </c:pt>
                <c:pt idx="15">
                  <c:v>1.2000000000000028</c:v>
                </c:pt>
                <c:pt idx="16">
                  <c:v>0.20000000000000284</c:v>
                </c:pt>
                <c:pt idx="17">
                  <c:v>1.7000000000000028</c:v>
                </c:pt>
                <c:pt idx="18">
                  <c:v>0.5</c:v>
                </c:pt>
                <c:pt idx="19">
                  <c:v>1.1999999999999957</c:v>
                </c:pt>
                <c:pt idx="20">
                  <c:v>-0.60000000000000142</c:v>
                </c:pt>
                <c:pt idx="21">
                  <c:v>-1.3999999999999986</c:v>
                </c:pt>
                <c:pt idx="22">
                  <c:v>0.60000000000000142</c:v>
                </c:pt>
                <c:pt idx="23">
                  <c:v>-1.3999999999999986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1-4513-AC52-6000B18F2E07}"/>
            </c:ext>
          </c:extLst>
        </c:ser>
        <c:ser>
          <c:idx val="2"/>
          <c:order val="2"/>
          <c:tx>
            <c:strRef>
              <c:f>'Conditions Chart Data'!$AJ$45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Data'!$AK$45:$BH$45</c:f>
              <c:numCache>
                <c:formatCode>0.0_);[Red]\(0.0\)</c:formatCode>
                <c:ptCount val="24"/>
                <c:pt idx="0">
                  <c:v>-0.79999999999999716</c:v>
                </c:pt>
                <c:pt idx="1">
                  <c:v>1</c:v>
                </c:pt>
                <c:pt idx="2">
                  <c:v>0</c:v>
                </c:pt>
                <c:pt idx="3">
                  <c:v>-2.3999999999999986</c:v>
                </c:pt>
                <c:pt idx="4">
                  <c:v>3.5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-0.5</c:v>
                </c:pt>
                <c:pt idx="9">
                  <c:v>-0.5</c:v>
                </c:pt>
                <c:pt idx="10">
                  <c:v>0.10000000000000142</c:v>
                </c:pt>
                <c:pt idx="11">
                  <c:v>-0.30000000000000426</c:v>
                </c:pt>
                <c:pt idx="12">
                  <c:v>-0.29999999999999716</c:v>
                </c:pt>
                <c:pt idx="13">
                  <c:v>2.5</c:v>
                </c:pt>
                <c:pt idx="14">
                  <c:v>1.7999999999999972</c:v>
                </c:pt>
                <c:pt idx="15">
                  <c:v>0.5</c:v>
                </c:pt>
                <c:pt idx="16">
                  <c:v>0.10000000000000142</c:v>
                </c:pt>
                <c:pt idx="17">
                  <c:v>0.79999999999999716</c:v>
                </c:pt>
                <c:pt idx="18">
                  <c:v>-0.39999999999999858</c:v>
                </c:pt>
                <c:pt idx="19">
                  <c:v>0.30000000000000426</c:v>
                </c:pt>
                <c:pt idx="20">
                  <c:v>-1</c:v>
                </c:pt>
                <c:pt idx="21">
                  <c:v>0</c:v>
                </c:pt>
                <c:pt idx="22">
                  <c:v>0.89999999999999858</c:v>
                </c:pt>
                <c:pt idx="23">
                  <c:v>-0.70000000000000284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1-4513-AC52-6000B18F2E07}"/>
            </c:ext>
          </c:extLst>
        </c:ser>
        <c:ser>
          <c:idx val="3"/>
          <c:order val="3"/>
          <c:tx>
            <c:strRef>
              <c:f>'Conditions Chart Data'!$AJ$46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Data'!$AK$46:$BH$46</c:f>
              <c:numCache>
                <c:formatCode>0.0_);[Red]\(0.0\)</c:formatCode>
                <c:ptCount val="24"/>
                <c:pt idx="0">
                  <c:v>-0.70000000000000284</c:v>
                </c:pt>
                <c:pt idx="1">
                  <c:v>0.19999999999999574</c:v>
                </c:pt>
                <c:pt idx="2">
                  <c:v>0.5</c:v>
                </c:pt>
                <c:pt idx="3">
                  <c:v>-0.20000000000000284</c:v>
                </c:pt>
                <c:pt idx="4">
                  <c:v>0.60000000000000142</c:v>
                </c:pt>
                <c:pt idx="5">
                  <c:v>1.1000000000000014</c:v>
                </c:pt>
                <c:pt idx="6">
                  <c:v>0.20000000000000284</c:v>
                </c:pt>
                <c:pt idx="7">
                  <c:v>-0.10000000000000142</c:v>
                </c:pt>
                <c:pt idx="8">
                  <c:v>-0.20000000000000284</c:v>
                </c:pt>
                <c:pt idx="9">
                  <c:v>-0.20000000000000284</c:v>
                </c:pt>
                <c:pt idx="10">
                  <c:v>0.89999999999999858</c:v>
                </c:pt>
                <c:pt idx="11">
                  <c:v>-0.5</c:v>
                </c:pt>
                <c:pt idx="12">
                  <c:v>-0.20000000000000284</c:v>
                </c:pt>
                <c:pt idx="13">
                  <c:v>1.5</c:v>
                </c:pt>
                <c:pt idx="14">
                  <c:v>0</c:v>
                </c:pt>
                <c:pt idx="15">
                  <c:v>0.39999999999999858</c:v>
                </c:pt>
                <c:pt idx="16">
                  <c:v>1.0999999999999943</c:v>
                </c:pt>
                <c:pt idx="17">
                  <c:v>1.1000000000000014</c:v>
                </c:pt>
                <c:pt idx="18">
                  <c:v>0</c:v>
                </c:pt>
                <c:pt idx="19">
                  <c:v>-1</c:v>
                </c:pt>
                <c:pt idx="20">
                  <c:v>0</c:v>
                </c:pt>
                <c:pt idx="21">
                  <c:v>-1.1999999999999957</c:v>
                </c:pt>
                <c:pt idx="22">
                  <c:v>-0.29999999999999716</c:v>
                </c:pt>
                <c:pt idx="23">
                  <c:v>0.40000000000000568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1-4513-AC52-6000B18F2E07}"/>
            </c:ext>
          </c:extLst>
        </c:ser>
        <c:ser>
          <c:idx val="4"/>
          <c:order val="4"/>
          <c:tx>
            <c:strRef>
              <c:f>'Conditions Chart Data'!$AJ$47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Data'!$AK$47:$BH$47</c:f>
              <c:numCache>
                <c:formatCode>0.0_);[Red]\(0.0\)</c:formatCode>
                <c:ptCount val="24"/>
                <c:pt idx="0">
                  <c:v>0.10000000000000142</c:v>
                </c:pt>
                <c:pt idx="1">
                  <c:v>0.20000000000000284</c:v>
                </c:pt>
                <c:pt idx="2">
                  <c:v>0.5</c:v>
                </c:pt>
                <c:pt idx="3">
                  <c:v>0.10000000000000142</c:v>
                </c:pt>
                <c:pt idx="4">
                  <c:v>-0.39999999999999858</c:v>
                </c:pt>
                <c:pt idx="5">
                  <c:v>0.39999999999999858</c:v>
                </c:pt>
                <c:pt idx="6">
                  <c:v>-0.10000000000000142</c:v>
                </c:pt>
                <c:pt idx="7">
                  <c:v>0.40000000000000568</c:v>
                </c:pt>
                <c:pt idx="8">
                  <c:v>0.40000000000000568</c:v>
                </c:pt>
                <c:pt idx="9">
                  <c:v>0.40000000000000568</c:v>
                </c:pt>
                <c:pt idx="10">
                  <c:v>0.70000000000000284</c:v>
                </c:pt>
                <c:pt idx="11">
                  <c:v>-0.39999999999999858</c:v>
                </c:pt>
                <c:pt idx="12">
                  <c:v>0.70000000000000284</c:v>
                </c:pt>
                <c:pt idx="13">
                  <c:v>0.70000000000000284</c:v>
                </c:pt>
                <c:pt idx="14">
                  <c:v>1</c:v>
                </c:pt>
                <c:pt idx="15">
                  <c:v>0</c:v>
                </c:pt>
                <c:pt idx="16">
                  <c:v>-0.29999999999999716</c:v>
                </c:pt>
                <c:pt idx="17">
                  <c:v>-0.60000000000000142</c:v>
                </c:pt>
                <c:pt idx="18">
                  <c:v>-0.20000000000000284</c:v>
                </c:pt>
                <c:pt idx="19">
                  <c:v>-1.5</c:v>
                </c:pt>
                <c:pt idx="20">
                  <c:v>0.5</c:v>
                </c:pt>
                <c:pt idx="21">
                  <c:v>-0.5</c:v>
                </c:pt>
                <c:pt idx="22">
                  <c:v>0.19999999999999574</c:v>
                </c:pt>
                <c:pt idx="23">
                  <c:v>-0.70000000000000284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C1-4513-AC52-6000B18F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824512"/>
        <c:axId val="566220192"/>
      </c:barChart>
      <c:catAx>
        <c:axId val="1102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20192"/>
        <c:crosses val="autoZero"/>
        <c:auto val="1"/>
        <c:lblAlgn val="ctr"/>
        <c:lblOffset val="100"/>
        <c:noMultiLvlLbl val="0"/>
      </c:catAx>
      <c:valAx>
        <c:axId val="5662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'Conditions Chart Data'!$AK$42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Data'!$AK$43:$AK$47</c:f>
              <c:numCache>
                <c:formatCode>0.0_);[Red]\(0.0\)</c:formatCode>
                <c:ptCount val="5"/>
                <c:pt idx="0">
                  <c:v>0.70000000000000284</c:v>
                </c:pt>
                <c:pt idx="1">
                  <c:v>-1.2000000000000028</c:v>
                </c:pt>
                <c:pt idx="2">
                  <c:v>-0.79999999999999716</c:v>
                </c:pt>
                <c:pt idx="3">
                  <c:v>-0.70000000000000284</c:v>
                </c:pt>
                <c:pt idx="4">
                  <c:v>0.10000000000000142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2-4850-A493-B6C273807BAB}"/>
            </c:ext>
          </c:extLst>
        </c:ser>
        <c:ser>
          <c:idx val="1"/>
          <c:order val="1"/>
          <c:tx>
            <c:strRef>
              <c:f>'Conditions Chart Data'!$AL$42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Data'!$AL$43:$AL$47</c:f>
              <c:numCache>
                <c:formatCode>0.0_);[Red]\(0.0\)</c:formatCode>
                <c:ptCount val="5"/>
                <c:pt idx="0">
                  <c:v>-0.79999999999999716</c:v>
                </c:pt>
                <c:pt idx="1">
                  <c:v>-0.5</c:v>
                </c:pt>
                <c:pt idx="2">
                  <c:v>1</c:v>
                </c:pt>
                <c:pt idx="3">
                  <c:v>0.19999999999999574</c:v>
                </c:pt>
                <c:pt idx="4">
                  <c:v>0.20000000000000284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2-4850-A493-B6C273807BAB}"/>
            </c:ext>
          </c:extLst>
        </c:ser>
        <c:ser>
          <c:idx val="2"/>
          <c:order val="2"/>
          <c:tx>
            <c:strRef>
              <c:f>'Conditions Chart Data'!$AM$42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Data'!$AM$43:$AM$47</c:f>
              <c:numCache>
                <c:formatCode>0.0_);[Red]\(0.0\)</c:formatCode>
                <c:ptCount val="5"/>
                <c:pt idx="0">
                  <c:v>-3.2000000000000028</c:v>
                </c:pt>
                <c:pt idx="1">
                  <c:v>0.5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2-4850-A493-B6C273807BAB}"/>
            </c:ext>
          </c:extLst>
        </c:ser>
        <c:ser>
          <c:idx val="3"/>
          <c:order val="3"/>
          <c:tx>
            <c:strRef>
              <c:f>'Conditions Chart Data'!$AN$42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Data'!$AN$43:$AN$47</c:f>
              <c:numCache>
                <c:formatCode>0.0_);[Red]\(0.0\)</c:formatCode>
                <c:ptCount val="5"/>
                <c:pt idx="0">
                  <c:v>-0.30000000000000426</c:v>
                </c:pt>
                <c:pt idx="1">
                  <c:v>-3</c:v>
                </c:pt>
                <c:pt idx="2">
                  <c:v>-2.3999999999999986</c:v>
                </c:pt>
                <c:pt idx="3">
                  <c:v>-0.20000000000000284</c:v>
                </c:pt>
                <c:pt idx="4">
                  <c:v>0.10000000000000142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2-4850-A493-B6C27380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0871471"/>
        <c:axId val="1070329296"/>
      </c:barChart>
      <c:catAx>
        <c:axId val="204087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29296"/>
        <c:crosses val="autoZero"/>
        <c:auto val="1"/>
        <c:lblAlgn val="ctr"/>
        <c:lblOffset val="100"/>
        <c:noMultiLvlLbl val="0"/>
      </c:catAx>
      <c:valAx>
        <c:axId val="10703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 of US Soybean Crop Rated Good or Excellent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66176368716372E-2"/>
          <c:y val="9.4555635091068166E-2"/>
          <c:w val="0.90726764726256726"/>
          <c:h val="0.74530183727034116"/>
        </c:manualLayout>
      </c:layout>
      <c:areaChart>
        <c:grouping val="standard"/>
        <c:varyColors val="0"/>
        <c:ser>
          <c:idx val="1"/>
          <c:order val="1"/>
          <c:tx>
            <c:strRef>
              <c:f>'Conditions Chart Data'!$A$30</c:f>
              <c:strCache>
                <c:ptCount val="1"/>
                <c:pt idx="0">
                  <c:v>Five-Year Range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cat>
            <c:numRef>
              <c:f>'Conditions Chart Data'!$D$1:$W$1</c:f>
              <c:numCache>
                <c:formatCode>d\-mmm</c:formatCode>
                <c:ptCount val="20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</c:numCache>
            </c:numRef>
          </c:cat>
          <c:val>
            <c:numRef>
              <c:f>'Conditions Chart Data'!$D$30:$V$30</c:f>
              <c:numCache>
                <c:formatCode>0</c:formatCode>
                <c:ptCount val="19"/>
                <c:pt idx="0">
                  <c:v>72</c:v>
                </c:pt>
                <c:pt idx="1">
                  <c:v>72</c:v>
                </c:pt>
                <c:pt idx="2">
                  <c:v>70</c:v>
                </c:pt>
                <c:pt idx="3">
                  <c:v>71</c:v>
                </c:pt>
                <c:pt idx="4">
                  <c:v>71</c:v>
                </c:pt>
                <c:pt idx="5">
                  <c:v>68</c:v>
                </c:pt>
                <c:pt idx="6">
                  <c:v>69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72</c:v>
                </c:pt>
                <c:pt idx="11">
                  <c:v>69</c:v>
                </c:pt>
                <c:pt idx="12">
                  <c:v>66</c:v>
                </c:pt>
                <c:pt idx="13">
                  <c:v>65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D-4B05-BD7A-FBFEA5575CA3}"/>
            </c:ext>
          </c:extLst>
        </c:ser>
        <c:ser>
          <c:idx val="2"/>
          <c:order val="2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'Conditions Chart Data'!$D$1:$W$1</c:f>
              <c:numCache>
                <c:formatCode>d\-mmm</c:formatCode>
                <c:ptCount val="20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</c:numCache>
            </c:numRef>
          </c:cat>
          <c:val>
            <c:numRef>
              <c:f>'Conditions Chart Data'!$D$31:$V$31</c:f>
              <c:numCache>
                <c:formatCode>0</c:formatCode>
                <c:ptCount val="19"/>
                <c:pt idx="0">
                  <c:v>59</c:v>
                </c:pt>
                <c:pt idx="1">
                  <c:v>54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55</c:v>
                </c:pt>
                <c:pt idx="6">
                  <c:v>54</c:v>
                </c:pt>
                <c:pt idx="7">
                  <c:v>52</c:v>
                </c:pt>
                <c:pt idx="8">
                  <c:v>54</c:v>
                </c:pt>
                <c:pt idx="9">
                  <c:v>57</c:v>
                </c:pt>
                <c:pt idx="10">
                  <c:v>56</c:v>
                </c:pt>
                <c:pt idx="11">
                  <c:v>56</c:v>
                </c:pt>
                <c:pt idx="12">
                  <c:v>53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52</c:v>
                </c:pt>
                <c:pt idx="17">
                  <c:v>51</c:v>
                </c:pt>
                <c:pt idx="1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D-4B05-BD7A-FBFEA5575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577096"/>
        <c:axId val="978577424"/>
      </c:areaChart>
      <c:lineChart>
        <c:grouping val="standard"/>
        <c:varyColors val="0"/>
        <c:ser>
          <c:idx val="0"/>
          <c:order val="0"/>
          <c:tx>
            <c:strRef>
              <c:f>'Conditions Chart Data'!$A$29</c:f>
              <c:strCache>
                <c:ptCount val="1"/>
                <c:pt idx="0">
                  <c:v>Five-Year Average</c:v>
                </c:pt>
              </c:strCache>
            </c:strRef>
          </c:tx>
          <c:spPr>
            <a:ln w="31750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'Conditions Chart Data'!$D$1:$V$1</c:f>
              <c:numCache>
                <c:formatCode>d\-mmm</c:formatCode>
                <c:ptCount val="19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</c:numCache>
            </c:numRef>
          </c:cat>
          <c:val>
            <c:numRef>
              <c:f>'Conditions Chart Data'!$D$29:$V$29</c:f>
              <c:numCache>
                <c:formatCode>0</c:formatCode>
                <c:ptCount val="19"/>
                <c:pt idx="0">
                  <c:v>67</c:v>
                </c:pt>
                <c:pt idx="1">
                  <c:v>64.8</c:v>
                </c:pt>
                <c:pt idx="2">
                  <c:v>62.6</c:v>
                </c:pt>
                <c:pt idx="3">
                  <c:v>62</c:v>
                </c:pt>
                <c:pt idx="4">
                  <c:v>62.2</c:v>
                </c:pt>
                <c:pt idx="5">
                  <c:v>62.4</c:v>
                </c:pt>
                <c:pt idx="6">
                  <c:v>61.6</c:v>
                </c:pt>
                <c:pt idx="7">
                  <c:v>62.2</c:v>
                </c:pt>
                <c:pt idx="8">
                  <c:v>62.8</c:v>
                </c:pt>
                <c:pt idx="9">
                  <c:v>63.2</c:v>
                </c:pt>
                <c:pt idx="10">
                  <c:v>62.4</c:v>
                </c:pt>
                <c:pt idx="11">
                  <c:v>61.4</c:v>
                </c:pt>
                <c:pt idx="12">
                  <c:v>59.6</c:v>
                </c:pt>
                <c:pt idx="13">
                  <c:v>59</c:v>
                </c:pt>
                <c:pt idx="14">
                  <c:v>58.4</c:v>
                </c:pt>
                <c:pt idx="15">
                  <c:v>58</c:v>
                </c:pt>
                <c:pt idx="16">
                  <c:v>58.6</c:v>
                </c:pt>
                <c:pt idx="17">
                  <c:v>58.8</c:v>
                </c:pt>
                <c:pt idx="18">
                  <c:v>57.333333333333336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D-4B05-BD7A-FBFEA5575CA3}"/>
            </c:ext>
          </c:extLst>
        </c:ser>
        <c:ser>
          <c:idx val="10"/>
          <c:order val="10"/>
          <c:tx>
            <c:v>2023</c:v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50000"/>
                </a:schemeClr>
              </a:solidFill>
              <a:ln w="1587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'Conditions Chart Data'!$D$1:$V$1</c:f>
              <c:numCache>
                <c:formatCode>d\-mmm</c:formatCode>
                <c:ptCount val="19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</c:numCache>
            </c:numRef>
          </c:cat>
          <c:val>
            <c:numRef>
              <c:f>'Conditions Chart Data'!$D$25:$V$25</c:f>
              <c:numCache>
                <c:formatCode>General</c:formatCode>
                <c:ptCount val="19"/>
                <c:pt idx="0">
                  <c:v>59</c:v>
                </c:pt>
                <c:pt idx="1">
                  <c:v>54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55</c:v>
                </c:pt>
                <c:pt idx="6">
                  <c:v>54</c:v>
                </c:pt>
                <c:pt idx="7">
                  <c:v>52</c:v>
                </c:pt>
                <c:pt idx="8">
                  <c:v>54</c:v>
                </c:pt>
                <c:pt idx="9">
                  <c:v>59</c:v>
                </c:pt>
                <c:pt idx="10">
                  <c:v>59</c:v>
                </c:pt>
                <c:pt idx="11">
                  <c:v>58</c:v>
                </c:pt>
                <c:pt idx="12">
                  <c:v>53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52</c:v>
                </c:pt>
                <c:pt idx="17">
                  <c:v>51</c:v>
                </c:pt>
                <c:pt idx="18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3D-4B05-BD7A-FBFEA5575CA3}"/>
            </c:ext>
          </c:extLst>
        </c:ser>
        <c:ser>
          <c:idx val="11"/>
          <c:order val="11"/>
          <c:tx>
            <c:strRef>
              <c:f>'Conditions Chart Data'!$A$26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cat>
            <c:numRef>
              <c:f>'Conditions Chart Data'!$D$1:$V$1</c:f>
              <c:numCache>
                <c:formatCode>d\-mmm</c:formatCode>
                <c:ptCount val="19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</c:numCache>
            </c:numRef>
          </c:cat>
          <c:val>
            <c:numRef>
              <c:f>'Conditions Chart Data'!$D$26:$V$26</c:f>
              <c:numCache>
                <c:formatCode>General</c:formatCode>
                <c:ptCount val="19"/>
                <c:pt idx="0">
                  <c:v>72</c:v>
                </c:pt>
                <c:pt idx="1">
                  <c:v>70</c:v>
                </c:pt>
                <c:pt idx="2">
                  <c:v>67</c:v>
                </c:pt>
                <c:pt idx="3">
                  <c:v>67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67</c:v>
                </c:pt>
                <c:pt idx="12">
                  <c:v>65</c:v>
                </c:pt>
                <c:pt idx="13">
                  <c:v>65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3D-4B05-BD7A-FBFEA5575CA3}"/>
            </c:ext>
          </c:extLst>
        </c:ser>
        <c:ser>
          <c:idx val="12"/>
          <c:order val="12"/>
          <c:tx>
            <c:strRef>
              <c:f>'Conditions Chart Data'!$A$27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'Conditions Chart Data'!$D$27:$V$27</c:f>
              <c:numCache>
                <c:formatCode>General</c:formatCode>
                <c:ptCount val="19"/>
                <c:pt idx="0">
                  <c:v>68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70</c:v>
                </c:pt>
                <c:pt idx="6">
                  <c:v>68</c:v>
                </c:pt>
                <c:pt idx="7">
                  <c:v>70</c:v>
                </c:pt>
                <c:pt idx="8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4-4548-80F5-C7468D9C0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236296"/>
        <c:axId val="854231376"/>
        <c:extLst>
          <c:ext xmlns:c15="http://schemas.microsoft.com/office/drawing/2012/chart" uri="{02D57815-91ED-43cb-92C2-25804820EDAC}">
            <c15:filteredLineSeries>
              <c15:ser>
                <c:idx val="7"/>
                <c:order val="3"/>
                <c:tx>
                  <c:strRef>
                    <c:extLst>
                      <c:ext uri="{02D57815-91ED-43cb-92C2-25804820EDAC}">
                        <c15:formulaRef>
                          <c15:sqref>'Conditions Chart Data'!$A$14</c15:sqref>
                        </c15:formulaRef>
                      </c:ext>
                    </c:extLst>
                    <c:strCache>
                      <c:ptCount val="1"/>
                      <c:pt idx="0">
                        <c:v>2012</c:v>
                      </c:pt>
                    </c:strCache>
                  </c:strRef>
                </c:tx>
                <c:spPr>
                  <a:ln w="158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75000"/>
                      </a:schemeClr>
                    </a:solidFill>
                    <a:ln w="1587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45453</c:v>
                      </c:pt>
                      <c:pt idx="1">
                        <c:v>45460</c:v>
                      </c:pt>
                      <c:pt idx="2">
                        <c:v>45467</c:v>
                      </c:pt>
                      <c:pt idx="3">
                        <c:v>45474</c:v>
                      </c:pt>
                      <c:pt idx="4">
                        <c:v>45481</c:v>
                      </c:pt>
                      <c:pt idx="5">
                        <c:v>45488</c:v>
                      </c:pt>
                      <c:pt idx="6">
                        <c:v>45495</c:v>
                      </c:pt>
                      <c:pt idx="7">
                        <c:v>45502</c:v>
                      </c:pt>
                      <c:pt idx="8">
                        <c:v>45509</c:v>
                      </c:pt>
                      <c:pt idx="9">
                        <c:v>45516</c:v>
                      </c:pt>
                      <c:pt idx="10">
                        <c:v>45523</c:v>
                      </c:pt>
                      <c:pt idx="11">
                        <c:v>45530</c:v>
                      </c:pt>
                      <c:pt idx="12">
                        <c:v>45537</c:v>
                      </c:pt>
                      <c:pt idx="13">
                        <c:v>45544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45565</c:v>
                      </c:pt>
                      <c:pt idx="17">
                        <c:v>45572</c:v>
                      </c:pt>
                      <c:pt idx="18">
                        <c:v>45579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'Conditions Chart Data'!$D$14:$U$14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60</c:v>
                      </c:pt>
                      <c:pt idx="1">
                        <c:v>56</c:v>
                      </c:pt>
                      <c:pt idx="2">
                        <c:v>53</c:v>
                      </c:pt>
                      <c:pt idx="3">
                        <c:v>45</c:v>
                      </c:pt>
                      <c:pt idx="4">
                        <c:v>40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29</c:v>
                      </c:pt>
                      <c:pt idx="8">
                        <c:v>29</c:v>
                      </c:pt>
                      <c:pt idx="9">
                        <c:v>30</c:v>
                      </c:pt>
                      <c:pt idx="10">
                        <c:v>31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33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13D-4B05-BD7A-FBFEA5575CA3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bg2">
                        <a:lumMod val="75000"/>
                      </a:schemeClr>
                    </a:solidFill>
                    <a:ln w="1587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45453</c:v>
                      </c:pt>
                      <c:pt idx="1">
                        <c:v>45460</c:v>
                      </c:pt>
                      <c:pt idx="2">
                        <c:v>45467</c:v>
                      </c:pt>
                      <c:pt idx="3">
                        <c:v>45474</c:v>
                      </c:pt>
                      <c:pt idx="4">
                        <c:v>45481</c:v>
                      </c:pt>
                      <c:pt idx="5">
                        <c:v>45488</c:v>
                      </c:pt>
                      <c:pt idx="6">
                        <c:v>45495</c:v>
                      </c:pt>
                      <c:pt idx="7">
                        <c:v>45502</c:v>
                      </c:pt>
                      <c:pt idx="8">
                        <c:v>45509</c:v>
                      </c:pt>
                      <c:pt idx="9">
                        <c:v>45516</c:v>
                      </c:pt>
                      <c:pt idx="10">
                        <c:v>45523</c:v>
                      </c:pt>
                      <c:pt idx="11">
                        <c:v>45530</c:v>
                      </c:pt>
                      <c:pt idx="12">
                        <c:v>45537</c:v>
                      </c:pt>
                      <c:pt idx="13">
                        <c:v>45544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45565</c:v>
                      </c:pt>
                      <c:pt idx="17">
                        <c:v>45572</c:v>
                      </c:pt>
                      <c:pt idx="18">
                        <c:v>45579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Data'!$C$20:$W$20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75</c:v>
                      </c:pt>
                      <c:pt idx="1">
                        <c:v>74</c:v>
                      </c:pt>
                      <c:pt idx="2">
                        <c:v>73</c:v>
                      </c:pt>
                      <c:pt idx="3">
                        <c:v>73</c:v>
                      </c:pt>
                      <c:pt idx="4">
                        <c:v>71</c:v>
                      </c:pt>
                      <c:pt idx="5">
                        <c:v>71</c:v>
                      </c:pt>
                      <c:pt idx="6">
                        <c:v>69</c:v>
                      </c:pt>
                      <c:pt idx="7">
                        <c:v>70</c:v>
                      </c:pt>
                      <c:pt idx="8">
                        <c:v>70</c:v>
                      </c:pt>
                      <c:pt idx="9">
                        <c:v>67</c:v>
                      </c:pt>
                      <c:pt idx="10">
                        <c:v>66</c:v>
                      </c:pt>
                      <c:pt idx="11">
                        <c:v>65</c:v>
                      </c:pt>
                      <c:pt idx="12">
                        <c:v>66</c:v>
                      </c:pt>
                      <c:pt idx="13">
                        <c:v>66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68</c:v>
                      </c:pt>
                      <c:pt idx="17">
                        <c:v>68</c:v>
                      </c:pt>
                      <c:pt idx="18">
                        <c:v>68</c:v>
                      </c:pt>
                      <c:pt idx="19">
                        <c:v>66</c:v>
                      </c:pt>
                      <c:pt idx="20">
                        <c:v>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3D-4B05-BD7A-FBFEA5575CA3}"/>
                  </c:ext>
                </c:extLst>
              </c15:ser>
            </c15:filteredLineSeries>
            <c15:filteredLine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Data'!$A$19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45453</c:v>
                      </c:pt>
                      <c:pt idx="1">
                        <c:v>45460</c:v>
                      </c:pt>
                      <c:pt idx="2">
                        <c:v>45467</c:v>
                      </c:pt>
                      <c:pt idx="3">
                        <c:v>45474</c:v>
                      </c:pt>
                      <c:pt idx="4">
                        <c:v>45481</c:v>
                      </c:pt>
                      <c:pt idx="5">
                        <c:v>45488</c:v>
                      </c:pt>
                      <c:pt idx="6">
                        <c:v>45495</c:v>
                      </c:pt>
                      <c:pt idx="7">
                        <c:v>45502</c:v>
                      </c:pt>
                      <c:pt idx="8">
                        <c:v>45509</c:v>
                      </c:pt>
                      <c:pt idx="9">
                        <c:v>45516</c:v>
                      </c:pt>
                      <c:pt idx="10">
                        <c:v>45523</c:v>
                      </c:pt>
                      <c:pt idx="11">
                        <c:v>45530</c:v>
                      </c:pt>
                      <c:pt idx="12">
                        <c:v>45537</c:v>
                      </c:pt>
                      <c:pt idx="13">
                        <c:v>45544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45565</c:v>
                      </c:pt>
                      <c:pt idx="17">
                        <c:v>45572</c:v>
                      </c:pt>
                      <c:pt idx="18">
                        <c:v>45579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Data'!$C$19:$W$19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66</c:v>
                      </c:pt>
                      <c:pt idx="2">
                        <c:v>67</c:v>
                      </c:pt>
                      <c:pt idx="3">
                        <c:v>66</c:v>
                      </c:pt>
                      <c:pt idx="4">
                        <c:v>64</c:v>
                      </c:pt>
                      <c:pt idx="5">
                        <c:v>62</c:v>
                      </c:pt>
                      <c:pt idx="6">
                        <c:v>61</c:v>
                      </c:pt>
                      <c:pt idx="7">
                        <c:v>57</c:v>
                      </c:pt>
                      <c:pt idx="8">
                        <c:v>59</c:v>
                      </c:pt>
                      <c:pt idx="9">
                        <c:v>60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61</c:v>
                      </c:pt>
                      <c:pt idx="13">
                        <c:v>61</c:v>
                      </c:pt>
                      <c:pt idx="14">
                        <c:v>60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60</c:v>
                      </c:pt>
                      <c:pt idx="18">
                        <c:v>61</c:v>
                      </c:pt>
                      <c:pt idx="19">
                        <c:v>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13D-4B05-BD7A-FBFEA5575CA3}"/>
                  </c:ext>
                </c:extLst>
              </c15:ser>
            </c15:filteredLineSeries>
            <c15:filteredLine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bg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tx1">
                        <a:lumMod val="95000"/>
                        <a:lumOff val="5000"/>
                      </a:schemeClr>
                    </a:solidFill>
                    <a:ln w="15875">
                      <a:solidFill>
                        <a:schemeClr val="bg2">
                          <a:lumMod val="7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45453</c:v>
                      </c:pt>
                      <c:pt idx="1">
                        <c:v>45460</c:v>
                      </c:pt>
                      <c:pt idx="2">
                        <c:v>45467</c:v>
                      </c:pt>
                      <c:pt idx="3">
                        <c:v>45474</c:v>
                      </c:pt>
                      <c:pt idx="4">
                        <c:v>45481</c:v>
                      </c:pt>
                      <c:pt idx="5">
                        <c:v>45488</c:v>
                      </c:pt>
                      <c:pt idx="6">
                        <c:v>45495</c:v>
                      </c:pt>
                      <c:pt idx="7">
                        <c:v>45502</c:v>
                      </c:pt>
                      <c:pt idx="8">
                        <c:v>45509</c:v>
                      </c:pt>
                      <c:pt idx="9">
                        <c:v>45516</c:v>
                      </c:pt>
                      <c:pt idx="10">
                        <c:v>45523</c:v>
                      </c:pt>
                      <c:pt idx="11">
                        <c:v>45530</c:v>
                      </c:pt>
                      <c:pt idx="12">
                        <c:v>45537</c:v>
                      </c:pt>
                      <c:pt idx="13">
                        <c:v>45544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45565</c:v>
                      </c:pt>
                      <c:pt idx="17">
                        <c:v>45572</c:v>
                      </c:pt>
                      <c:pt idx="18">
                        <c:v>45579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Data'!$C$21:$W$21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3">
                        <c:v>54</c:v>
                      </c:pt>
                      <c:pt idx="4">
                        <c:v>54</c:v>
                      </c:pt>
                      <c:pt idx="5">
                        <c:v>53</c:v>
                      </c:pt>
                      <c:pt idx="6">
                        <c:v>54</c:v>
                      </c:pt>
                      <c:pt idx="7">
                        <c:v>54</c:v>
                      </c:pt>
                      <c:pt idx="8">
                        <c:v>54</c:v>
                      </c:pt>
                      <c:pt idx="9">
                        <c:v>54</c:v>
                      </c:pt>
                      <c:pt idx="10">
                        <c:v>54</c:v>
                      </c:pt>
                      <c:pt idx="11">
                        <c:v>53</c:v>
                      </c:pt>
                      <c:pt idx="12">
                        <c:v>55</c:v>
                      </c:pt>
                      <c:pt idx="13">
                        <c:v>55</c:v>
                      </c:pt>
                      <c:pt idx="14">
                        <c:v>55</c:v>
                      </c:pt>
                      <c:pt idx="15">
                        <c:v>54</c:v>
                      </c:pt>
                      <c:pt idx="16">
                        <c:v>54</c:v>
                      </c:pt>
                      <c:pt idx="17">
                        <c:v>55</c:v>
                      </c:pt>
                      <c:pt idx="18">
                        <c:v>53</c:v>
                      </c:pt>
                      <c:pt idx="19">
                        <c:v>54</c:v>
                      </c:pt>
                      <c:pt idx="20">
                        <c:v>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13D-4B05-BD7A-FBFEA5575CA3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45453</c:v>
                      </c:pt>
                      <c:pt idx="1">
                        <c:v>45460</c:v>
                      </c:pt>
                      <c:pt idx="2">
                        <c:v>45467</c:v>
                      </c:pt>
                      <c:pt idx="3">
                        <c:v>45474</c:v>
                      </c:pt>
                      <c:pt idx="4">
                        <c:v>45481</c:v>
                      </c:pt>
                      <c:pt idx="5">
                        <c:v>45488</c:v>
                      </c:pt>
                      <c:pt idx="6">
                        <c:v>45495</c:v>
                      </c:pt>
                      <c:pt idx="7">
                        <c:v>45502</c:v>
                      </c:pt>
                      <c:pt idx="8">
                        <c:v>45509</c:v>
                      </c:pt>
                      <c:pt idx="9">
                        <c:v>45516</c:v>
                      </c:pt>
                      <c:pt idx="10">
                        <c:v>45523</c:v>
                      </c:pt>
                      <c:pt idx="11">
                        <c:v>45530</c:v>
                      </c:pt>
                      <c:pt idx="12">
                        <c:v>45537</c:v>
                      </c:pt>
                      <c:pt idx="13">
                        <c:v>45544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45565</c:v>
                      </c:pt>
                      <c:pt idx="17">
                        <c:v>45572</c:v>
                      </c:pt>
                      <c:pt idx="18">
                        <c:v>45579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Data'!$D$22:$W$22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72</c:v>
                      </c:pt>
                      <c:pt idx="1">
                        <c:v>72</c:v>
                      </c:pt>
                      <c:pt idx="2">
                        <c:v>70</c:v>
                      </c:pt>
                      <c:pt idx="3">
                        <c:v>71</c:v>
                      </c:pt>
                      <c:pt idx="4">
                        <c:v>71</c:v>
                      </c:pt>
                      <c:pt idx="5">
                        <c:v>68</c:v>
                      </c:pt>
                      <c:pt idx="6">
                        <c:v>69</c:v>
                      </c:pt>
                      <c:pt idx="7">
                        <c:v>72</c:v>
                      </c:pt>
                      <c:pt idx="8">
                        <c:v>73</c:v>
                      </c:pt>
                      <c:pt idx="9">
                        <c:v>74</c:v>
                      </c:pt>
                      <c:pt idx="10">
                        <c:v>72</c:v>
                      </c:pt>
                      <c:pt idx="11">
                        <c:v>69</c:v>
                      </c:pt>
                      <c:pt idx="12">
                        <c:v>66</c:v>
                      </c:pt>
                      <c:pt idx="13">
                        <c:v>65</c:v>
                      </c:pt>
                      <c:pt idx="14">
                        <c:v>63</c:v>
                      </c:pt>
                      <c:pt idx="15">
                        <c:v>63</c:v>
                      </c:pt>
                      <c:pt idx="16">
                        <c:v>64</c:v>
                      </c:pt>
                      <c:pt idx="17">
                        <c:v>64</c:v>
                      </c:pt>
                      <c:pt idx="18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13D-4B05-BD7A-FBFEA5575CA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45453</c:v>
                      </c:pt>
                      <c:pt idx="1">
                        <c:v>45460</c:v>
                      </c:pt>
                      <c:pt idx="2">
                        <c:v>45467</c:v>
                      </c:pt>
                      <c:pt idx="3">
                        <c:v>45474</c:v>
                      </c:pt>
                      <c:pt idx="4">
                        <c:v>45481</c:v>
                      </c:pt>
                      <c:pt idx="5">
                        <c:v>45488</c:v>
                      </c:pt>
                      <c:pt idx="6">
                        <c:v>45495</c:v>
                      </c:pt>
                      <c:pt idx="7">
                        <c:v>45502</c:v>
                      </c:pt>
                      <c:pt idx="8">
                        <c:v>45509</c:v>
                      </c:pt>
                      <c:pt idx="9">
                        <c:v>45516</c:v>
                      </c:pt>
                      <c:pt idx="10">
                        <c:v>45523</c:v>
                      </c:pt>
                      <c:pt idx="11">
                        <c:v>45530</c:v>
                      </c:pt>
                      <c:pt idx="12">
                        <c:v>45537</c:v>
                      </c:pt>
                      <c:pt idx="13">
                        <c:v>45544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45565</c:v>
                      </c:pt>
                      <c:pt idx="17">
                        <c:v>45572</c:v>
                      </c:pt>
                      <c:pt idx="18">
                        <c:v>45579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Data'!$D$23:$W$23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62</c:v>
                      </c:pt>
                      <c:pt idx="1">
                        <c:v>60</c:v>
                      </c:pt>
                      <c:pt idx="2">
                        <c:v>60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60</c:v>
                      </c:pt>
                      <c:pt idx="6">
                        <c:v>58</c:v>
                      </c:pt>
                      <c:pt idx="7">
                        <c:v>60</c:v>
                      </c:pt>
                      <c:pt idx="8">
                        <c:v>60</c:v>
                      </c:pt>
                      <c:pt idx="9">
                        <c:v>57</c:v>
                      </c:pt>
                      <c:pt idx="10">
                        <c:v>56</c:v>
                      </c:pt>
                      <c:pt idx="11">
                        <c:v>56</c:v>
                      </c:pt>
                      <c:pt idx="12">
                        <c:v>57</c:v>
                      </c:pt>
                      <c:pt idx="13">
                        <c:v>57</c:v>
                      </c:pt>
                      <c:pt idx="14">
                        <c:v>58</c:v>
                      </c:pt>
                      <c:pt idx="15">
                        <c:v>58</c:v>
                      </c:pt>
                      <c:pt idx="16">
                        <c:v>58</c:v>
                      </c:pt>
                      <c:pt idx="17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13D-4B05-BD7A-FBFEA5575CA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2022</c:v>
                </c:tx>
                <c:spPr>
                  <a:ln w="2222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6F079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45453</c:v>
                      </c:pt>
                      <c:pt idx="1">
                        <c:v>45460</c:v>
                      </c:pt>
                      <c:pt idx="2">
                        <c:v>45467</c:v>
                      </c:pt>
                      <c:pt idx="3">
                        <c:v>45474</c:v>
                      </c:pt>
                      <c:pt idx="4">
                        <c:v>45481</c:v>
                      </c:pt>
                      <c:pt idx="5">
                        <c:v>45488</c:v>
                      </c:pt>
                      <c:pt idx="6">
                        <c:v>45495</c:v>
                      </c:pt>
                      <c:pt idx="7">
                        <c:v>45502</c:v>
                      </c:pt>
                      <c:pt idx="8">
                        <c:v>45509</c:v>
                      </c:pt>
                      <c:pt idx="9">
                        <c:v>45516</c:v>
                      </c:pt>
                      <c:pt idx="10">
                        <c:v>45523</c:v>
                      </c:pt>
                      <c:pt idx="11">
                        <c:v>45530</c:v>
                      </c:pt>
                      <c:pt idx="12">
                        <c:v>45537</c:v>
                      </c:pt>
                      <c:pt idx="13">
                        <c:v>45544</c:v>
                      </c:pt>
                      <c:pt idx="14">
                        <c:v>45551</c:v>
                      </c:pt>
                      <c:pt idx="15">
                        <c:v>45558</c:v>
                      </c:pt>
                      <c:pt idx="16">
                        <c:v>45565</c:v>
                      </c:pt>
                      <c:pt idx="17">
                        <c:v>45572</c:v>
                      </c:pt>
                      <c:pt idx="18">
                        <c:v>45579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Data'!$D$24:$W$24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70</c:v>
                      </c:pt>
                      <c:pt idx="1">
                        <c:v>68</c:v>
                      </c:pt>
                      <c:pt idx="2">
                        <c:v>65</c:v>
                      </c:pt>
                      <c:pt idx="3">
                        <c:v>63</c:v>
                      </c:pt>
                      <c:pt idx="4">
                        <c:v>62</c:v>
                      </c:pt>
                      <c:pt idx="5">
                        <c:v>61</c:v>
                      </c:pt>
                      <c:pt idx="6">
                        <c:v>59</c:v>
                      </c:pt>
                      <c:pt idx="7">
                        <c:v>60</c:v>
                      </c:pt>
                      <c:pt idx="8">
                        <c:v>59</c:v>
                      </c:pt>
                      <c:pt idx="9">
                        <c:v>58</c:v>
                      </c:pt>
                      <c:pt idx="10">
                        <c:v>57</c:v>
                      </c:pt>
                      <c:pt idx="11">
                        <c:v>57</c:v>
                      </c:pt>
                      <c:pt idx="12">
                        <c:v>57</c:v>
                      </c:pt>
                      <c:pt idx="13">
                        <c:v>56</c:v>
                      </c:pt>
                      <c:pt idx="14">
                        <c:v>55</c:v>
                      </c:pt>
                      <c:pt idx="15">
                        <c:v>55</c:v>
                      </c:pt>
                      <c:pt idx="16">
                        <c:v>55</c:v>
                      </c:pt>
                      <c:pt idx="17">
                        <c:v>57</c:v>
                      </c:pt>
                      <c:pt idx="18">
                        <c:v>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3D-4B05-BD7A-FBFEA5575CA3}"/>
                  </c:ext>
                </c:extLst>
              </c15:ser>
            </c15:filteredLineSeries>
          </c:ext>
        </c:extLst>
      </c:lineChart>
      <c:dateAx>
        <c:axId val="978577096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8577424"/>
        <c:crosses val="autoZero"/>
        <c:auto val="1"/>
        <c:lblOffset val="100"/>
        <c:baseTimeUnit val="days"/>
      </c:dateAx>
      <c:valAx>
        <c:axId val="97857742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8577096"/>
        <c:crossesAt val="44353"/>
        <c:crossBetween val="midCat"/>
      </c:valAx>
      <c:valAx>
        <c:axId val="854231376"/>
        <c:scaling>
          <c:orientation val="minMax"/>
          <c:max val="80"/>
          <c:min val="4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4236296"/>
        <c:crosses val="max"/>
        <c:crossBetween val="between"/>
      </c:valAx>
      <c:dateAx>
        <c:axId val="8542362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854231376"/>
        <c:crosses val="autoZero"/>
        <c:auto val="1"/>
        <c:lblOffset val="100"/>
        <c:baseTimeUnit val="days"/>
      </c:dateAx>
      <c:spPr>
        <a:noFill/>
        <a:ln w="15875">
          <a:solidFill>
            <a:srgbClr val="8C8C8C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845211224223853"/>
          <c:y val="0.7547530717952291"/>
          <c:w val="0.60288118950025926"/>
          <c:h val="4.287199498292801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Soybean Yield Forecast Change </a:t>
            </a:r>
          </a:p>
          <a:p>
            <a:pPr>
              <a:defRPr sz="2400"/>
            </a:pPr>
            <a:r>
              <a:rPr lang="en-US" sz="2400"/>
              <a:t>July -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738005261344702E-2"/>
          <c:y val="0.18194453151785733"/>
          <c:w val="0.87044934243726479"/>
          <c:h val="0.683024355523938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Data'!$AL$1</c:f>
              <c:strCache>
                <c:ptCount val="1"/>
                <c:pt idx="0">
                  <c:v>Yield Change July - August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B0-4F5A-85FE-5553306ADBF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B0-4F5A-85FE-5553306ADBF9}"/>
              </c:ext>
            </c:extLst>
          </c:dPt>
          <c:dPt>
            <c:idx val="25"/>
            <c:invertIfNegative val="0"/>
            <c:bubble3D val="0"/>
            <c:spPr>
              <a:pattFill prst="pct30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940-4FA9-A598-9175379020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268CC63-7E34-48E7-9A6D-0450E1EFEF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BBD-4131-99C8-968056F3B4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C11133-68BA-4A4F-9819-A4B80B6CF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BBD-4131-99C8-968056F3B4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57AC34B-B443-4C94-973F-C485A09A8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BBD-4131-99C8-968056F3B4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996F3D-AD68-4951-8A9A-04800C98D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BBD-4131-99C8-968056F3B4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3AB3A6D-518B-43A2-854E-B3E84E42E9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BBD-4131-99C8-968056F3B4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4FB1563-05B4-4BBB-9216-DB9458F0FA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BBD-4131-99C8-968056F3B4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FC909EB-D37B-4A1A-B880-B6685A3893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BBD-4131-99C8-968056F3B43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EABB23-8568-4399-A393-1F2E29384F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BBD-4131-99C8-968056F3B43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12283EF-FEFA-433F-83DF-14ADB58DBD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BBD-4131-99C8-968056F3B4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0AF61F-4E68-4135-AAAB-B6B914246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BBD-4131-99C8-968056F3B4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BFCD90C-270F-41FE-A1F2-2A61EDA8F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BBD-4131-99C8-968056F3B43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D871334-5CA3-47F4-9E2A-5C74CFA90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BBD-4131-99C8-968056F3B43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E799537-82CF-4124-92EB-4549F24CDB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BBD-4131-99C8-968056F3B43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39D1E14-3C35-4A2D-BA9F-F88A743A0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BBD-4131-99C8-968056F3B43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41FB0D5-9933-4FFD-80BF-90D6B91910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BBD-4131-99C8-968056F3B43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6C43FF9-889D-4903-96E3-ECD59F9064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BBD-4131-99C8-968056F3B43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F92DEEC-3A3B-4AA0-A334-6FBF68029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BBD-4131-99C8-968056F3B43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12B2EFE-944D-44F1-93D8-6C5F73107B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BBD-4131-99C8-968056F3B43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50B593A-CDA4-41D5-BE24-4E691A2001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BBD-4131-99C8-968056F3B43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94453D2-AC95-4526-9094-F8D8CA53DF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BBD-4131-99C8-968056F3B43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7E74EF4-5E52-4905-8CFC-47625B80D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BBD-4131-99C8-968056F3B43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DDEA5B5-0CEF-4040-A901-0DB712374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8B0-4F5A-85FE-5553306ADBF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5D320B1-03D1-4D08-B5D3-340FD2A8A0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8B0-4F5A-85FE-5553306ADBF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A1F9565-ACD4-4CB6-A104-4561938230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BBD-4131-99C8-968056F3B43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5C86DD2-BB0F-476C-9799-BBEE0C3E4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BBD-4131-99C8-968056F3B43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7AF24A6-C832-4A7B-9094-0E82CF2407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40-4FA9-A598-91753790209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'Conditions Chart Data'!$A$2:$A$27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'Conditions Chart Data'!$AL$2:$AL$27</c:f>
              <c:numCache>
                <c:formatCode>#,##0.0_);[Red]\(#,##0.0\)</c:formatCode>
                <c:ptCount val="26"/>
                <c:pt idx="0">
                  <c:v>0.70000000000000284</c:v>
                </c:pt>
                <c:pt idx="1">
                  <c:v>-0.79999999999999716</c:v>
                </c:pt>
                <c:pt idx="2">
                  <c:v>-3.2000000000000028</c:v>
                </c:pt>
                <c:pt idx="3">
                  <c:v>-0.30000000000000426</c:v>
                </c:pt>
                <c:pt idx="4">
                  <c:v>-0.79999999999999716</c:v>
                </c:pt>
                <c:pt idx="5">
                  <c:v>-1.1999999999999957</c:v>
                </c:pt>
                <c:pt idx="6">
                  <c:v>-1.1000000000000014</c:v>
                </c:pt>
                <c:pt idx="7">
                  <c:v>0</c:v>
                </c:pt>
                <c:pt idx="8">
                  <c:v>-1.1000000000000014</c:v>
                </c:pt>
                <c:pt idx="9">
                  <c:v>-0.89999999999999858</c:v>
                </c:pt>
                <c:pt idx="10">
                  <c:v>1.1000000000000014</c:v>
                </c:pt>
                <c:pt idx="11">
                  <c:v>-2</c:v>
                </c:pt>
                <c:pt idx="12">
                  <c:v>-4.3999999999999986</c:v>
                </c:pt>
                <c:pt idx="13">
                  <c:v>-1.8999999999999986</c:v>
                </c:pt>
                <c:pt idx="14">
                  <c:v>0.19999999999999574</c:v>
                </c:pt>
                <c:pt idx="15">
                  <c:v>0.89999999999999858</c:v>
                </c:pt>
                <c:pt idx="16">
                  <c:v>2.1999999999999957</c:v>
                </c:pt>
                <c:pt idx="17">
                  <c:v>1.3999999999999986</c:v>
                </c:pt>
                <c:pt idx="18">
                  <c:v>3.1000000000000014</c:v>
                </c:pt>
                <c:pt idx="19">
                  <c:v>0</c:v>
                </c:pt>
                <c:pt idx="20">
                  <c:v>3.5</c:v>
                </c:pt>
                <c:pt idx="21">
                  <c:v>-0.79999999999999716</c:v>
                </c:pt>
                <c:pt idx="22">
                  <c:v>0.39999999999999858</c:v>
                </c:pt>
                <c:pt idx="23">
                  <c:v>-1.1000000000000014</c:v>
                </c:pt>
                <c:pt idx="24">
                  <c:v>1.2000000000000028</c:v>
                </c:pt>
                <c:pt idx="25">
                  <c:v>0.72824174630755878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'Conditions Chart Data'!$AM$2:$AM$27</c15:f>
                <c15:dlblRangeCache>
                  <c:ptCount val="26"/>
                  <c:pt idx="0">
                    <c:v>-1%</c:v>
                  </c:pt>
                  <c:pt idx="1">
                    <c:v>-3%</c:v>
                  </c:pt>
                  <c:pt idx="2">
                    <c:v>-13%</c:v>
                  </c:pt>
                  <c:pt idx="3">
                    <c:v>-7%</c:v>
                  </c:pt>
                  <c:pt idx="4">
                    <c:v>4%</c:v>
                  </c:pt>
                  <c:pt idx="5">
                    <c:v>-7%</c:v>
                  </c:pt>
                  <c:pt idx="6">
                    <c:v>-11%</c:v>
                  </c:pt>
                  <c:pt idx="7">
                    <c:v>-12%</c:v>
                  </c:pt>
                  <c:pt idx="8">
                    <c:v>5%</c:v>
                  </c:pt>
                  <c:pt idx="9">
                    <c:v>-1%</c:v>
                  </c:pt>
                  <c:pt idx="10">
                    <c:v>0%</c:v>
                  </c:pt>
                  <c:pt idx="11">
                    <c:v>-5%</c:v>
                  </c:pt>
                  <c:pt idx="12">
                    <c:v>-16%</c:v>
                  </c:pt>
                  <c:pt idx="13">
                    <c:v>-2%</c:v>
                  </c:pt>
                  <c:pt idx="14">
                    <c:v>-1%</c:v>
                  </c:pt>
                  <c:pt idx="15">
                    <c:v>0%</c:v>
                  </c:pt>
                  <c:pt idx="16">
                    <c:v>2%</c:v>
                  </c:pt>
                  <c:pt idx="17">
                    <c:v>-4%</c:v>
                  </c:pt>
                  <c:pt idx="18">
                    <c:v>-4%</c:v>
                  </c:pt>
                  <c:pt idx="19">
                    <c:v>0%</c:v>
                  </c:pt>
                  <c:pt idx="20">
                    <c:v>2%</c:v>
                  </c:pt>
                  <c:pt idx="21">
                    <c:v>1%</c:v>
                  </c:pt>
                  <c:pt idx="22">
                    <c:v>-4%</c:v>
                  </c:pt>
                  <c:pt idx="23">
                    <c:v>4%</c:v>
                  </c:pt>
                  <c:pt idx="24">
                    <c:v>1%</c:v>
                  </c:pt>
                  <c:pt idx="25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48B0-4F5A-85FE-5553306AD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tickMarkSkip val="1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Soybean Yield Forecast Change </a:t>
            </a:r>
          </a:p>
          <a:p>
            <a:pPr>
              <a:defRPr sz="2400"/>
            </a:pPr>
            <a:r>
              <a:rPr lang="en-US" sz="2400"/>
              <a:t>August - 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70901305629911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Data'!$AN$1</c:f>
              <c:strCache>
                <c:ptCount val="1"/>
                <c:pt idx="0">
                  <c:v>Yield Change August - September</c:v>
                </c:pt>
              </c:strCache>
            </c:strRef>
          </c:tx>
          <c:spPr>
            <a:solidFill>
              <a:srgbClr val="8C8C8C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B-4120-9AB9-1B5A480CAC48}"/>
              </c:ext>
            </c:extLst>
          </c:dPt>
          <c:dPt>
            <c:idx val="21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FB-4120-9AB9-1B5A480CAC48}"/>
              </c:ext>
            </c:extLst>
          </c:dPt>
          <c:dPt>
            <c:idx val="22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FB-4120-9AB9-1B5A480CAC48}"/>
              </c:ext>
            </c:extLst>
          </c:dPt>
          <c:dPt>
            <c:idx val="23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FB-4120-9AB9-1B5A480CAC48}"/>
              </c:ext>
            </c:extLst>
          </c:dPt>
          <c:dPt>
            <c:idx val="24"/>
            <c:invertIfNegative val="0"/>
            <c:bubble3D val="0"/>
            <c:spPr>
              <a:solidFill>
                <a:srgbClr val="6F0791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FB-4120-9AB9-1B5A480CAC48}"/>
              </c:ext>
            </c:extLst>
          </c:dPt>
          <c:cat>
            <c:numRef>
              <c:f>'Conditions Chart Data'!$A$2:$A$26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'Conditions Chart Data'!$AN$2:$AN$26</c:f>
              <c:numCache>
                <c:formatCode>#,##0.0_);[Red]\(#,##0.0\)</c:formatCode>
                <c:ptCount val="25"/>
                <c:pt idx="0">
                  <c:v>-1.2000000000000028</c:v>
                </c:pt>
                <c:pt idx="1">
                  <c:v>-0.5</c:v>
                </c:pt>
                <c:pt idx="2">
                  <c:v>0.5</c:v>
                </c:pt>
                <c:pt idx="3">
                  <c:v>-3</c:v>
                </c:pt>
                <c:pt idx="4">
                  <c:v>-0.60000000000000142</c:v>
                </c:pt>
                <c:pt idx="5">
                  <c:v>0.89999999999999858</c:v>
                </c:pt>
                <c:pt idx="6">
                  <c:v>2.1999999999999957</c:v>
                </c:pt>
                <c:pt idx="7">
                  <c:v>-0.10000000000000142</c:v>
                </c:pt>
                <c:pt idx="8">
                  <c:v>-0.5</c:v>
                </c:pt>
                <c:pt idx="9">
                  <c:v>0.59999999999999432</c:v>
                </c:pt>
                <c:pt idx="10">
                  <c:v>0.70000000000000284</c:v>
                </c:pt>
                <c:pt idx="11">
                  <c:v>0.39999999999999858</c:v>
                </c:pt>
                <c:pt idx="12">
                  <c:v>-0.80000000000000426</c:v>
                </c:pt>
                <c:pt idx="13">
                  <c:v>-1.3999999999999986</c:v>
                </c:pt>
                <c:pt idx="14">
                  <c:v>1.2000000000000028</c:v>
                </c:pt>
                <c:pt idx="15">
                  <c:v>0.20000000000000284</c:v>
                </c:pt>
                <c:pt idx="16">
                  <c:v>1.7000000000000028</c:v>
                </c:pt>
                <c:pt idx="17">
                  <c:v>0.5</c:v>
                </c:pt>
                <c:pt idx="18">
                  <c:v>1.1999999999999957</c:v>
                </c:pt>
                <c:pt idx="19">
                  <c:v>-0.60000000000000142</c:v>
                </c:pt>
                <c:pt idx="20">
                  <c:v>-1.3999999999999986</c:v>
                </c:pt>
                <c:pt idx="21">
                  <c:v>0.60000000000000142</c:v>
                </c:pt>
                <c:pt idx="22">
                  <c:v>-1.3999999999999986</c:v>
                </c:pt>
                <c:pt idx="23">
                  <c:v>-0.79999999999999716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FB-4120-9AB9-1B5A480C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Soybean Yield Forecast Change </a:t>
            </a:r>
          </a:p>
          <a:p>
            <a:pPr>
              <a:defRPr sz="2400"/>
            </a:pPr>
            <a:r>
              <a:rPr lang="en-US" sz="2400"/>
              <a:t>September - October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5595583074267971"/>
          <c:w val="0.89453311096759647"/>
          <c:h val="0.720826102106014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Data'!$AP$1</c:f>
              <c:strCache>
                <c:ptCount val="1"/>
                <c:pt idx="0">
                  <c:v>Yield Change September - October</c:v>
                </c:pt>
              </c:strCache>
            </c:strRef>
          </c:tx>
          <c:spPr>
            <a:solidFill>
              <a:srgbClr val="8C8C8C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88-4C2F-84F9-B2BCCD686D56}"/>
              </c:ext>
            </c:extLst>
          </c:dPt>
          <c:dPt>
            <c:idx val="21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88-4C2F-84F9-B2BCCD686D56}"/>
              </c:ext>
            </c:extLst>
          </c:dPt>
          <c:dPt>
            <c:idx val="23"/>
            <c:invertIfNegative val="0"/>
            <c:bubble3D val="0"/>
            <c:spPr>
              <a:solidFill>
                <a:srgbClr val="6F0791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88-4C2F-84F9-B2BCCD686D56}"/>
              </c:ext>
            </c:extLst>
          </c:dPt>
          <c:cat>
            <c:numRef>
              <c:f>'Conditions Chart Data'!$A$2:$A$25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Data'!$AP$2:$AP$25</c:f>
              <c:numCache>
                <c:formatCode>#,##0.0_);[Red]\(#,##0.0\)</c:formatCode>
                <c:ptCount val="24"/>
                <c:pt idx="0">
                  <c:v>-0.79999999999999716</c:v>
                </c:pt>
                <c:pt idx="1">
                  <c:v>1</c:v>
                </c:pt>
                <c:pt idx="2">
                  <c:v>0</c:v>
                </c:pt>
                <c:pt idx="3">
                  <c:v>-2.3999999999999986</c:v>
                </c:pt>
                <c:pt idx="4">
                  <c:v>3.5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-0.5</c:v>
                </c:pt>
                <c:pt idx="9">
                  <c:v>0.10000000000000142</c:v>
                </c:pt>
                <c:pt idx="10">
                  <c:v>-0.30000000000000426</c:v>
                </c:pt>
                <c:pt idx="11">
                  <c:v>-0.29999999999999716</c:v>
                </c:pt>
                <c:pt idx="12">
                  <c:v>2.5</c:v>
                </c:pt>
                <c:pt idx="13">
                  <c:v>1.7999999999999972</c:v>
                </c:pt>
                <c:pt idx="14">
                  <c:v>0.5</c:v>
                </c:pt>
                <c:pt idx="15">
                  <c:v>0.10000000000000142</c:v>
                </c:pt>
                <c:pt idx="16">
                  <c:v>0.79999999999999716</c:v>
                </c:pt>
                <c:pt idx="17">
                  <c:v>-0.39999999999999858</c:v>
                </c:pt>
                <c:pt idx="18">
                  <c:v>0.30000000000000426</c:v>
                </c:pt>
                <c:pt idx="19">
                  <c:v>-1</c:v>
                </c:pt>
                <c:pt idx="20">
                  <c:v>0</c:v>
                </c:pt>
                <c:pt idx="21">
                  <c:v>0.89999999999999858</c:v>
                </c:pt>
                <c:pt idx="22">
                  <c:v>-0.70000000000000284</c:v>
                </c:pt>
                <c:pt idx="23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8-4C2F-84F9-B2BCCD686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USDA U.S. Soybean Yield Forecast Change </a:t>
            </a:r>
          </a:p>
          <a:p>
            <a:pPr>
              <a:defRPr sz="2400">
                <a:solidFill>
                  <a:schemeClr val="accent6">
                    <a:lumMod val="60000"/>
                    <a:lumOff val="40000"/>
                  </a:schemeClr>
                </a:solidFill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October to November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6">
                  <a:lumMod val="60000"/>
                  <a:lumOff val="4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6924938099551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Data'!$AR$1</c:f>
              <c:strCache>
                <c:ptCount val="1"/>
                <c:pt idx="0">
                  <c:v>Yield Change October - November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CE-4BBC-8B01-153CF5679C5B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CE-4BBC-8B01-153CF5679C5B}"/>
              </c:ext>
            </c:extLst>
          </c:dPt>
          <c:dPt>
            <c:idx val="23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CE-4BBC-8B01-153CF5679C5B}"/>
              </c:ext>
            </c:extLst>
          </c:dPt>
          <c:cat>
            <c:numRef>
              <c:f>'Conditions Chart Data'!$A$2:$A$25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Data'!$AR$2:$AR$25</c:f>
              <c:numCache>
                <c:formatCode>#,##0.0_);[Red]\(#,##0.0\)</c:formatCode>
                <c:ptCount val="24"/>
                <c:pt idx="0">
                  <c:v>-0.70000000000000284</c:v>
                </c:pt>
                <c:pt idx="1">
                  <c:v>0.19999999999999574</c:v>
                </c:pt>
                <c:pt idx="2">
                  <c:v>0.5</c:v>
                </c:pt>
                <c:pt idx="3">
                  <c:v>-0.20000000000000284</c:v>
                </c:pt>
                <c:pt idx="4">
                  <c:v>0.60000000000000142</c:v>
                </c:pt>
                <c:pt idx="5">
                  <c:v>1.1000000000000014</c:v>
                </c:pt>
                <c:pt idx="6">
                  <c:v>0.20000000000000284</c:v>
                </c:pt>
                <c:pt idx="7">
                  <c:v>-0.10000000000000142</c:v>
                </c:pt>
                <c:pt idx="8">
                  <c:v>-0.20000000000000284</c:v>
                </c:pt>
                <c:pt idx="9">
                  <c:v>0.89999999999999858</c:v>
                </c:pt>
                <c:pt idx="10">
                  <c:v>-0.5</c:v>
                </c:pt>
                <c:pt idx="11">
                  <c:v>-0.20000000000000284</c:v>
                </c:pt>
                <c:pt idx="12">
                  <c:v>1.5</c:v>
                </c:pt>
                <c:pt idx="13">
                  <c:v>0</c:v>
                </c:pt>
                <c:pt idx="14">
                  <c:v>0.39999999999999858</c:v>
                </c:pt>
                <c:pt idx="15">
                  <c:v>1.0999999999999943</c:v>
                </c:pt>
                <c:pt idx="16">
                  <c:v>1.1000000000000014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-1.1999999999999957</c:v>
                </c:pt>
                <c:pt idx="21">
                  <c:v>-0.29999999999999716</c:v>
                </c:pt>
                <c:pt idx="22">
                  <c:v>0.40000000000000568</c:v>
                </c:pt>
                <c:pt idx="23">
                  <c:v>0.29999999999999716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CE-4BBC-8B01-153CF567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chemeClr val="tx1"/>
                </a:solidFill>
              </a:rPr>
              <a:t>USDA U.S. Soybean Yield Change </a:t>
            </a:r>
          </a:p>
          <a:p>
            <a:pPr>
              <a:defRPr sz="2400">
                <a:solidFill>
                  <a:schemeClr val="tx1"/>
                </a:solidFill>
              </a:defRPr>
            </a:pPr>
            <a:r>
              <a:rPr lang="en-US" sz="2400">
                <a:solidFill>
                  <a:schemeClr val="tx1"/>
                </a:solidFill>
              </a:rPr>
              <a:t>November to January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67829913720117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Data'!$AX$1</c:f>
              <c:strCache>
                <c:ptCount val="1"/>
                <c:pt idx="0">
                  <c:v>Yield Change November - Final</c:v>
                </c:pt>
              </c:strCache>
            </c:strRef>
          </c:tx>
          <c:spPr>
            <a:solidFill>
              <a:srgbClr val="ECECEC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DC-489A-B331-53C4A5DEB947}"/>
              </c:ext>
            </c:extLst>
          </c:dPt>
          <c:dPt>
            <c:idx val="21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DC-489A-B331-53C4A5DEB947}"/>
              </c:ext>
            </c:extLst>
          </c:dPt>
          <c:dPt>
            <c:idx val="22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DC-489A-B331-53C4A5DEB947}"/>
              </c:ext>
            </c:extLst>
          </c:dPt>
          <c:dLbls>
            <c:dLbl>
              <c:idx val="0"/>
              <c:layout>
                <c:manualLayout>
                  <c:x val="-1.2264740438600067E-17"/>
                  <c:y val="-1.34940329236097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DC-489A-B331-53C4A5DEB947}"/>
                </c:ext>
              </c:extLst>
            </c:dLbl>
            <c:dLbl>
              <c:idx val="1"/>
              <c:layout>
                <c:manualLayout>
                  <c:x val="0"/>
                  <c:y val="5.097803647831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DC-489A-B331-53C4A5DEB947}"/>
                </c:ext>
              </c:extLst>
            </c:dLbl>
            <c:dLbl>
              <c:idx val="3"/>
              <c:layout>
                <c:manualLayout>
                  <c:x val="0"/>
                  <c:y val="-8.76881460085020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DC-489A-B331-53C4A5DEB947}"/>
                </c:ext>
              </c:extLst>
            </c:dLbl>
            <c:dLbl>
              <c:idx val="6"/>
              <c:layout>
                <c:manualLayout>
                  <c:x val="-4.9058961754400268E-17"/>
                  <c:y val="-1.58564560527721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DC-489A-B331-53C4A5DEB947}"/>
                </c:ext>
              </c:extLst>
            </c:dLbl>
            <c:dLbl>
              <c:idx val="15"/>
              <c:layout>
                <c:manualLayout>
                  <c:x val="0"/>
                  <c:y val="6.52279183013473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1DC-489A-B331-53C4A5DEB947}"/>
                </c:ext>
              </c:extLst>
            </c:dLbl>
            <c:dLbl>
              <c:idx val="17"/>
              <c:layout>
                <c:manualLayout>
                  <c:x val="-9.8117923508800536E-17"/>
                  <c:y val="-5.724397362584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1DC-489A-B331-53C4A5DEB947}"/>
                </c:ext>
              </c:extLst>
            </c:dLbl>
            <c:dLbl>
              <c:idx val="21"/>
              <c:layout>
                <c:manualLayout>
                  <c:x val="1.3379871405737897E-3"/>
                  <c:y val="4.861542731693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DC-489A-B331-53C4A5DEB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'Conditions Chart Data'!$A$2:$A$26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'Conditions Chart Data'!$AX$2:$AX$26</c:f>
              <c:numCache>
                <c:formatCode>0.0_);[Red]\(0.0\)</c:formatCode>
                <c:ptCount val="25"/>
                <c:pt idx="0">
                  <c:v>0.10000000000000142</c:v>
                </c:pt>
                <c:pt idx="1">
                  <c:v>0.20000000000000284</c:v>
                </c:pt>
                <c:pt idx="2">
                  <c:v>0.5</c:v>
                </c:pt>
                <c:pt idx="3">
                  <c:v>0.10000000000000142</c:v>
                </c:pt>
                <c:pt idx="4">
                  <c:v>-0.39999999999999858</c:v>
                </c:pt>
                <c:pt idx="5">
                  <c:v>0.39999999999999858</c:v>
                </c:pt>
                <c:pt idx="6">
                  <c:v>-0.10000000000000142</c:v>
                </c:pt>
                <c:pt idx="7">
                  <c:v>0.40000000000000568</c:v>
                </c:pt>
                <c:pt idx="8">
                  <c:v>0.40000000000000568</c:v>
                </c:pt>
                <c:pt idx="9">
                  <c:v>0.70000000000000284</c:v>
                </c:pt>
                <c:pt idx="10">
                  <c:v>-0.39999999999999858</c:v>
                </c:pt>
                <c:pt idx="11">
                  <c:v>0.70000000000000284</c:v>
                </c:pt>
                <c:pt idx="12">
                  <c:v>0.70000000000000284</c:v>
                </c:pt>
                <c:pt idx="13">
                  <c:v>1</c:v>
                </c:pt>
                <c:pt idx="14">
                  <c:v>0</c:v>
                </c:pt>
                <c:pt idx="15">
                  <c:v>-0.29999999999999716</c:v>
                </c:pt>
                <c:pt idx="16">
                  <c:v>-0.60000000000000142</c:v>
                </c:pt>
                <c:pt idx="17">
                  <c:v>-0.20000000000000284</c:v>
                </c:pt>
                <c:pt idx="18">
                  <c:v>-1.5</c:v>
                </c:pt>
                <c:pt idx="19">
                  <c:v>0.5</c:v>
                </c:pt>
                <c:pt idx="20">
                  <c:v>-0.5</c:v>
                </c:pt>
                <c:pt idx="21">
                  <c:v>0.19999999999999574</c:v>
                </c:pt>
                <c:pt idx="22">
                  <c:v>-0.70000000000000284</c:v>
                </c:pt>
                <c:pt idx="23">
                  <c:v>0.70000000000000284</c:v>
                </c:pt>
                <c:pt idx="2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DC-489A-B331-53C4A5DEB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/>
                  <a:t>(bushels</a:t>
                </a:r>
                <a:r>
                  <a:rPr lang="en-US" sz="1050" baseline="0"/>
                  <a:t> per acre)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 b="1">
                <a:solidFill>
                  <a:sysClr val="windowText" lastClr="000000"/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U.S. Soybean Planting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8275576888432E-2"/>
          <c:y val="0.14488822183856834"/>
          <c:w val="0.90579200937223114"/>
          <c:h val="0.6707353702294766"/>
        </c:manualLayout>
      </c:layout>
      <c:areaChart>
        <c:grouping val="standard"/>
        <c:varyColors val="0"/>
        <c:ser>
          <c:idx val="6"/>
          <c:order val="8"/>
          <c:tx>
            <c:v>5-Year Range</c:v>
          </c:tx>
          <c:spPr>
            <a:solidFill>
              <a:schemeClr val="bg2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Chart Data'!$B$1:$N$1</c:f>
              <c:numCache>
                <c:formatCode>m/d/yyyy</c:formatCode>
                <c:ptCount val="13"/>
                <c:pt idx="0">
                  <c:v>45396</c:v>
                </c:pt>
                <c:pt idx="1">
                  <c:v>45403</c:v>
                </c:pt>
                <c:pt idx="2">
                  <c:v>45410</c:v>
                </c:pt>
                <c:pt idx="3">
                  <c:v>45417</c:v>
                </c:pt>
                <c:pt idx="4">
                  <c:v>45424</c:v>
                </c:pt>
                <c:pt idx="5">
                  <c:v>45431</c:v>
                </c:pt>
                <c:pt idx="6">
                  <c:v>45438</c:v>
                </c:pt>
                <c:pt idx="7">
                  <c:v>45445</c:v>
                </c:pt>
                <c:pt idx="8">
                  <c:v>45452</c:v>
                </c:pt>
                <c:pt idx="9">
                  <c:v>45459</c:v>
                </c:pt>
                <c:pt idx="10">
                  <c:v>45466</c:v>
                </c:pt>
                <c:pt idx="11">
                  <c:v>45473</c:v>
                </c:pt>
                <c:pt idx="12">
                  <c:v>45480</c:v>
                </c:pt>
              </c:numCache>
            </c:numRef>
          </c:cat>
          <c:val>
            <c:numRef>
              <c:f>'Planting Chart Data'!$B$51:$N$51</c:f>
              <c:numCache>
                <c:formatCode>0</c:formatCode>
                <c:ptCount val="13"/>
                <c:pt idx="0">
                  <c:v>4</c:v>
                </c:pt>
                <c:pt idx="1">
                  <c:v>9</c:v>
                </c:pt>
                <c:pt idx="2">
                  <c:v>24</c:v>
                </c:pt>
                <c:pt idx="3">
                  <c:v>42</c:v>
                </c:pt>
                <c:pt idx="4">
                  <c:v>61</c:v>
                </c:pt>
                <c:pt idx="5">
                  <c:v>75</c:v>
                </c:pt>
                <c:pt idx="6">
                  <c:v>84</c:v>
                </c:pt>
                <c:pt idx="7">
                  <c:v>91</c:v>
                </c:pt>
                <c:pt idx="8">
                  <c:v>96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5-4E9F-9181-2B6664F9674F}"/>
            </c:ext>
          </c:extLst>
        </c:ser>
        <c:ser>
          <c:idx val="5"/>
          <c:order val="9"/>
          <c:tx>
            <c:strRef>
              <c:f>'Planting Chart Data'!$A$50</c:f>
              <c:strCache>
                <c:ptCount val="1"/>
                <c:pt idx="0">
                  <c:v>5-Yr Min</c:v>
                </c:pt>
              </c:strCache>
            </c:strRef>
          </c:tx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Chart Data'!$B$1:$N$1</c:f>
              <c:numCache>
                <c:formatCode>m/d/yyyy</c:formatCode>
                <c:ptCount val="13"/>
                <c:pt idx="0">
                  <c:v>45396</c:v>
                </c:pt>
                <c:pt idx="1">
                  <c:v>45403</c:v>
                </c:pt>
                <c:pt idx="2">
                  <c:v>45410</c:v>
                </c:pt>
                <c:pt idx="3">
                  <c:v>45417</c:v>
                </c:pt>
                <c:pt idx="4">
                  <c:v>45424</c:v>
                </c:pt>
                <c:pt idx="5">
                  <c:v>45431</c:v>
                </c:pt>
                <c:pt idx="6">
                  <c:v>45438</c:v>
                </c:pt>
                <c:pt idx="7">
                  <c:v>45445</c:v>
                </c:pt>
                <c:pt idx="8">
                  <c:v>45452</c:v>
                </c:pt>
                <c:pt idx="9">
                  <c:v>45459</c:v>
                </c:pt>
                <c:pt idx="10">
                  <c:v>45466</c:v>
                </c:pt>
                <c:pt idx="11">
                  <c:v>45473</c:v>
                </c:pt>
                <c:pt idx="12">
                  <c:v>45480</c:v>
                </c:pt>
              </c:numCache>
            </c:numRef>
          </c:cat>
          <c:val>
            <c:numRef>
              <c:f>'Planting Chart Data'!$B$50:$N$50</c:f>
              <c:numCache>
                <c:formatCode>0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30</c:v>
                </c:pt>
                <c:pt idx="5">
                  <c:v>50</c:v>
                </c:pt>
                <c:pt idx="6">
                  <c:v>66</c:v>
                </c:pt>
                <c:pt idx="7">
                  <c:v>78</c:v>
                </c:pt>
                <c:pt idx="8">
                  <c:v>87</c:v>
                </c:pt>
                <c:pt idx="9">
                  <c:v>93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5-4E9F-9181-2B6664F9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70144"/>
        <c:axId val="914665880"/>
      </c:areaChart>
      <c:lineChart>
        <c:grouping val="standard"/>
        <c:varyColors val="0"/>
        <c:ser>
          <c:idx val="4"/>
          <c:order val="7"/>
          <c:tx>
            <c:v>5-Year Average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5-4E9F-9181-2B6664F9674F}"/>
              </c:ext>
            </c:extLst>
          </c:dPt>
          <c:cat>
            <c:numRef>
              <c:f>'Planting Chart Data'!$B$1:$N$1</c:f>
              <c:numCache>
                <c:formatCode>m/d/yyyy</c:formatCode>
                <c:ptCount val="13"/>
                <c:pt idx="0">
                  <c:v>45396</c:v>
                </c:pt>
                <c:pt idx="1">
                  <c:v>45403</c:v>
                </c:pt>
                <c:pt idx="2">
                  <c:v>45410</c:v>
                </c:pt>
                <c:pt idx="3">
                  <c:v>45417</c:v>
                </c:pt>
                <c:pt idx="4">
                  <c:v>45424</c:v>
                </c:pt>
                <c:pt idx="5">
                  <c:v>45431</c:v>
                </c:pt>
                <c:pt idx="6">
                  <c:v>45438</c:v>
                </c:pt>
                <c:pt idx="7">
                  <c:v>45445</c:v>
                </c:pt>
                <c:pt idx="8">
                  <c:v>45452</c:v>
                </c:pt>
                <c:pt idx="9">
                  <c:v>45459</c:v>
                </c:pt>
                <c:pt idx="10">
                  <c:v>45466</c:v>
                </c:pt>
                <c:pt idx="11">
                  <c:v>45473</c:v>
                </c:pt>
                <c:pt idx="12">
                  <c:v>45480</c:v>
                </c:pt>
              </c:numCache>
            </c:numRef>
          </c:cat>
          <c:val>
            <c:numRef>
              <c:f>'Planting Chart Data'!$B$49:$N$49</c:f>
              <c:numCache>
                <c:formatCode>0</c:formatCode>
                <c:ptCount val="13"/>
                <c:pt idx="0">
                  <c:v>2.6</c:v>
                </c:pt>
                <c:pt idx="1">
                  <c:v>7.2</c:v>
                </c:pt>
                <c:pt idx="2">
                  <c:v>18.399999999999999</c:v>
                </c:pt>
                <c:pt idx="3">
                  <c:v>30.4</c:v>
                </c:pt>
                <c:pt idx="4">
                  <c:v>45.6</c:v>
                </c:pt>
                <c:pt idx="5">
                  <c:v>61.6</c:v>
                </c:pt>
                <c:pt idx="6">
                  <c:v>75.2</c:v>
                </c:pt>
                <c:pt idx="7">
                  <c:v>84.6</c:v>
                </c:pt>
                <c:pt idx="8">
                  <c:v>91.6</c:v>
                </c:pt>
                <c:pt idx="9">
                  <c:v>96</c:v>
                </c:pt>
                <c:pt idx="10">
                  <c:v>98.8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A5-4E9F-9181-2B6664F9674F}"/>
            </c:ext>
          </c:extLst>
        </c:ser>
        <c:ser>
          <c:idx val="11"/>
          <c:order val="11"/>
          <c:tx>
            <c:v>2024</c:v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50000"/>
                </a:schemeClr>
              </a:solidFill>
              <a:ln w="222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7"/>
              <c:spPr>
                <a:solidFill>
                  <a:schemeClr val="bg2">
                    <a:lumMod val="50000"/>
                  </a:schemeClr>
                </a:solidFill>
                <a:ln w="22225">
                  <a:solidFill>
                    <a:schemeClr val="bg2">
                      <a:lumMod val="50000"/>
                    </a:schemeClr>
                  </a:solidFill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E-28A5-4E9F-9181-2B6664F9674F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chemeClr val="bg2">
                    <a:lumMod val="50000"/>
                  </a:schemeClr>
                </a:solidFill>
                <a:ln w="22225">
                  <a:solidFill>
                    <a:schemeClr val="bg2">
                      <a:lumMod val="50000"/>
                    </a:schemeClr>
                  </a:solidFill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F-28A5-4E9F-9181-2B6664F9674F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chemeClr val="bg2">
                    <a:lumMod val="50000"/>
                  </a:schemeClr>
                </a:solidFill>
                <a:ln w="22225">
                  <a:solidFill>
                    <a:schemeClr val="bg2">
                      <a:lumMod val="50000"/>
                    </a:schemeClr>
                  </a:solidFill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10-28A5-4E9F-9181-2B6664F9674F}"/>
              </c:ext>
            </c:extLst>
          </c:dPt>
          <c:val>
            <c:numRef>
              <c:f>'Planting Chart Data'!$B$46:$N$46</c:f>
              <c:numCache>
                <c:formatCode>General</c:formatCode>
                <c:ptCount val="13"/>
                <c:pt idx="0">
                  <c:v>3</c:v>
                </c:pt>
                <c:pt idx="1">
                  <c:v>8</c:v>
                </c:pt>
                <c:pt idx="2">
                  <c:v>18</c:v>
                </c:pt>
                <c:pt idx="3">
                  <c:v>25</c:v>
                </c:pt>
                <c:pt idx="4">
                  <c:v>35</c:v>
                </c:pt>
                <c:pt idx="5">
                  <c:v>52</c:v>
                </c:pt>
                <c:pt idx="6">
                  <c:v>68</c:v>
                </c:pt>
                <c:pt idx="7">
                  <c:v>78</c:v>
                </c:pt>
                <c:pt idx="8">
                  <c:v>87</c:v>
                </c:pt>
                <c:pt idx="9">
                  <c:v>93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28A5-4E9F-9181-2B6664F9674F}"/>
            </c:ext>
          </c:extLst>
        </c:ser>
        <c:ser>
          <c:idx val="12"/>
          <c:order val="12"/>
          <c:tx>
            <c:strRef>
              <c:f>'Planting Chart Data'!$A$47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>
              <a:solidFill>
                <a:srgbClr val="69C129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C0040B9-4646-40C7-96AA-5E7C31C4E1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BF8-4285-97A7-F4D8CF60780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8C41BB-3871-4D8E-A9A8-B5B9BDAB5A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BF8-4285-97A7-F4D8CF60780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C846D4C-BDBF-46FD-8A6E-E65DE94B85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F8-4285-97A7-F4D8CF60780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E6E626-5F79-4585-9A2E-69AF3E28FA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F8-4285-97A7-F4D8CF60780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36B8511-4719-4B53-B57D-211EBD934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BF8-4285-97A7-F4D8CF60780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BE3527-D380-4E37-ADBA-C1B1292F9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BF8-4285-97A7-F4D8CF60780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59F37B3-EF68-402A-9186-092570A0A3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BF8-4285-97A7-F4D8CF60780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DC6A4E-6A64-483A-B5DB-78C6CAA1C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BF8-4285-97A7-F4D8CF60780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93FD78A-505E-4648-AB59-009E35ABB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BF8-4285-97A7-F4D8CF60780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E9DCC3C-6276-49DF-97BA-C04CF30F82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BF8-4285-97A7-F4D8CF60780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DBDED6C-71A0-4742-90FF-F62957ADD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BF8-4285-97A7-F4D8CF60780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6089E7-AFDB-496A-91B2-6B1B3FE99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BF8-4285-97A7-F4D8CF60780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0753096-E312-48BD-BD9B-8D607A39A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BF8-4285-97A7-F4D8CF607807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'Planting Chart Data'!$B$47:$N$47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18</c:v>
                </c:pt>
                <c:pt idx="3">
                  <c:v>30</c:v>
                </c:pt>
                <c:pt idx="4">
                  <c:v>48</c:v>
                </c:pt>
                <c:pt idx="5">
                  <c:v>66</c:v>
                </c:pt>
                <c:pt idx="6">
                  <c:v>76</c:v>
                </c:pt>
                <c:pt idx="7">
                  <c:v>84</c:v>
                </c:pt>
                <c:pt idx="8">
                  <c:v>90</c:v>
                </c:pt>
                <c:pt idx="9">
                  <c:v>93</c:v>
                </c:pt>
                <c:pt idx="10">
                  <c:v>96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'Planting Chart Data'!$B$99:$N$99</c15:f>
                <c15:dlblRangeCache>
                  <c:ptCount val="13"/>
                  <c:pt idx="0">
                    <c:v>2</c:v>
                  </c:pt>
                  <c:pt idx="1">
                    <c:v>6</c:v>
                  </c:pt>
                  <c:pt idx="2">
                    <c:v>10</c:v>
                  </c:pt>
                  <c:pt idx="3">
                    <c:v>12</c:v>
                  </c:pt>
                  <c:pt idx="4">
                    <c:v>18</c:v>
                  </c:pt>
                  <c:pt idx="5">
                    <c:v>18</c:v>
                  </c:pt>
                  <c:pt idx="6">
                    <c:v>10</c:v>
                  </c:pt>
                  <c:pt idx="7">
                    <c:v>8</c:v>
                  </c:pt>
                  <c:pt idx="8">
                    <c:v>6</c:v>
                  </c:pt>
                  <c:pt idx="9">
                    <c:v>3</c:v>
                  </c:pt>
                  <c:pt idx="10">
                    <c:v>3</c:v>
                  </c:pt>
                  <c:pt idx="11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28A5-4E9F-9181-2B6664F9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670144"/>
        <c:axId val="914665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'Planting Chart Data'!$A$15</c15:sqref>
                        </c15:formulaRef>
                      </c:ext>
                    </c:extLst>
                    <c:strCache>
                      <c:ptCount val="1"/>
                      <c:pt idx="0">
                        <c:v>1993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'Planting Chart Data'!$B$15:$L$15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2">
                        <c:v>2</c:v>
                      </c:pt>
                      <c:pt idx="3">
                        <c:v>9</c:v>
                      </c:pt>
                      <c:pt idx="4">
                        <c:v>25</c:v>
                      </c:pt>
                      <c:pt idx="5">
                        <c:v>45</c:v>
                      </c:pt>
                      <c:pt idx="6">
                        <c:v>59</c:v>
                      </c:pt>
                      <c:pt idx="7">
                        <c:v>72</c:v>
                      </c:pt>
                      <c:pt idx="8">
                        <c:v>83</c:v>
                      </c:pt>
                      <c:pt idx="9">
                        <c:v>89</c:v>
                      </c:pt>
                      <c:pt idx="10">
                        <c:v>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8A5-4E9F-9181-2B6664F9674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Data'!$A$39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Data'!$B$39:$L$39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6</c:v>
                      </c:pt>
                      <c:pt idx="1">
                        <c:v>10</c:v>
                      </c:pt>
                      <c:pt idx="2">
                        <c:v>14</c:v>
                      </c:pt>
                      <c:pt idx="3">
                        <c:v>32</c:v>
                      </c:pt>
                      <c:pt idx="4">
                        <c:v>53</c:v>
                      </c:pt>
                      <c:pt idx="5">
                        <c:v>67</c:v>
                      </c:pt>
                      <c:pt idx="6">
                        <c:v>83</c:v>
                      </c:pt>
                      <c:pt idx="7">
                        <c:v>92</c:v>
                      </c:pt>
                      <c:pt idx="8">
                        <c:v>96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A5-4E9F-9181-2B6664F9674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Data'!$B$40:$L$40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5</c:v>
                      </c:pt>
                      <c:pt idx="2">
                        <c:v>15</c:v>
                      </c:pt>
                      <c:pt idx="3">
                        <c:v>35</c:v>
                      </c:pt>
                      <c:pt idx="4">
                        <c:v>56</c:v>
                      </c:pt>
                      <c:pt idx="5">
                        <c:v>77</c:v>
                      </c:pt>
                      <c:pt idx="6">
                        <c:v>87</c:v>
                      </c:pt>
                      <c:pt idx="7">
                        <c:v>93</c:v>
                      </c:pt>
                      <c:pt idx="8">
                        <c:v>97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A5-4E9F-9181-2B6664F9674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Data'!$B$41:$L$41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3</c:v>
                      </c:pt>
                      <c:pt idx="2">
                        <c:v>6</c:v>
                      </c:pt>
                      <c:pt idx="3">
                        <c:v>9</c:v>
                      </c:pt>
                      <c:pt idx="4">
                        <c:v>19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60</c:v>
                      </c:pt>
                      <c:pt idx="8">
                        <c:v>77</c:v>
                      </c:pt>
                      <c:pt idx="9">
                        <c:v>85</c:v>
                      </c:pt>
                      <c:pt idx="10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A5-4E9F-9181-2B6664F9674F}"/>
                  </c:ext>
                </c:extLst>
              </c15:ser>
            </c15:filteredLineSeries>
            <c15:filteredLineSeries>
              <c15:ser>
                <c:idx val="7"/>
                <c:order val="4"/>
                <c:tx>
                  <c:v>2020</c:v>
                </c:tx>
                <c:spPr>
                  <a:ln w="2857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Data'!$B$42:$N$42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</c:v>
                      </c:pt>
                      <c:pt idx="1">
                        <c:v>8</c:v>
                      </c:pt>
                      <c:pt idx="2">
                        <c:v>23</c:v>
                      </c:pt>
                      <c:pt idx="3">
                        <c:v>38</c:v>
                      </c:pt>
                      <c:pt idx="4">
                        <c:v>53</c:v>
                      </c:pt>
                      <c:pt idx="5">
                        <c:v>65</c:v>
                      </c:pt>
                      <c:pt idx="6">
                        <c:v>75</c:v>
                      </c:pt>
                      <c:pt idx="7">
                        <c:v>86</c:v>
                      </c:pt>
                      <c:pt idx="8">
                        <c:v>93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A5-4E9F-9181-2B6664F9674F}"/>
                  </c:ext>
                </c:extLst>
              </c15:ser>
            </c15:filteredLineSeries>
            <c15:filteredLineSeries>
              <c15:ser>
                <c:idx val="8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Data'!$B$43:$N$43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</c:v>
                      </c:pt>
                      <c:pt idx="1">
                        <c:v>8</c:v>
                      </c:pt>
                      <c:pt idx="2">
                        <c:v>24</c:v>
                      </c:pt>
                      <c:pt idx="3">
                        <c:v>42</c:v>
                      </c:pt>
                      <c:pt idx="4">
                        <c:v>61</c:v>
                      </c:pt>
                      <c:pt idx="5">
                        <c:v>75</c:v>
                      </c:pt>
                      <c:pt idx="6">
                        <c:v>84</c:v>
                      </c:pt>
                      <c:pt idx="7">
                        <c:v>90</c:v>
                      </c:pt>
                      <c:pt idx="8">
                        <c:v>94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A5-4E9F-9181-2B6664F9674F}"/>
                  </c:ext>
                </c:extLst>
              </c15:ser>
            </c15:filteredLineSeries>
            <c15:filteredLineSeries>
              <c15:ser>
                <c:idx val="9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1587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Data'!$B$44:$N$44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3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30</c:v>
                      </c:pt>
                      <c:pt idx="5">
                        <c:v>50</c:v>
                      </c:pt>
                      <c:pt idx="6">
                        <c:v>66</c:v>
                      </c:pt>
                      <c:pt idx="7">
                        <c:v>78</c:v>
                      </c:pt>
                      <c:pt idx="8">
                        <c:v>88</c:v>
                      </c:pt>
                      <c:pt idx="9">
                        <c:v>94</c:v>
                      </c:pt>
                      <c:pt idx="10">
                        <c:v>97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A5-4E9F-9181-2B6664F9674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Data'!$A$45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22225">
                      <a:solidFill>
                        <a:srgbClr val="8C8C8C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Data'!$B$45:$N$45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</c:v>
                      </c:pt>
                      <c:pt idx="1">
                        <c:v>9</c:v>
                      </c:pt>
                      <c:pt idx="2">
                        <c:v>19</c:v>
                      </c:pt>
                      <c:pt idx="3">
                        <c:v>35</c:v>
                      </c:pt>
                      <c:pt idx="4">
                        <c:v>49</c:v>
                      </c:pt>
                      <c:pt idx="5">
                        <c:v>66</c:v>
                      </c:pt>
                      <c:pt idx="6">
                        <c:v>83</c:v>
                      </c:pt>
                      <c:pt idx="7">
                        <c:v>91</c:v>
                      </c:pt>
                      <c:pt idx="8">
                        <c:v>96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A5-4E9F-9181-2B6664F9674F}"/>
                  </c:ext>
                </c:extLst>
              </c15:ser>
            </c15:filteredLineSeries>
          </c:ext>
        </c:extLst>
      </c:lineChart>
      <c:dateAx>
        <c:axId val="914670144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65880"/>
        <c:crosses val="autoZero"/>
        <c:auto val="1"/>
        <c:lblOffset val="100"/>
        <c:baseTimeUnit val="days"/>
        <c:majorUnit val="7"/>
        <c:majorTimeUnit val="days"/>
      </c:dateAx>
      <c:valAx>
        <c:axId val="91466588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(percent</a:t>
                </a:r>
                <a:r>
                  <a:rPr lang="en-US" sz="1200" b="1" baseline="0">
                    <a:solidFill>
                      <a:srgbClr val="323232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 complete)</a:t>
                </a:r>
                <a:endParaRPr lang="en-US" sz="1200" b="1">
                  <a:solidFill>
                    <a:srgbClr val="323232"/>
                  </a:solidFill>
                  <a:latin typeface="Aptos Display" panose="020B00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70144"/>
        <c:crossesAt val="44304"/>
        <c:crossBetween val="midCat"/>
      </c:valAx>
      <c:spPr>
        <a:noFill/>
        <a:ln w="9525">
          <a:solidFill>
            <a:schemeClr val="tx1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629932774047685"/>
          <c:y val="0.73192831881010822"/>
          <c:w val="0.43664420682028943"/>
          <c:h val="5.4114430961117149E-2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U.S. Soybean Crop Progress - Pod Setting</a:t>
            </a:r>
          </a:p>
        </c:rich>
      </c:tx>
      <c:layout>
        <c:manualLayout>
          <c:xMode val="edge"/>
          <c:yMode val="edge"/>
          <c:x val="0.13690036768770439"/>
          <c:y val="1.9306541182111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8275576888432E-2"/>
          <c:y val="0.10708500512267097"/>
          <c:w val="0.90579200937223114"/>
          <c:h val="0.70853867414466576"/>
        </c:manualLayout>
      </c:layout>
      <c:areaChart>
        <c:grouping val="standard"/>
        <c:varyColors val="0"/>
        <c:ser>
          <c:idx val="6"/>
          <c:order val="7"/>
          <c:tx>
            <c:v>5-Year Range</c:v>
          </c:tx>
          <c:spPr>
            <a:solidFill>
              <a:schemeClr val="bg2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'Pod Setting Data'!$B$1:$N$1</c:f>
              <c:numCache>
                <c:formatCode>d\-mmm</c:formatCode>
                <c:ptCount val="13"/>
                <c:pt idx="0">
                  <c:v>45109</c:v>
                </c:pt>
                <c:pt idx="1">
                  <c:v>45116</c:v>
                </c:pt>
                <c:pt idx="2">
                  <c:v>45123</c:v>
                </c:pt>
                <c:pt idx="3">
                  <c:v>45130</c:v>
                </c:pt>
                <c:pt idx="4">
                  <c:v>45137</c:v>
                </c:pt>
                <c:pt idx="5">
                  <c:v>45144</c:v>
                </c:pt>
                <c:pt idx="6">
                  <c:v>45151</c:v>
                </c:pt>
                <c:pt idx="7">
                  <c:v>45158</c:v>
                </c:pt>
                <c:pt idx="8">
                  <c:v>45165</c:v>
                </c:pt>
                <c:pt idx="9">
                  <c:v>45172</c:v>
                </c:pt>
                <c:pt idx="10">
                  <c:v>45179</c:v>
                </c:pt>
                <c:pt idx="11">
                  <c:v>45186</c:v>
                </c:pt>
                <c:pt idx="12">
                  <c:v>45193</c:v>
                </c:pt>
              </c:numCache>
            </c:numRef>
          </c:cat>
          <c:val>
            <c:numRef>
              <c:f>'Pod Setting Data'!$B$50:$N$50</c:f>
              <c:numCache>
                <c:formatCode>#,##0_);[Red]\(#,##0\)</c:formatCode>
                <c:ptCount val="13"/>
                <c:pt idx="0">
                  <c:v>4</c:v>
                </c:pt>
                <c:pt idx="1">
                  <c:v>10</c:v>
                </c:pt>
                <c:pt idx="2">
                  <c:v>23</c:v>
                </c:pt>
                <c:pt idx="3">
                  <c:v>42</c:v>
                </c:pt>
                <c:pt idx="4">
                  <c:v>58</c:v>
                </c:pt>
                <c:pt idx="5">
                  <c:v>72</c:v>
                </c:pt>
                <c:pt idx="6">
                  <c:v>81</c:v>
                </c:pt>
                <c:pt idx="7">
                  <c:v>88</c:v>
                </c:pt>
                <c:pt idx="8">
                  <c:v>93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D-472A-8F2B-A4279C73A0E2}"/>
            </c:ext>
          </c:extLst>
        </c:ser>
        <c:ser>
          <c:idx val="5"/>
          <c:order val="8"/>
          <c:tx>
            <c:strRef>
              <c:f>'Pod Setting Data'!$A$51</c:f>
              <c:strCache>
                <c:ptCount val="1"/>
                <c:pt idx="0">
                  <c:v>Five-Year Min</c:v>
                </c:pt>
              </c:strCache>
            </c:strRef>
          </c:tx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'Pod Setting Data'!$B$1:$N$1</c:f>
              <c:numCache>
                <c:formatCode>d\-mmm</c:formatCode>
                <c:ptCount val="13"/>
                <c:pt idx="0">
                  <c:v>45109</c:v>
                </c:pt>
                <c:pt idx="1">
                  <c:v>45116</c:v>
                </c:pt>
                <c:pt idx="2">
                  <c:v>45123</c:v>
                </c:pt>
                <c:pt idx="3">
                  <c:v>45130</c:v>
                </c:pt>
                <c:pt idx="4">
                  <c:v>45137</c:v>
                </c:pt>
                <c:pt idx="5">
                  <c:v>45144</c:v>
                </c:pt>
                <c:pt idx="6">
                  <c:v>45151</c:v>
                </c:pt>
                <c:pt idx="7">
                  <c:v>45158</c:v>
                </c:pt>
                <c:pt idx="8">
                  <c:v>45165</c:v>
                </c:pt>
                <c:pt idx="9">
                  <c:v>45172</c:v>
                </c:pt>
                <c:pt idx="10">
                  <c:v>45179</c:v>
                </c:pt>
                <c:pt idx="11">
                  <c:v>45186</c:v>
                </c:pt>
                <c:pt idx="12">
                  <c:v>45193</c:v>
                </c:pt>
              </c:numCache>
            </c:numRef>
          </c:cat>
          <c:val>
            <c:numRef>
              <c:f>'Pod Setting Data'!$B$51:$N$51</c:f>
              <c:numCache>
                <c:formatCode>#,##0_);[Red]\(#,##0\)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11</c:v>
                </c:pt>
                <c:pt idx="3">
                  <c:v>25</c:v>
                </c:pt>
                <c:pt idx="4">
                  <c:v>43</c:v>
                </c:pt>
                <c:pt idx="5">
                  <c:v>59</c:v>
                </c:pt>
                <c:pt idx="6">
                  <c:v>72</c:v>
                </c:pt>
                <c:pt idx="7">
                  <c:v>81</c:v>
                </c:pt>
                <c:pt idx="8">
                  <c:v>89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D-472A-8F2B-A4279C73A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70144"/>
        <c:axId val="914665880"/>
      </c:areaChart>
      <c:lineChart>
        <c:grouping val="standard"/>
        <c:varyColors val="0"/>
        <c:ser>
          <c:idx val="4"/>
          <c:order val="6"/>
          <c:tx>
            <c:strRef>
              <c:f>'Pod Setting Data'!$A$49</c:f>
              <c:strCache>
                <c:ptCount val="1"/>
                <c:pt idx="0">
                  <c:v>5-Year Average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9D-472A-8F2B-A4279C73A0E2}"/>
              </c:ext>
            </c:extLst>
          </c:dPt>
          <c:cat>
            <c:numRef>
              <c:f>'Pod Setting Data'!$B$1:$N$1</c:f>
              <c:numCache>
                <c:formatCode>d\-mmm</c:formatCode>
                <c:ptCount val="13"/>
                <c:pt idx="0">
                  <c:v>45109</c:v>
                </c:pt>
                <c:pt idx="1">
                  <c:v>45116</c:v>
                </c:pt>
                <c:pt idx="2">
                  <c:v>45123</c:v>
                </c:pt>
                <c:pt idx="3">
                  <c:v>45130</c:v>
                </c:pt>
                <c:pt idx="4">
                  <c:v>45137</c:v>
                </c:pt>
                <c:pt idx="5">
                  <c:v>45144</c:v>
                </c:pt>
                <c:pt idx="6">
                  <c:v>45151</c:v>
                </c:pt>
                <c:pt idx="7">
                  <c:v>45158</c:v>
                </c:pt>
                <c:pt idx="8">
                  <c:v>45165</c:v>
                </c:pt>
                <c:pt idx="9">
                  <c:v>45172</c:v>
                </c:pt>
                <c:pt idx="10">
                  <c:v>45179</c:v>
                </c:pt>
                <c:pt idx="11">
                  <c:v>45186</c:v>
                </c:pt>
                <c:pt idx="12">
                  <c:v>45193</c:v>
                </c:pt>
              </c:numCache>
            </c:numRef>
          </c:cat>
          <c:val>
            <c:numRef>
              <c:f>'Pod Setting Data'!$B$49:$N$49</c:f>
              <c:numCache>
                <c:formatCode>#,##0_);[Red]\(#,##0\)</c:formatCode>
                <c:ptCount val="13"/>
                <c:pt idx="0">
                  <c:v>2.6</c:v>
                </c:pt>
                <c:pt idx="1">
                  <c:v>7.4</c:v>
                </c:pt>
                <c:pt idx="2">
                  <c:v>17.2</c:v>
                </c:pt>
                <c:pt idx="3">
                  <c:v>31.4</c:v>
                </c:pt>
                <c:pt idx="4">
                  <c:v>47.8</c:v>
                </c:pt>
                <c:pt idx="5">
                  <c:v>63.4</c:v>
                </c:pt>
                <c:pt idx="6">
                  <c:v>76</c:v>
                </c:pt>
                <c:pt idx="7">
                  <c:v>84.6</c:v>
                </c:pt>
                <c:pt idx="8">
                  <c:v>91.2</c:v>
                </c:pt>
                <c:pt idx="9">
                  <c:v>94.8</c:v>
                </c:pt>
                <c:pt idx="10">
                  <c:v>98.8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9D-472A-8F2B-A4279C73A0E2}"/>
            </c:ext>
          </c:extLst>
        </c:ser>
        <c:ser>
          <c:idx val="11"/>
          <c:order val="11"/>
          <c:tx>
            <c:strRef>
              <c:f>'Pod Setting Data'!$A$45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50000"/>
                </a:schemeClr>
              </a:solidFill>
              <a:ln w="222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val>
            <c:numRef>
              <c:f>'Pod Setting Data'!$B$45:$N$45</c:f>
              <c:numCache>
                <c:formatCode>#,##0_);[Red]\(#,##0\)</c:formatCode>
                <c:ptCount val="13"/>
                <c:pt idx="0">
                  <c:v>3</c:v>
                </c:pt>
                <c:pt idx="1">
                  <c:v>9</c:v>
                </c:pt>
                <c:pt idx="2">
                  <c:v>18</c:v>
                </c:pt>
                <c:pt idx="3">
                  <c:v>29</c:v>
                </c:pt>
                <c:pt idx="4">
                  <c:v>44</c:v>
                </c:pt>
                <c:pt idx="5">
                  <c:v>59</c:v>
                </c:pt>
                <c:pt idx="6">
                  <c:v>72</c:v>
                </c:pt>
                <c:pt idx="7">
                  <c:v>81</c:v>
                </c:pt>
                <c:pt idx="8">
                  <c:v>89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5B-4852-BAB7-728AEA7DCF93}"/>
            </c:ext>
          </c:extLst>
        </c:ser>
        <c:ser>
          <c:idx val="12"/>
          <c:order val="12"/>
          <c:tx>
            <c:strRef>
              <c:f>'Pod Setting Data'!$A$46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>
              <a:solidFill>
                <a:srgbClr val="69C129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F4B6EB1-A4FE-4E52-BA01-03A82A472D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75B-4852-BAB7-728AEA7DCF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CCE38F-8531-4868-ADB3-EB14F9699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75B-4852-BAB7-728AEA7DCF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005F00-9618-4DF8-B6D3-1F488C337A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75B-4852-BAB7-728AEA7DCF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3457A3-94D6-4632-82EA-ADEC8C260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75B-4852-BAB7-728AEA7DCF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75B-4852-BAB7-728AEA7DCF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75B-4852-BAB7-728AEA7DCF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75B-4852-BAB7-728AEA7DCF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75B-4852-BAB7-728AEA7DCF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75B-4852-BAB7-728AEA7DCF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75B-4852-BAB7-728AEA7DCF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75B-4852-BAB7-728AEA7DCF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75B-4852-BAB7-728AEA7DCF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75B-4852-BAB7-728AEA7DCF93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69C129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'Pod Setting Data'!$B$46:$N$46</c:f>
              <c:numCache>
                <c:formatCode>#,##0_);[Red]\(#,##0\)</c:formatCode>
                <c:ptCount val="13"/>
                <c:pt idx="0">
                  <c:v>3</c:v>
                </c:pt>
                <c:pt idx="1">
                  <c:v>8</c:v>
                </c:pt>
                <c:pt idx="2">
                  <c:v>15</c:v>
                </c:pt>
                <c:pt idx="3">
                  <c:v>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'Pod Setting Data'!$B$98:$N$98</c15:f>
                <c15:dlblRangeCache>
                  <c:ptCount val="13"/>
                  <c:pt idx="0">
                    <c:v>3 </c:v>
                  </c:pt>
                  <c:pt idx="1">
                    <c:v>5</c:v>
                  </c:pt>
                  <c:pt idx="2">
                    <c:v>7</c:v>
                  </c:pt>
                  <c:pt idx="3">
                    <c:v>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75B-4852-BAB7-728AEA7D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670144"/>
        <c:axId val="914665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'Planting Chart Data'!$A$15</c15:sqref>
                        </c15:formulaRef>
                      </c:ext>
                    </c:extLst>
                    <c:strCache>
                      <c:ptCount val="1"/>
                      <c:pt idx="0">
                        <c:v>1993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'Planting Chart Data'!$B$15:$L$15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2">
                        <c:v>2</c:v>
                      </c:pt>
                      <c:pt idx="3">
                        <c:v>9</c:v>
                      </c:pt>
                      <c:pt idx="4">
                        <c:v>25</c:v>
                      </c:pt>
                      <c:pt idx="5">
                        <c:v>45</c:v>
                      </c:pt>
                      <c:pt idx="6">
                        <c:v>59</c:v>
                      </c:pt>
                      <c:pt idx="7">
                        <c:v>72</c:v>
                      </c:pt>
                      <c:pt idx="8">
                        <c:v>83</c:v>
                      </c:pt>
                      <c:pt idx="9">
                        <c:v>89</c:v>
                      </c:pt>
                      <c:pt idx="10">
                        <c:v>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1-919D-472A-8F2B-A4279C73A0E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Data'!$A$39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Data'!$B$39:$L$39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6</c:v>
                      </c:pt>
                      <c:pt idx="1">
                        <c:v>10</c:v>
                      </c:pt>
                      <c:pt idx="2">
                        <c:v>14</c:v>
                      </c:pt>
                      <c:pt idx="3">
                        <c:v>32</c:v>
                      </c:pt>
                      <c:pt idx="4">
                        <c:v>53</c:v>
                      </c:pt>
                      <c:pt idx="5">
                        <c:v>67</c:v>
                      </c:pt>
                      <c:pt idx="6">
                        <c:v>83</c:v>
                      </c:pt>
                      <c:pt idx="7">
                        <c:v>92</c:v>
                      </c:pt>
                      <c:pt idx="8">
                        <c:v>96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919D-472A-8F2B-A4279C73A0E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Data'!$B$40:$L$40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5</c:v>
                      </c:pt>
                      <c:pt idx="2">
                        <c:v>15</c:v>
                      </c:pt>
                      <c:pt idx="3">
                        <c:v>35</c:v>
                      </c:pt>
                      <c:pt idx="4">
                        <c:v>56</c:v>
                      </c:pt>
                      <c:pt idx="5">
                        <c:v>77</c:v>
                      </c:pt>
                      <c:pt idx="6">
                        <c:v>87</c:v>
                      </c:pt>
                      <c:pt idx="7">
                        <c:v>93</c:v>
                      </c:pt>
                      <c:pt idx="8">
                        <c:v>97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919D-472A-8F2B-A4279C73A0E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Data'!$B$41:$L$41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3</c:v>
                      </c:pt>
                      <c:pt idx="2">
                        <c:v>6</c:v>
                      </c:pt>
                      <c:pt idx="3">
                        <c:v>9</c:v>
                      </c:pt>
                      <c:pt idx="4">
                        <c:v>19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60</c:v>
                      </c:pt>
                      <c:pt idx="8">
                        <c:v>77</c:v>
                      </c:pt>
                      <c:pt idx="9">
                        <c:v>85</c:v>
                      </c:pt>
                      <c:pt idx="10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919D-472A-8F2B-A4279C73A0E2}"/>
                  </c:ext>
                </c:extLst>
              </c15:ser>
            </c15:filteredLineSeries>
            <c15:filteredLineSeries>
              <c15:ser>
                <c:idx val="7"/>
                <c:order val="4"/>
                <c:tx>
                  <c:v>2020</c:v>
                </c:tx>
                <c:spPr>
                  <a:ln w="2857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Data'!$B$42:$N$42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</c:v>
                      </c:pt>
                      <c:pt idx="1">
                        <c:v>8</c:v>
                      </c:pt>
                      <c:pt idx="2">
                        <c:v>23</c:v>
                      </c:pt>
                      <c:pt idx="3">
                        <c:v>38</c:v>
                      </c:pt>
                      <c:pt idx="4">
                        <c:v>53</c:v>
                      </c:pt>
                      <c:pt idx="5">
                        <c:v>65</c:v>
                      </c:pt>
                      <c:pt idx="6">
                        <c:v>75</c:v>
                      </c:pt>
                      <c:pt idx="7">
                        <c:v>86</c:v>
                      </c:pt>
                      <c:pt idx="8">
                        <c:v>93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919D-472A-8F2B-A4279C73A0E2}"/>
                  </c:ext>
                </c:extLst>
              </c15:ser>
            </c15:filteredLineSeries>
            <c15:filteredLineSeries>
              <c15:ser>
                <c:idx val="8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Data'!$B$43:$N$43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</c:v>
                      </c:pt>
                      <c:pt idx="1">
                        <c:v>8</c:v>
                      </c:pt>
                      <c:pt idx="2">
                        <c:v>24</c:v>
                      </c:pt>
                      <c:pt idx="3">
                        <c:v>42</c:v>
                      </c:pt>
                      <c:pt idx="4">
                        <c:v>61</c:v>
                      </c:pt>
                      <c:pt idx="5">
                        <c:v>75</c:v>
                      </c:pt>
                      <c:pt idx="6">
                        <c:v>84</c:v>
                      </c:pt>
                      <c:pt idx="7">
                        <c:v>90</c:v>
                      </c:pt>
                      <c:pt idx="8">
                        <c:v>94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919D-472A-8F2B-A4279C73A0E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Data'!$A$43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222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01D6ED84-F000-47F3-92B3-E3F8C4F5F545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919D-472A-8F2B-A4279C73A0E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FD3994EF-573F-4C3B-9A36-16B8F2E4441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919D-472A-8F2B-A4279C73A0E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67F7C211-AD6B-4E4F-AF39-DCF2B84C5D1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7-919D-472A-8F2B-A4279C73A0E2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CE0D0CCA-8EB3-4EB7-88E6-CFA8CF224569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919D-472A-8F2B-A4279C73A0E2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A7F8C779-0F08-4AE8-BFB2-951F2A3E1B3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919D-472A-8F2B-A4279C73A0E2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96D7AC98-30FF-44D3-BD9B-907F2AC57FE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A-919D-472A-8F2B-A4279C73A0E2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8D330E08-5A30-4F3B-9471-D63CB8E308D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B-919D-472A-8F2B-A4279C73A0E2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10B0BA1B-C6E2-46C9-9838-3A579B38FBD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C-919D-472A-8F2B-A4279C73A0E2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B91B8ACE-1F8D-462D-AB33-E247EA835E5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D-919D-472A-8F2B-A4279C73A0E2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001C8BCD-D339-4C8B-A9C1-04F92FAA6565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E-919D-472A-8F2B-A4279C73A0E2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69174F93-0C5B-4468-B1B6-FFDA4BB159F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F-919D-472A-8F2B-A4279C73A0E2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06480575-FB00-4081-A3D0-41E2C239390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0-919D-472A-8F2B-A4279C73A0E2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1FAD4B6E-3FD5-495F-8A61-A94FC141B91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1-919D-472A-8F2B-A4279C73A0E2}"/>
                      </c:ext>
                    </c:extLst>
                  </c:dLbl>
                  <c:spPr>
                    <a:solidFill>
                      <a:schemeClr val="bg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800" b="1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DataLabelsRange val="1"/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Data'!$B$43:$N$43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3</c:v>
                      </c:pt>
                      <c:pt idx="1">
                        <c:v>6</c:v>
                      </c:pt>
                      <c:pt idx="2">
                        <c:v>14</c:v>
                      </c:pt>
                      <c:pt idx="3">
                        <c:v>26</c:v>
                      </c:pt>
                      <c:pt idx="4">
                        <c:v>44</c:v>
                      </c:pt>
                      <c:pt idx="5">
                        <c:v>61</c:v>
                      </c:pt>
                      <c:pt idx="6">
                        <c:v>74</c:v>
                      </c:pt>
                      <c:pt idx="7">
                        <c:v>84</c:v>
                      </c:pt>
                      <c:pt idx="8">
                        <c:v>91</c:v>
                      </c:pt>
                      <c:pt idx="9">
                        <c:v>94</c:v>
                      </c:pt>
                      <c:pt idx="10">
                        <c:v>97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'Pod Setting Data'!$B$95:$N$95</c15:f>
                      <c15:dlblRangeCache>
                        <c:ptCount val="13"/>
                        <c:pt idx="0">
                          <c:v>3 </c:v>
                        </c:pt>
                        <c:pt idx="1">
                          <c:v>3</c:v>
                        </c:pt>
                        <c:pt idx="2">
                          <c:v>8</c:v>
                        </c:pt>
                        <c:pt idx="3">
                          <c:v>12</c:v>
                        </c:pt>
                        <c:pt idx="4">
                          <c:v>18</c:v>
                        </c:pt>
                        <c:pt idx="5">
                          <c:v>17</c:v>
                        </c:pt>
                        <c:pt idx="6">
                          <c:v>13</c:v>
                        </c:pt>
                        <c:pt idx="7">
                          <c:v>10</c:v>
                        </c:pt>
                        <c:pt idx="8">
                          <c:v>7</c:v>
                        </c:pt>
                        <c:pt idx="9">
                          <c:v>3</c:v>
                        </c:pt>
                        <c:pt idx="10">
                          <c:v>3</c:v>
                        </c:pt>
                        <c:pt idx="11">
                          <c:v>3</c:v>
                        </c:pt>
                        <c:pt idx="12">
                          <c:v>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12-919D-472A-8F2B-A4279C73A0E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Data'!$A$44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ln w="22225" cap="rnd">
                    <a:solidFill>
                      <a:srgbClr val="32323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15875">
                      <a:solidFill>
                        <a:srgbClr val="323232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F4323D75-D563-47F6-9C3C-F788AD9979D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3-919D-472A-8F2B-A4279C73A0E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E831CB00-7DC7-4899-821A-8A189F8E0FE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4-919D-472A-8F2B-A4279C73A0E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420AAEDC-E7B4-42F1-A487-F5C07ED0F4C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5-919D-472A-8F2B-A4279C73A0E2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E576305C-D5D1-4F11-95F0-594D38DDE15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6-919D-472A-8F2B-A4279C73A0E2}"/>
                      </c:ext>
                    </c:extLst>
                  </c:dLbl>
                  <c:dLbl>
                    <c:idx val="4"/>
                    <c:layout>
                      <c:manualLayout>
                        <c:x val="-2.9779518962313758E-2"/>
                        <c:y val="-2.7580773117302764E-3"/>
                      </c:manualLayout>
                    </c:layout>
                    <c:tx>
                      <c:rich>
                        <a:bodyPr/>
                        <a:lstStyle/>
                        <a:p>
                          <a:fld id="{37A40BB3-E90A-4FC2-A50D-D9F13663F85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919D-472A-8F2B-A4279C73A0E2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F53B0FD8-D25A-4AC1-A1D0-CB03F4D5B5A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919D-472A-8F2B-A4279C73A0E2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02D68423-4483-4FDB-9F8F-BBF7CAEADFAD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9-919D-472A-8F2B-A4279C73A0E2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1A12294D-2A0E-4A39-95D7-75A0A92EFEEF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A-919D-472A-8F2B-A4279C73A0E2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C241A949-68E6-4F65-AEEA-D3F435CCDB6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919D-472A-8F2B-A4279C73A0E2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33CFC3C6-79C2-466F-8B3C-8DE30A7A5C0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919D-472A-8F2B-A4279C73A0E2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58025813-00B3-4E50-9EEB-71AC11D9EC1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919D-472A-8F2B-A4279C73A0E2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0B8276A5-A5F1-49A3-8ECB-17864BDF35D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919D-472A-8F2B-A4279C73A0E2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EA5DA8D2-B1E8-44B0-A1F4-BC6B639F22B9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919D-472A-8F2B-A4279C73A0E2}"/>
                      </c:ext>
                    </c:extLst>
                  </c:dLbl>
                  <c:numFmt formatCode="#,##0_);[Red]\(#,##0\)" sourceLinked="0"/>
                  <c:spPr>
                    <a:solidFill>
                      <a:schemeClr val="bg1"/>
                    </a:solidFill>
                    <a:ln w="15875">
                      <a:solidFill>
                        <a:srgbClr val="323232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DataLabelsRange val="1"/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45109</c:v>
                      </c:pt>
                      <c:pt idx="1">
                        <c:v>45116</c:v>
                      </c:pt>
                      <c:pt idx="2">
                        <c:v>45123</c:v>
                      </c:pt>
                      <c:pt idx="3">
                        <c:v>45130</c:v>
                      </c:pt>
                      <c:pt idx="4">
                        <c:v>45137</c:v>
                      </c:pt>
                      <c:pt idx="5">
                        <c:v>45144</c:v>
                      </c:pt>
                      <c:pt idx="6">
                        <c:v>45151</c:v>
                      </c:pt>
                      <c:pt idx="7">
                        <c:v>45158</c:v>
                      </c:pt>
                      <c:pt idx="8">
                        <c:v>45165</c:v>
                      </c:pt>
                      <c:pt idx="9">
                        <c:v>45172</c:v>
                      </c:pt>
                      <c:pt idx="10">
                        <c:v>45179</c:v>
                      </c:pt>
                      <c:pt idx="11">
                        <c:v>45186</c:v>
                      </c:pt>
                      <c:pt idx="12">
                        <c:v>45193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Data'!$B$44:$N$44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4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35</c:v>
                      </c:pt>
                      <c:pt idx="4">
                        <c:v>50</c:v>
                      </c:pt>
                      <c:pt idx="5">
                        <c:v>66</c:v>
                      </c:pt>
                      <c:pt idx="6">
                        <c:v>78</c:v>
                      </c:pt>
                      <c:pt idx="7">
                        <c:v>86</c:v>
                      </c:pt>
                      <c:pt idx="8">
                        <c:v>91</c:v>
                      </c:pt>
                      <c:pt idx="9">
                        <c:v>95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'Pod Setting Data'!$B$96:$N$96</c15:f>
                      <c15:dlblRangeCache>
                        <c:ptCount val="13"/>
                        <c:pt idx="0">
                          <c:v>4 </c:v>
                        </c:pt>
                        <c:pt idx="1">
                          <c:v>6</c:v>
                        </c:pt>
                        <c:pt idx="2">
                          <c:v>10</c:v>
                        </c:pt>
                        <c:pt idx="3">
                          <c:v>15</c:v>
                        </c:pt>
                        <c:pt idx="4">
                          <c:v>15</c:v>
                        </c:pt>
                        <c:pt idx="5">
                          <c:v>16</c:v>
                        </c:pt>
                        <c:pt idx="6">
                          <c:v>12</c:v>
                        </c:pt>
                        <c:pt idx="7">
                          <c:v>8</c:v>
                        </c:pt>
                        <c:pt idx="8">
                          <c:v>5</c:v>
                        </c:pt>
                        <c:pt idx="9">
                          <c:v>4</c:v>
                        </c:pt>
                        <c:pt idx="10">
                          <c:v>5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0-919D-472A-8F2B-A4279C73A0E2}"/>
                  </c:ext>
                </c:extLst>
              </c15:ser>
            </c15:filteredLineSeries>
          </c:ext>
        </c:extLst>
      </c:lineChart>
      <c:dateAx>
        <c:axId val="914670144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65880"/>
        <c:crosses val="autoZero"/>
        <c:auto val="1"/>
        <c:lblOffset val="100"/>
        <c:baseTimeUnit val="days"/>
        <c:majorUnit val="7"/>
        <c:majorTimeUnit val="days"/>
      </c:dateAx>
      <c:valAx>
        <c:axId val="914665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(percent</a:t>
                </a:r>
                <a:r>
                  <a:rPr lang="en-US" sz="1200" b="1" baseline="0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complete)</a:t>
                </a:r>
                <a:endParaRPr lang="en-US" sz="1200" b="1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70144"/>
        <c:crossesAt val="44304"/>
        <c:crossBetween val="midCat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629932774047685"/>
          <c:y val="0.73192831881010822"/>
          <c:w val="0.56120487446591749"/>
          <c:h val="5.069881309084152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 b="1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Soybean Harvest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05867037704627E-2"/>
          <c:y val="0.15602520429627151"/>
          <c:w val="0.89204550841931041"/>
          <c:h val="0.63922879320935944"/>
        </c:manualLayout>
      </c:layout>
      <c:areaChart>
        <c:grouping val="standard"/>
        <c:varyColors val="0"/>
        <c:ser>
          <c:idx val="8"/>
          <c:order val="9"/>
          <c:tx>
            <c:v>Five-Year Range</c:v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Data'!$B$31:$O$31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6</c:v>
                </c:pt>
                <c:pt idx="2">
                  <c:v>16</c:v>
                </c:pt>
                <c:pt idx="3">
                  <c:v>34</c:v>
                </c:pt>
                <c:pt idx="4">
                  <c:v>49</c:v>
                </c:pt>
                <c:pt idx="5">
                  <c:v>63</c:v>
                </c:pt>
                <c:pt idx="6">
                  <c:v>80</c:v>
                </c:pt>
                <c:pt idx="7">
                  <c:v>88</c:v>
                </c:pt>
                <c:pt idx="8">
                  <c:v>94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B-4432-B696-4EAE1CCE765F}"/>
            </c:ext>
          </c:extLst>
        </c:ser>
        <c:ser>
          <c:idx val="9"/>
          <c:order val="1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Data'!$B$32:$O$32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26</c:v>
                </c:pt>
                <c:pt idx="6">
                  <c:v>46</c:v>
                </c:pt>
                <c:pt idx="7">
                  <c:v>62</c:v>
                </c:pt>
                <c:pt idx="8">
                  <c:v>75</c:v>
                </c:pt>
                <c:pt idx="9">
                  <c:v>85</c:v>
                </c:pt>
                <c:pt idx="10">
                  <c:v>91</c:v>
                </c:pt>
                <c:pt idx="11">
                  <c:v>94</c:v>
                </c:pt>
                <c:pt idx="12">
                  <c:v>96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B-4432-B696-4EAE1CCE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73248"/>
        <c:axId val="772475872"/>
      </c:areaChart>
      <c:lineChart>
        <c:grouping val="standard"/>
        <c:varyColors val="0"/>
        <c:ser>
          <c:idx val="0"/>
          <c:order val="4"/>
          <c:tx>
            <c:strRef>
              <c:f>'Harvest Chart Data'!$A$30</c:f>
              <c:strCache>
                <c:ptCount val="1"/>
                <c:pt idx="0">
                  <c:v>Five-Year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Data'!$B$30:$O$30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8.8000000000000007</c:v>
                </c:pt>
                <c:pt idx="3">
                  <c:v>21.2</c:v>
                </c:pt>
                <c:pt idx="4">
                  <c:v>35.4</c:v>
                </c:pt>
                <c:pt idx="5">
                  <c:v>49.6</c:v>
                </c:pt>
                <c:pt idx="6">
                  <c:v>65.400000000000006</c:v>
                </c:pt>
                <c:pt idx="7">
                  <c:v>76.8</c:v>
                </c:pt>
                <c:pt idx="8">
                  <c:v>85.2</c:v>
                </c:pt>
                <c:pt idx="9">
                  <c:v>90.6</c:v>
                </c:pt>
                <c:pt idx="10">
                  <c:v>94.6</c:v>
                </c:pt>
                <c:pt idx="11">
                  <c:v>97.6</c:v>
                </c:pt>
                <c:pt idx="12">
                  <c:v>99.2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5B-4432-B696-4EAE1CCE765F}"/>
            </c:ext>
          </c:extLst>
        </c:ser>
        <c:ser>
          <c:idx val="10"/>
          <c:order val="8"/>
          <c:tx>
            <c:strRef>
              <c:f>'Harvest Chart Data'!$A$25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8C8C8C">
                  <a:alpha val="55686"/>
                </a:srgb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5B-4432-B696-4EAE1CCE76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5B-4432-B696-4EAE1CCE765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5B-4432-B696-4EAE1CCE765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5B-4432-B696-4EAE1CCE765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5B-4432-B696-4EAE1CCE765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5B-4432-B696-4EAE1CCE765F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C8C8C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Data'!$B$25:$O$25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23</c:v>
                </c:pt>
                <c:pt idx="4">
                  <c:v>43</c:v>
                </c:pt>
                <c:pt idx="5">
                  <c:v>62</c:v>
                </c:pt>
                <c:pt idx="6">
                  <c:v>76</c:v>
                </c:pt>
                <c:pt idx="7">
                  <c:v>85</c:v>
                </c:pt>
                <c:pt idx="8">
                  <c:v>91</c:v>
                </c:pt>
                <c:pt idx="9">
                  <c:v>95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5B-4432-B696-4EAE1CCE765F}"/>
            </c:ext>
          </c:extLst>
        </c:ser>
        <c:ser>
          <c:idx val="11"/>
          <c:order val="11"/>
          <c:tx>
            <c:strRef>
              <c:f>'Harvest Chart Data'!$A$26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69C129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rgbClr val="69C129"/>
                </a:solidFill>
              </a:ln>
              <a:effectLst/>
            </c:spPr>
          </c:marker>
          <c:dPt>
            <c:idx val="1"/>
            <c:marker>
              <c:symbol val="circle"/>
              <c:size val="9"/>
              <c:spPr>
                <a:solidFill>
                  <a:schemeClr val="bg1"/>
                </a:solidFill>
                <a:ln w="9525">
                  <a:solidFill>
                    <a:srgbClr val="69C129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9C1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5B-4432-B696-4EAE1CCE76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5B-4432-B696-4EAE1CCE765F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6576" tIns="18288" rIns="36576" bIns="18288" anchor="ctr" anchorCtr="0">
                    <a:spAutoFit/>
                  </a:bodyPr>
                  <a:lstStyle/>
                  <a:p>
                    <a:pPr algn="ctr">
                      <a:defRPr lang="en-US" sz="1100" b="1" i="0" u="none" strike="noStrike" kern="1200" baseline="0">
                        <a:solidFill>
                          <a:srgbClr val="69C129"/>
                        </a:solidFill>
                        <a:latin typeface="Aptos Display" panose="020B0004020202020204" pitchFamily="34" charset="0"/>
                        <a:ea typeface="+mn-ea"/>
                        <a:cs typeface="+mn-cs"/>
                      </a:defRPr>
                    </a:pPr>
                    <a:fld id="{47B4BE8D-7199-4E7D-9011-6A3A8404E8B1}" type="VALUE">
                      <a:rPr lang="en-US" sz="1100" b="1" i="0" u="none" strike="noStrike" kern="1200" baseline="0">
                        <a:solidFill>
                          <a:srgbClr val="69C129"/>
                        </a:solidFill>
                        <a:latin typeface="Aptos Display" panose="020B0004020202020204" pitchFamily="34" charset="0"/>
                        <a:ea typeface="+mn-ea"/>
                        <a:cs typeface="+mn-cs"/>
                      </a:rPr>
                      <a:pPr algn="ctr">
                        <a:defRPr lang="en-US" sz="1100" b="1">
                          <a:solidFill>
                            <a:srgbClr val="69C129"/>
                          </a:solidFill>
                          <a:latin typeface="Aptos Display" panose="020B0004020202020204" pitchFamily="34" charset="0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22225">
                  <a:solidFill>
                    <a:srgbClr val="69C129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0">
                  <a:spAutoFit/>
                </a:bodyPr>
                <a:lstStyle/>
                <a:p>
                  <a:pPr algn="ctr">
                    <a:defRPr lang="en-US" sz="1100" b="1" i="0" u="none" strike="noStrike" kern="1200" baseline="0">
                      <a:solidFill>
                        <a:srgbClr val="69C129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2.5345827755466309E-2"/>
                      <c:h val="4.917257683215129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F05B-4432-B696-4EAE1CCE765F}"/>
                </c:ext>
              </c:extLst>
            </c:dLbl>
            <c:spPr>
              <a:solidFill>
                <a:schemeClr val="lt1"/>
              </a:solidFill>
              <a:ln>
                <a:solidFill>
                  <a:srgbClr val="69C129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9C12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'Harvest Chart Data'!$B$26:$O$26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26</c:v>
                </c:pt>
                <c:pt idx="4">
                  <c:v>47</c:v>
                </c:pt>
                <c:pt idx="5">
                  <c:v>67</c:v>
                </c:pt>
                <c:pt idx="6">
                  <c:v>81</c:v>
                </c:pt>
                <c:pt idx="7">
                  <c:v>89</c:v>
                </c:pt>
                <c:pt idx="8">
                  <c:v>94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5B-4432-B696-4EAE1CCE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473248"/>
        <c:axId val="772475872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'Harvest Chart Data'!$A$18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ln w="158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2"/>
                    </a:solidFill>
                    <a:ln w="15875">
                      <a:solidFill>
                        <a:srgbClr val="C00000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'Harvest Chart Data'!$B$18:$O$18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4</c:v>
                      </c:pt>
                      <c:pt idx="2">
                        <c:v>10</c:v>
                      </c:pt>
                      <c:pt idx="3">
                        <c:v>26</c:v>
                      </c:pt>
                      <c:pt idx="4">
                        <c:v>44</c:v>
                      </c:pt>
                      <c:pt idx="5">
                        <c:v>62</c:v>
                      </c:pt>
                      <c:pt idx="6">
                        <c:v>76</c:v>
                      </c:pt>
                      <c:pt idx="7">
                        <c:v>87</c:v>
                      </c:pt>
                      <c:pt idx="8">
                        <c:v>93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F05B-4432-B696-4EAE1CCE765F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Data'!$A$19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>
                        <a:lumMod val="85000"/>
                      </a:schemeClr>
                    </a:solidFill>
                    <a:ln w="1587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Data'!$B$19:$O$19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4</c:v>
                      </c:pt>
                      <c:pt idx="2">
                        <c:v>10</c:v>
                      </c:pt>
                      <c:pt idx="3">
                        <c:v>22</c:v>
                      </c:pt>
                      <c:pt idx="4">
                        <c:v>36</c:v>
                      </c:pt>
                      <c:pt idx="5">
                        <c:v>49</c:v>
                      </c:pt>
                      <c:pt idx="6">
                        <c:v>70</c:v>
                      </c:pt>
                      <c:pt idx="7">
                        <c:v>83</c:v>
                      </c:pt>
                      <c:pt idx="8">
                        <c:v>90</c:v>
                      </c:pt>
                      <c:pt idx="9">
                        <c:v>93</c:v>
                      </c:pt>
                      <c:pt idx="10">
                        <c:v>96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05B-4432-B696-4EAE1CCE765F}"/>
                  </c:ext>
                </c:extLst>
              </c15:ser>
            </c15:filteredLineSeries>
            <c15:filteredLine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Data'!$B$20:$O$20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14</c:v>
                      </c:pt>
                      <c:pt idx="3">
                        <c:v>23</c:v>
                      </c:pt>
                      <c:pt idx="4">
                        <c:v>32</c:v>
                      </c:pt>
                      <c:pt idx="5">
                        <c:v>38</c:v>
                      </c:pt>
                      <c:pt idx="6">
                        <c:v>53</c:v>
                      </c:pt>
                      <c:pt idx="7">
                        <c:v>72</c:v>
                      </c:pt>
                      <c:pt idx="8">
                        <c:v>83</c:v>
                      </c:pt>
                      <c:pt idx="9">
                        <c:v>88</c:v>
                      </c:pt>
                      <c:pt idx="10">
                        <c:v>91</c:v>
                      </c:pt>
                      <c:pt idx="11">
                        <c:v>94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05B-4432-B696-4EAE1CCE765F}"/>
                  </c:ext>
                </c:extLst>
              </c15:ser>
            </c15:filteredLineSeries>
            <c15:filteredLine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Data'!$B$21:$O$21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</c:v>
                      </c:pt>
                      <c:pt idx="4">
                        <c:v>14</c:v>
                      </c:pt>
                      <c:pt idx="5">
                        <c:v>26</c:v>
                      </c:pt>
                      <c:pt idx="6">
                        <c:v>46</c:v>
                      </c:pt>
                      <c:pt idx="7">
                        <c:v>62</c:v>
                      </c:pt>
                      <c:pt idx="8">
                        <c:v>75</c:v>
                      </c:pt>
                      <c:pt idx="9">
                        <c:v>85</c:v>
                      </c:pt>
                      <c:pt idx="10">
                        <c:v>91</c:v>
                      </c:pt>
                      <c:pt idx="11">
                        <c:v>94</c:v>
                      </c:pt>
                      <c:pt idx="12">
                        <c:v>96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05B-4432-B696-4EAE1CCE765F}"/>
                  </c:ext>
                </c:extLst>
              </c15:ser>
            </c15:filteredLineSeries>
            <c15:filteredLine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F05B-4432-B696-4EAE1CCE765F}"/>
                    </c:ext>
                  </c:extLst>
                </c:dPt>
                <c:dLbls>
                  <c:spPr>
                    <a:solidFill>
                      <a:schemeClr val="bg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accent6">
                              <a:lumMod val="75000"/>
                            </a:schemeClr>
                          </a:solidFill>
                          <a:latin typeface="Arial Narrow" panose="020B0606020202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Data'!$B$22:$O$22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20</c:v>
                      </c:pt>
                      <c:pt idx="4">
                        <c:v>38</c:v>
                      </c:pt>
                      <c:pt idx="5">
                        <c:v>61</c:v>
                      </c:pt>
                      <c:pt idx="6">
                        <c:v>75</c:v>
                      </c:pt>
                      <c:pt idx="7">
                        <c:v>83</c:v>
                      </c:pt>
                      <c:pt idx="8">
                        <c:v>87</c:v>
                      </c:pt>
                      <c:pt idx="9">
                        <c:v>92</c:v>
                      </c:pt>
                      <c:pt idx="10">
                        <c:v>96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05B-4432-B696-4EAE1CCE765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rgbClr val="FF5B5B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bg1"/>
                    </a:solidFill>
                    <a:ln w="15875">
                      <a:solidFill>
                        <a:srgbClr val="FF5B5B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800" b="1" i="0" u="none" strike="noStrike" kern="1200" baseline="0">
                          <a:solidFill>
                            <a:srgbClr val="FF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Data'!$B$23:$O$23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16</c:v>
                      </c:pt>
                      <c:pt idx="3">
                        <c:v>34</c:v>
                      </c:pt>
                      <c:pt idx="4">
                        <c:v>49</c:v>
                      </c:pt>
                      <c:pt idx="5">
                        <c:v>60</c:v>
                      </c:pt>
                      <c:pt idx="6">
                        <c:v>73</c:v>
                      </c:pt>
                      <c:pt idx="7">
                        <c:v>79</c:v>
                      </c:pt>
                      <c:pt idx="8">
                        <c:v>87</c:v>
                      </c:pt>
                      <c:pt idx="9">
                        <c:v>92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05B-4432-B696-4EAE1CCE765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85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bg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F12AE3FF-5028-47A3-B1AC-AA5578080E8F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5-F05B-4432-B696-4EAE1CCE765F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AD26AC9A-9D33-4AA9-BF7A-7C591E1AC06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6-F05B-4432-B696-4EAE1CCE765F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0059B305-859F-4896-B9F4-2C7A915DE82D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F05B-4432-B696-4EAE1CCE765F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337F0B60-E6D9-40C1-9E6C-C9A96F872DD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F05B-4432-B696-4EAE1CCE765F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1FB249A0-5346-4BB2-A8DE-D6146A250D1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9-F05B-4432-B696-4EAE1CCE765F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C81A073A-15EC-4D98-B03D-91FB5837FA0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A-F05B-4432-B696-4EAE1CCE765F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17325D15-4524-41A7-B5BA-030519E2753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F05B-4432-B696-4EAE1CCE765F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72708AE9-5E7B-484F-9024-0F56B18E9BFB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F05B-4432-B696-4EAE1CCE765F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F9EC7C5A-529F-412E-A7E1-7871286E238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F05B-4432-B696-4EAE1CCE765F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9578F34E-1971-4136-BF8E-9699346733B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F05B-4432-B696-4EAE1CCE765F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AE53DBF9-79F8-4071-BAB0-A31CE30F42C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F05B-4432-B696-4EAE1CCE765F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07B0586E-5F02-45D2-822E-B487356F9115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0-F05B-4432-B696-4EAE1CCE765F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6340E310-D1E0-46D3-B9FC-95CDBA85A26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F05B-4432-B696-4EAE1CCE765F}"/>
                      </c:ext>
                    </c:extLst>
                  </c:dLbl>
                  <c:dLbl>
                    <c:idx val="13"/>
                    <c:tx>
                      <c:rich>
                        <a:bodyPr/>
                        <a:lstStyle/>
                        <a:p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F05B-4432-B696-4EAE1CCE765F}"/>
                      </c:ext>
                    </c:extLst>
                  </c:dLbl>
                  <c:spPr>
                    <a:solidFill>
                      <a:schemeClr val="lt1"/>
                    </a:solidFill>
                    <a:ln w="22225">
                      <a:solidFill>
                        <a:srgbClr val="6F0791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6F079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DataLabelsRange val="1"/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Data'!$B$24:$O$24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3</c:v>
                      </c:pt>
                      <c:pt idx="2">
                        <c:v>8</c:v>
                      </c:pt>
                      <c:pt idx="3">
                        <c:v>22</c:v>
                      </c:pt>
                      <c:pt idx="4">
                        <c:v>44</c:v>
                      </c:pt>
                      <c:pt idx="5">
                        <c:v>63</c:v>
                      </c:pt>
                      <c:pt idx="6">
                        <c:v>80</c:v>
                      </c:pt>
                      <c:pt idx="7">
                        <c:v>88</c:v>
                      </c:pt>
                      <c:pt idx="8">
                        <c:v>94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'Harvest Chart Data'!$C$57:$O$57</c15:f>
                      <c15:dlblRangeCache>
                        <c:ptCount val="13"/>
                        <c:pt idx="0">
                          <c:v>3 </c:v>
                        </c:pt>
                        <c:pt idx="1">
                          <c:v>5 </c:v>
                        </c:pt>
                        <c:pt idx="2">
                          <c:v>14 </c:v>
                        </c:pt>
                        <c:pt idx="3">
                          <c:v>22 </c:v>
                        </c:pt>
                        <c:pt idx="4">
                          <c:v>19 </c:v>
                        </c:pt>
                        <c:pt idx="5">
                          <c:v>17 </c:v>
                        </c:pt>
                        <c:pt idx="6">
                          <c:v>8 </c:v>
                        </c:pt>
                        <c:pt idx="7">
                          <c:v>6 </c:v>
                        </c:pt>
                        <c:pt idx="8">
                          <c:v>2 </c:v>
                        </c:pt>
                        <c:pt idx="9">
                          <c:v>4 </c:v>
                        </c:pt>
                        <c:pt idx="10">
                          <c:v>0 </c:v>
                        </c:pt>
                        <c:pt idx="11">
                          <c:v>0 </c:v>
                        </c:pt>
                        <c:pt idx="12">
                          <c:v>0 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3-F05B-4432-B696-4EAE1CCE765F}"/>
                  </c:ext>
                </c:extLst>
              </c15:ser>
            </c15:filteredLineSeries>
          </c:ext>
        </c:extLst>
      </c:lineChart>
      <c:dateAx>
        <c:axId val="772473248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low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5872"/>
        <c:crosses val="autoZero"/>
        <c:auto val="1"/>
        <c:lblOffset val="100"/>
        <c:baseTimeUnit val="days"/>
        <c:majorUnit val="7"/>
        <c:majorTimeUnit val="days"/>
      </c:dateAx>
      <c:valAx>
        <c:axId val="772475872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(percent</a:t>
                </a:r>
                <a:r>
                  <a:rPr lang="en-US" sz="1200" b="1" baseline="0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complete)</a:t>
                </a:r>
                <a:endParaRPr lang="en-US" sz="1200" b="1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9.7241112657463707E-5"/>
              <c:y val="0.35351683675282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3248"/>
        <c:crosses val="autoZero"/>
        <c:crossBetween val="midCat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73403914872086762"/>
          <c:y val="0.53490217978071886"/>
          <c:w val="0.23517102530858341"/>
          <c:h val="0.26219597550306206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F15AE4-CCBB-436F-94D9-B57FB4C1F3E5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1505DE-094C-4910-86FA-B5EBBAE8EF7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812612-C972-47B7-8454-AABAE3A63670}">
  <sheetPr/>
  <sheetViews>
    <sheetView tabSelected="1"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075979-8279-4B07-A37C-FD154B40E971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9CF3B7-C9AC-4296-A7F7-FD33ADDAE6F2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5A3D82-E891-4A05-8519-8178F85B7DB5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811A2A-80A6-41BD-9433-D7532F009EAF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332D78-44E9-4DD8-8EA4-CC19D69CD292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FBEE40-EE48-4428-ABAD-A7D25A086F0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FAD57D-5309-4C94-B1A9-69821FC27CCE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BBAA8-F7E6-5BA8-ACCD-24C502B659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0.8014</cdr:x>
      <cdr:y>0.8283</cdr:y>
    </cdr:from>
    <cdr:to>
      <cdr:x>0.99059</cdr:x>
      <cdr:y>0.96814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050A8708-7446-931C-9C81-94C2EE475FAC}"/>
            </a:ext>
          </a:extLst>
        </cdr:cNvPr>
        <cdr:cNvSpPr/>
      </cdr:nvSpPr>
      <cdr:spPr>
        <a:xfrm xmlns:a="http://schemas.openxmlformats.org/drawingml/2006/main">
          <a:off x="7610474" y="4457600"/>
          <a:ext cx="1796589" cy="75257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 w="28575">
          <a:solidFill>
            <a:srgbClr val="69C129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GB" kern="1200"/>
            <a:t>3</a:t>
          </a:r>
        </a:p>
      </cdr:txBody>
    </cdr:sp>
  </cdr:relSizeAnchor>
  <cdr:relSizeAnchor xmlns:cdr="http://schemas.openxmlformats.org/drawingml/2006/chartDrawing">
    <cdr:from>
      <cdr:x>0</cdr:x>
      <cdr:y>0.95679</cdr:y>
    </cdr:from>
    <cdr:to>
      <cdr:x>0.21067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9261E60-8E5A-7465-5106-5A086D0888F7}"/>
            </a:ext>
          </a:extLst>
        </cdr:cNvPr>
        <cdr:cNvSpPr txBox="1"/>
      </cdr:nvSpPr>
      <cdr:spPr>
        <a:xfrm xmlns:a="http://schemas.openxmlformats.org/drawingml/2006/main">
          <a:off x="0" y="5827059"/>
          <a:ext cx="1961029" cy="2631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GB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USDA</a:t>
          </a:r>
          <a:endParaRPr lang="en-GB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0.81143</cdr:x>
      <cdr:y>0.83717</cdr:y>
    </cdr:from>
    <cdr:to>
      <cdr:x>0.98094</cdr:x>
      <cdr:y>0.98585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8B15192-82FF-BE9F-FECF-ECF21A110EAC}"/>
            </a:ext>
          </a:extLst>
        </cdr:cNvPr>
        <cdr:cNvSpPr txBox="1"/>
      </cdr:nvSpPr>
      <cdr:spPr>
        <a:xfrm xmlns:a="http://schemas.openxmlformats.org/drawingml/2006/main">
          <a:off x="7705725" y="4505325"/>
          <a:ext cx="1609725" cy="800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200" b="1" kern="1200">
              <a:latin typeface="Arial" panose="020B0604020202020204" pitchFamily="34" charset="0"/>
              <a:cs typeface="Arial" panose="020B0604020202020204" pitchFamily="34" charset="0"/>
            </a:rPr>
            <a:t>Data labels are</a:t>
          </a:r>
          <a:r>
            <a:rPr lang="en-GB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 final average US soybean yields.</a:t>
          </a:r>
          <a:endParaRPr lang="en-GB" sz="12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0.0672</cdr:x>
      <cdr:y>0.21593</cdr:y>
    </cdr:from>
    <cdr:to>
      <cdr:x>0.6339</cdr:x>
      <cdr:y>0.31681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0EA0A7A-5656-91D2-E48D-7010166EC0EF}"/>
            </a:ext>
          </a:extLst>
        </cdr:cNvPr>
        <cdr:cNvSpPr txBox="1"/>
      </cdr:nvSpPr>
      <cdr:spPr>
        <a:xfrm xmlns:a="http://schemas.openxmlformats.org/drawingml/2006/main">
          <a:off x="638175" y="1162049"/>
          <a:ext cx="5381625" cy="542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 kern="1200">
              <a:latin typeface="Arial" panose="020B0604020202020204" pitchFamily="34" charset="0"/>
              <a:cs typeface="Arial" panose="020B0604020202020204" pitchFamily="34" charset="0"/>
            </a:rPr>
            <a:t>Average US soybean yield implied by change</a:t>
          </a:r>
          <a:r>
            <a:rPr lang="en-US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 in crop condition ratings</a:t>
          </a:r>
          <a:endParaRPr lang="en-US" sz="12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0.27884</cdr:x>
      <cdr:y>0.26195</cdr:y>
    </cdr:from>
    <cdr:to>
      <cdr:x>0.333</cdr:x>
      <cdr:y>0.37345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FDAFA82A-F637-C360-C34F-21DDCE3AE733}"/>
            </a:ext>
          </a:extLst>
        </cdr:cNvPr>
        <cdr:cNvCxnSpPr/>
      </cdr:nvCxnSpPr>
      <cdr:spPr>
        <a:xfrm xmlns:a="http://schemas.openxmlformats.org/drawingml/2006/main">
          <a:off x="2647950" y="1409700"/>
          <a:ext cx="514350" cy="60007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0.07623</cdr:x>
      <cdr:y>0.26195</cdr:y>
    </cdr:from>
    <cdr:to>
      <cdr:x>0.61184</cdr:x>
      <cdr:y>0.26549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C17AE01F-09C3-D25A-92B2-5B3B8C2753C7}"/>
            </a:ext>
          </a:extLst>
        </cdr:cNvPr>
        <cdr:cNvCxnSpPr/>
      </cdr:nvCxnSpPr>
      <cdr:spPr>
        <a:xfrm xmlns:a="http://schemas.openxmlformats.org/drawingml/2006/main" flipV="1">
          <a:off x="723900" y="1409700"/>
          <a:ext cx="5086350" cy="190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56029</xdr:colOff>
      <xdr:row>48</xdr:row>
      <xdr:rowOff>79561</xdr:rowOff>
    </xdr:from>
    <xdr:to>
      <xdr:col>42</xdr:col>
      <xdr:colOff>392206</xdr:colOff>
      <xdr:row>65</xdr:row>
      <xdr:rowOff>155761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7B90C-6FB0-40DC-AA78-E53D249FD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56029</xdr:colOff>
      <xdr:row>48</xdr:row>
      <xdr:rowOff>90767</xdr:rowOff>
    </xdr:from>
    <xdr:to>
      <xdr:col>51</xdr:col>
      <xdr:colOff>392206</xdr:colOff>
      <xdr:row>66</xdr:row>
      <xdr:rowOff>10085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DBC3E-D0CB-4C51-8C5D-AFC603204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84D8A-F9CB-5A90-1DEA-2305585414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0.00635</cdr:x>
      <cdr:y>0.9528</cdr:y>
    </cdr:from>
    <cdr:to>
      <cdr:x>0.37847</cdr:x>
      <cdr:y>0.98997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B459E1-1F50-4E83-9498-8674FF24B77F}"/>
            </a:ext>
          </a:extLst>
        </cdr:cNvPr>
        <cdr:cNvSpPr txBox="1"/>
      </cdr:nvSpPr>
      <cdr:spPr>
        <a:xfrm xmlns:a="http://schemas.openxmlformats.org/drawingml/2006/main">
          <a:off x="60325" y="5127625"/>
          <a:ext cx="353377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34131-1508-D307-A389-9C8E2ECB4C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0.94936</cdr:y>
    </cdr:from>
    <cdr:to>
      <cdr:x>0.47557</cdr:x>
      <cdr:y>0.9925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79689C-4AC5-481A-B9E6-B2FCF2C5B42D}"/>
            </a:ext>
          </a:extLst>
        </cdr:cNvPr>
        <cdr:cNvSpPr txBox="1"/>
      </cdr:nvSpPr>
      <cdr:spPr>
        <a:xfrm xmlns:a="http://schemas.openxmlformats.org/drawingml/2006/main">
          <a:off x="0" y="5103192"/>
          <a:ext cx="4514022" cy="231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HigbyBarrett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0.08464</cdr:x>
      <cdr:y>0.19106</cdr:y>
    </cdr:from>
    <cdr:to>
      <cdr:x>0.35602</cdr:x>
      <cdr:y>0.42989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AB723CD-4CCE-37A4-3B24-E3F8D1292E7B}"/>
            </a:ext>
          </a:extLst>
        </cdr:cNvPr>
        <cdr:cNvSpPr txBox="1"/>
      </cdr:nvSpPr>
      <cdr:spPr>
        <a:xfrm xmlns:a="http://schemas.openxmlformats.org/drawingml/2006/main">
          <a:off x="803415" y="1027042"/>
          <a:ext cx="2575889" cy="1283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Change in crop condition ratings from</a:t>
          </a:r>
          <a:r>
            <a:rPr lang="en-US" sz="1400" b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the first week of July to the first week of August.</a:t>
          </a:r>
          <a:endParaRPr lang="en-US" sz="1400" b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0.11606</cdr:x>
      <cdr:y>0.24117</cdr:y>
    </cdr:from>
    <cdr:to>
      <cdr:x>0.39964</cdr:x>
      <cdr:y>0.39599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A7BDB49C-8C2F-A626-74F0-19721948960B}"/>
            </a:ext>
          </a:extLst>
        </cdr:cNvPr>
        <cdr:cNvCxnSpPr>
          <a:stCxn xmlns:a="http://schemas.openxmlformats.org/drawingml/2006/main" id="22" idx="2"/>
        </cdr:cNvCxnSpPr>
      </cdr:nvCxnSpPr>
      <cdr:spPr>
        <a:xfrm xmlns:a="http://schemas.openxmlformats.org/drawingml/2006/main" flipH="1">
          <a:off x="1101587" y="1296393"/>
          <a:ext cx="2691751" cy="83223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0.34031</cdr:x>
      <cdr:y>0.23814</cdr:y>
    </cdr:from>
    <cdr:to>
      <cdr:x>0.40098</cdr:x>
      <cdr:y>0.44684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929F0D0B-00A6-7808-5B88-6ED4F6893F70}"/>
            </a:ext>
          </a:extLst>
        </cdr:cNvPr>
        <cdr:cNvCxnSpPr>
          <a:stCxn xmlns:a="http://schemas.openxmlformats.org/drawingml/2006/main" id="22" idx="1"/>
        </cdr:cNvCxnSpPr>
      </cdr:nvCxnSpPr>
      <cdr:spPr>
        <a:xfrm xmlns:a="http://schemas.openxmlformats.org/drawingml/2006/main" flipH="1">
          <a:off x="3230217" y="1280076"/>
          <a:ext cx="575807" cy="112188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0.3975</cdr:x>
      <cdr:y>0.24117</cdr:y>
    </cdr:from>
    <cdr:to>
      <cdr:x>0.43106</cdr:x>
      <cdr:y>0.36518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D0870B27-6CF7-15FF-FA27-482F3CB7EE3C}"/>
            </a:ext>
          </a:extLst>
        </cdr:cNvPr>
        <cdr:cNvCxnSpPr>
          <a:stCxn xmlns:a="http://schemas.openxmlformats.org/drawingml/2006/main" id="22" idx="3"/>
        </cdr:cNvCxnSpPr>
      </cdr:nvCxnSpPr>
      <cdr:spPr>
        <a:xfrm xmlns:a="http://schemas.openxmlformats.org/drawingml/2006/main">
          <a:off x="3772991" y="1296393"/>
          <a:ext cx="318618" cy="66658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0.40098</cdr:x>
      <cdr:y>0.23814</cdr:y>
    </cdr:from>
    <cdr:to>
      <cdr:x>0.56021</cdr:x>
      <cdr:y>0.44684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ECA4A6FB-BCEE-9CA6-3AC1-70832C617B60}"/>
            </a:ext>
          </a:extLst>
        </cdr:cNvPr>
        <cdr:cNvCxnSpPr>
          <a:stCxn xmlns:a="http://schemas.openxmlformats.org/drawingml/2006/main" id="22" idx="1"/>
        </cdr:cNvCxnSpPr>
      </cdr:nvCxnSpPr>
      <cdr:spPr>
        <a:xfrm xmlns:a="http://schemas.openxmlformats.org/drawingml/2006/main">
          <a:off x="3806024" y="1280076"/>
          <a:ext cx="1511411" cy="112188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0.4005</cdr:x>
      <cdr:y>0.23421</cdr:y>
    </cdr:from>
    <cdr:to>
      <cdr:x>0.69197</cdr:x>
      <cdr:y>0.23435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A32FEEDD-B556-8861-44F5-9E7FE89CAC20}"/>
            </a:ext>
          </a:extLst>
        </cdr:cNvPr>
        <cdr:cNvCxnSpPr>
          <a:stCxn xmlns:a="http://schemas.openxmlformats.org/drawingml/2006/main" id="22" idx="0"/>
        </cdr:cNvCxnSpPr>
      </cdr:nvCxnSpPr>
      <cdr:spPr>
        <a:xfrm xmlns:a="http://schemas.openxmlformats.org/drawingml/2006/main" flipV="1">
          <a:off x="3801496" y="1258957"/>
          <a:ext cx="2766613" cy="7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0.39616</cdr:x>
      <cdr:y>0.23267</cdr:y>
    </cdr:from>
    <cdr:to>
      <cdr:x>0.40098</cdr:x>
      <cdr:y>0.24117</cdr:y>
    </cdr:to>
    <cdr:sp macro="" textlink="">
      <cdr:nvSpPr>
        <cdr:cNvPr id="22" name="Star: 7 Points 21">
          <a:extLst xmlns:a="http://schemas.openxmlformats.org/drawingml/2006/main">
            <a:ext uri="{FF2B5EF4-FFF2-40B4-BE49-F238E27FC236}">
              <a16:creationId xmlns:a16="http://schemas.microsoft.com/office/drawing/2014/main" id="{C49A8EF1-6F99-C5C4-7F8D-DFBB4171BF42}"/>
            </a:ext>
          </a:extLst>
        </cdr:cNvPr>
        <cdr:cNvSpPr/>
      </cdr:nvSpPr>
      <cdr:spPr>
        <a:xfrm xmlns:a="http://schemas.openxmlformats.org/drawingml/2006/main">
          <a:off x="3760305" y="1250674"/>
          <a:ext cx="45719" cy="45719"/>
        </a:xfrm>
        <a:prstGeom xmlns:a="http://schemas.openxmlformats.org/drawingml/2006/main" prst="star7">
          <a:avLst/>
        </a:prstGeom>
        <a:solidFill xmlns:a="http://schemas.openxmlformats.org/drawingml/2006/main">
          <a:srgbClr val="C00000"/>
        </a:solidFill>
        <a:ln xmlns:a="http://schemas.openxmlformats.org/drawingml/2006/main" w="15875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1948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08E41-EAE5-B0E6-878B-AB564C4C13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0.24956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BF34672-1E25-486B-89B4-E5241CFB471B}"/>
            </a:ext>
          </a:extLst>
        </cdr:cNvPr>
        <cdr:cNvSpPr txBox="1"/>
      </cdr:nvSpPr>
      <cdr:spPr>
        <a:xfrm xmlns:a="http://schemas.openxmlformats.org/drawingml/2006/main">
          <a:off x="0" y="5135217"/>
          <a:ext cx="2368826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NASS, Fastmarkets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86348" cy="53726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57176-4A6A-1329-DADD-69117BEEE0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0.24956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BF34672-1E25-486B-89B4-E5241CFB471B}"/>
            </a:ext>
          </a:extLst>
        </cdr:cNvPr>
        <cdr:cNvSpPr txBox="1"/>
      </cdr:nvSpPr>
      <cdr:spPr>
        <a:xfrm xmlns:a="http://schemas.openxmlformats.org/drawingml/2006/main">
          <a:off x="0" y="5135217"/>
          <a:ext cx="2368826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180286" cy="53702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912F4-AD0A-86CE-61CF-B36899BD32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0.24607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81BEE1F-6E6A-4DAD-9331-1D2105C62CFC}"/>
            </a:ext>
          </a:extLst>
        </cdr:cNvPr>
        <cdr:cNvSpPr txBox="1"/>
      </cdr:nvSpPr>
      <cdr:spPr>
        <a:xfrm xmlns:a="http://schemas.openxmlformats.org/drawingml/2006/main">
          <a:off x="0" y="5077239"/>
          <a:ext cx="2335695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NASS, Fastmarkets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188174" cy="53671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269E2-7CCE-CB3C-BE45-DD788953F8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0.24607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81BEE1F-6E6A-4DAD-9331-1D2105C62CFC}"/>
            </a:ext>
          </a:extLst>
        </cdr:cNvPr>
        <cdr:cNvSpPr txBox="1"/>
      </cdr:nvSpPr>
      <cdr:spPr>
        <a:xfrm xmlns:a="http://schemas.openxmlformats.org/drawingml/2006/main">
          <a:off x="0" y="5077239"/>
          <a:ext cx="2335695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03765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10683-8930-7A3C-B9B4-7D0173F110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0.24956</cdr:x>
      <cdr:y>0.99323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6892EFD-5417-46E5-9888-443CB7EE4465}"/>
            </a:ext>
          </a:extLst>
        </cdr:cNvPr>
        <cdr:cNvSpPr txBox="1"/>
      </cdr:nvSpPr>
      <cdr:spPr>
        <a:xfrm xmlns:a="http://schemas.openxmlformats.org/drawingml/2006/main">
          <a:off x="0" y="5083106"/>
          <a:ext cx="2369928" cy="26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0.66199</cdr:x>
      <cdr:y>0.95398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CA3574-71A0-EFDB-8DD9-456459F874C3}"/>
            </a:ext>
          </a:extLst>
        </cdr:cNvPr>
        <cdr:cNvSpPr txBox="1"/>
      </cdr:nvSpPr>
      <cdr:spPr>
        <a:xfrm xmlns:a="http://schemas.openxmlformats.org/drawingml/2006/main">
          <a:off x="6286500" y="5133976"/>
          <a:ext cx="3209925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Labels indicate the progress for the week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1948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86675-544A-DDCB-AA9E-069796CC13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0.01134</cdr:x>
      <cdr:y>0.94453</cdr:y>
    </cdr:from>
    <cdr:to>
      <cdr:x>0.24956</cdr:x>
      <cdr:y>0.99075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6892EFD-5417-46E5-9888-443CB7EE4465}"/>
            </a:ext>
          </a:extLst>
        </cdr:cNvPr>
        <cdr:cNvSpPr txBox="1"/>
      </cdr:nvSpPr>
      <cdr:spPr>
        <a:xfrm xmlns:a="http://schemas.openxmlformats.org/drawingml/2006/main">
          <a:off x="107674" y="5077239"/>
          <a:ext cx="2261152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0.66199</cdr:x>
      <cdr:y>0.95398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CA3574-71A0-EFDB-8DD9-456459F874C3}"/>
            </a:ext>
          </a:extLst>
        </cdr:cNvPr>
        <cdr:cNvSpPr txBox="1"/>
      </cdr:nvSpPr>
      <cdr:spPr>
        <a:xfrm xmlns:a="http://schemas.openxmlformats.org/drawingml/2006/main">
          <a:off x="6286500" y="5133976"/>
          <a:ext cx="3209925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Labels indicate the progress for the week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1948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B6AE7-D18A-C210-7A7F-E095B99F3A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0.96285</cdr:y>
    </cdr:from>
    <cdr:to>
      <cdr:x>0.37203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F6A442-DC8F-4C3F-B2CA-2DBD59088C34}"/>
            </a:ext>
          </a:extLst>
        </cdr:cNvPr>
        <cdr:cNvSpPr txBox="1"/>
      </cdr:nvSpPr>
      <cdr:spPr>
        <a:xfrm xmlns:a="http://schemas.openxmlformats.org/drawingml/2006/main">
          <a:off x="0" y="5175717"/>
          <a:ext cx="3531260" cy="1996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  <cdr:relSizeAnchor xmlns:cdr="http://schemas.openxmlformats.org/drawingml/2006/chartDrawing">
    <cdr:from>
      <cdr:x>0.44734</cdr:x>
      <cdr:y>0.92212</cdr:y>
    </cdr:from>
    <cdr:to>
      <cdr:x>1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236F8AD-1CEA-A33E-02B2-DD4BE57CB899}"/>
            </a:ext>
          </a:extLst>
        </cdr:cNvPr>
        <cdr:cNvSpPr txBox="1"/>
      </cdr:nvSpPr>
      <cdr:spPr>
        <a:xfrm xmlns:a="http://schemas.openxmlformats.org/drawingml/2006/main">
          <a:off x="4248150" y="4962525"/>
          <a:ext cx="52482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Data labels for this year and last year indicate weekly progress.</a:t>
          </a:r>
        </a:p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For the 5-year average, the lableslin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dicated the cumulative progress.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Tore Alden" id="{4B7CAC3C-0160-4096-B044-F56637B38AB2}" userId="S::tore.alden@fastmarkets.com::e5711f0d-88c9-43f8-a012-4edd348f70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5" dT="2024-06-12T09:50:50.83" personId="{4B7CAC3C-0160-4096-B044-F56637B38AB2}" id="{F2BBB3DF-DD24-4636-B62B-EBCCE8343FFD}">
    <text>Govt Shut Down - Ratings Interpolated From Oct 3 and Oct 24 Data</text>
  </threadedComment>
  <threadedComment ref="W15" dT="2024-06-12T09:51:17.49" personId="{4B7CAC3C-0160-4096-B044-F56637B38AB2}" id="{C7EACD35-3ACE-4744-AB62-32021654EC25}">
    <text>Govt Shut Down - Ratings Interpolated From Oct 3 and Oct 24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5B1C-B377-4ECB-BEC0-933414F1F233}">
  <dimension ref="A1:BI48"/>
  <sheetViews>
    <sheetView zoomScale="130" zoomScaleNormal="130" workbookViewId="0">
      <pane xSplit="1" ySplit="1" topLeftCell="D22" activePane="bottomRight" state="frozen"/>
      <selection pane="topRight" activeCell="B1" sqref="B1"/>
      <selection pane="bottomLeft" activeCell="A2" sqref="A2"/>
      <selection pane="bottomRight" activeCell="K35" sqref="K35"/>
    </sheetView>
  </sheetViews>
  <sheetFormatPr defaultColWidth="9.140625" defaultRowHeight="11.25"/>
  <cols>
    <col min="1" max="29" width="9.140625" style="6"/>
    <col min="30" max="40" width="9.140625" style="6" customWidth="1"/>
    <col min="41" max="16384" width="9.140625" style="6"/>
  </cols>
  <sheetData>
    <row r="1" spans="1:50" ht="67.5">
      <c r="B1" s="7">
        <f>C1-7</f>
        <v>45439</v>
      </c>
      <c r="C1" s="7">
        <v>45446</v>
      </c>
      <c r="D1" s="7">
        <f>C1+7</f>
        <v>45453</v>
      </c>
      <c r="E1" s="7">
        <f t="shared" ref="E1:Y1" si="0">D1+7</f>
        <v>45460</v>
      </c>
      <c r="F1" s="7">
        <f t="shared" si="0"/>
        <v>45467</v>
      </c>
      <c r="G1" s="7">
        <f t="shared" si="0"/>
        <v>45474</v>
      </c>
      <c r="H1" s="7">
        <f t="shared" si="0"/>
        <v>45481</v>
      </c>
      <c r="I1" s="7">
        <f t="shared" si="0"/>
        <v>45488</v>
      </c>
      <c r="J1" s="7">
        <f t="shared" si="0"/>
        <v>45495</v>
      </c>
      <c r="K1" s="7">
        <f t="shared" si="0"/>
        <v>45502</v>
      </c>
      <c r="L1" s="7">
        <f t="shared" si="0"/>
        <v>45509</v>
      </c>
      <c r="M1" s="7">
        <f t="shared" si="0"/>
        <v>45516</v>
      </c>
      <c r="N1" s="7">
        <f t="shared" si="0"/>
        <v>45523</v>
      </c>
      <c r="O1" s="7">
        <f t="shared" si="0"/>
        <v>45530</v>
      </c>
      <c r="P1" s="7">
        <f t="shared" si="0"/>
        <v>45537</v>
      </c>
      <c r="Q1" s="7">
        <f t="shared" si="0"/>
        <v>45544</v>
      </c>
      <c r="R1" s="7">
        <f t="shared" si="0"/>
        <v>45551</v>
      </c>
      <c r="S1" s="7">
        <f t="shared" si="0"/>
        <v>45558</v>
      </c>
      <c r="T1" s="7">
        <f t="shared" si="0"/>
        <v>45565</v>
      </c>
      <c r="U1" s="7">
        <f t="shared" si="0"/>
        <v>45572</v>
      </c>
      <c r="V1" s="7">
        <f t="shared" si="0"/>
        <v>45579</v>
      </c>
      <c r="W1" s="7">
        <f t="shared" si="0"/>
        <v>45586</v>
      </c>
      <c r="X1" s="7">
        <f t="shared" si="0"/>
        <v>45593</v>
      </c>
      <c r="Y1" s="7">
        <f t="shared" si="0"/>
        <v>45600</v>
      </c>
      <c r="AD1" s="8" t="s">
        <v>0</v>
      </c>
      <c r="AE1" s="8" t="s">
        <v>1</v>
      </c>
      <c r="AF1" s="8" t="s">
        <v>2</v>
      </c>
      <c r="AG1" s="8" t="s">
        <v>3</v>
      </c>
      <c r="AH1" s="8" t="s">
        <v>4</v>
      </c>
      <c r="AI1" s="8" t="s">
        <v>5</v>
      </c>
      <c r="AJ1" s="8" t="s">
        <v>6</v>
      </c>
      <c r="AK1" s="8" t="s">
        <v>7</v>
      </c>
      <c r="AL1" s="8" t="s">
        <v>8</v>
      </c>
      <c r="AM1" s="8" t="s">
        <v>9</v>
      </c>
      <c r="AN1" s="8" t="s">
        <v>10</v>
      </c>
      <c r="AO1" s="8" t="s">
        <v>11</v>
      </c>
      <c r="AP1" s="8" t="s">
        <v>12</v>
      </c>
      <c r="AQ1" s="8" t="s">
        <v>13</v>
      </c>
      <c r="AR1" s="8" t="s">
        <v>14</v>
      </c>
      <c r="AS1" s="8" t="s">
        <v>15</v>
      </c>
      <c r="AT1" s="8" t="s">
        <v>16</v>
      </c>
      <c r="AV1" s="8" t="s">
        <v>17</v>
      </c>
      <c r="AW1" s="8" t="s">
        <v>18</v>
      </c>
      <c r="AX1" s="8" t="s">
        <v>16</v>
      </c>
    </row>
    <row r="2" spans="1:50">
      <c r="A2" s="6">
        <v>2000</v>
      </c>
      <c r="B2" s="6">
        <v>66</v>
      </c>
      <c r="C2" s="6">
        <v>66</v>
      </c>
      <c r="D2" s="6">
        <v>65</v>
      </c>
      <c r="E2" s="6">
        <v>68</v>
      </c>
      <c r="F2" s="6">
        <v>66</v>
      </c>
      <c r="G2" s="6">
        <v>66</v>
      </c>
      <c r="H2" s="6">
        <v>66</v>
      </c>
      <c r="I2" s="6">
        <v>66</v>
      </c>
      <c r="J2" s="6">
        <v>68</v>
      </c>
      <c r="K2" s="6">
        <v>66</v>
      </c>
      <c r="L2" s="6">
        <v>65</v>
      </c>
      <c r="M2" s="6">
        <v>65</v>
      </c>
      <c r="N2" s="6">
        <v>62</v>
      </c>
      <c r="O2" s="6">
        <v>58</v>
      </c>
      <c r="P2" s="6">
        <v>55</v>
      </c>
      <c r="Q2" s="6">
        <v>52</v>
      </c>
      <c r="R2" s="6">
        <v>53</v>
      </c>
      <c r="S2" s="6">
        <v>52</v>
      </c>
      <c r="T2" s="6">
        <v>54</v>
      </c>
      <c r="AA2" s="6">
        <f t="shared" ref="AA2:AA25" si="1">D2</f>
        <v>65</v>
      </c>
      <c r="AD2" s="9">
        <v>40</v>
      </c>
      <c r="AE2" s="9">
        <v>40.700000000000003</v>
      </c>
      <c r="AF2" s="9">
        <v>39.5</v>
      </c>
      <c r="AG2" s="9">
        <v>38.700000000000003</v>
      </c>
      <c r="AH2" s="9">
        <v>38</v>
      </c>
      <c r="AI2" s="9">
        <v>38.1</v>
      </c>
      <c r="AJ2" s="9">
        <v>38.1</v>
      </c>
      <c r="AK2" s="10">
        <f>M2</f>
        <v>65</v>
      </c>
      <c r="AL2" s="12">
        <f>AE2-AD2</f>
        <v>0.70000000000000284</v>
      </c>
      <c r="AM2" s="26">
        <f t="shared" ref="AM2:AM26" si="2">(L2-G2)/100</f>
        <v>-0.01</v>
      </c>
      <c r="AN2" s="12">
        <f>AF2-AE2</f>
        <v>-1.2000000000000028</v>
      </c>
      <c r="AO2" s="12">
        <f>P2-L2</f>
        <v>-10</v>
      </c>
      <c r="AP2" s="12">
        <f>AG2-AF2</f>
        <v>-0.79999999999999716</v>
      </c>
      <c r="AQ2" s="12">
        <f>T2-P2</f>
        <v>-1</v>
      </c>
      <c r="AR2" s="12">
        <f t="shared" ref="AR2:AR24" si="3">AH2-AG2</f>
        <v>-0.70000000000000284</v>
      </c>
      <c r="AS2" s="12">
        <f>T2-T2</f>
        <v>0</v>
      </c>
      <c r="AT2" s="12">
        <f t="shared" ref="AT2:AT24" si="4">AI2-AH2</f>
        <v>0.10000000000000142</v>
      </c>
      <c r="AU2" s="11" t="str">
        <f t="shared" ref="AU2:AU23" si="5">IF(AR2&gt;0,AT2,"")</f>
        <v/>
      </c>
      <c r="AV2" s="12">
        <f>AI2-AF2</f>
        <v>-1.3999999999999986</v>
      </c>
      <c r="AW2" s="12">
        <f>AI2-AG2</f>
        <v>-0.60000000000000142</v>
      </c>
      <c r="AX2" s="9">
        <f t="shared" ref="AX2:AX22" si="6">AI2-AH2</f>
        <v>0.10000000000000142</v>
      </c>
    </row>
    <row r="3" spans="1:50">
      <c r="A3" s="6">
        <v>2001</v>
      </c>
      <c r="B3" s="6">
        <v>61</v>
      </c>
      <c r="C3" s="6">
        <v>56</v>
      </c>
      <c r="D3" s="6">
        <v>55</v>
      </c>
      <c r="E3" s="6">
        <v>58</v>
      </c>
      <c r="F3" s="6">
        <v>60</v>
      </c>
      <c r="G3" s="6">
        <v>60</v>
      </c>
      <c r="H3" s="6">
        <v>61</v>
      </c>
      <c r="I3" s="6">
        <v>57</v>
      </c>
      <c r="J3" s="6">
        <v>55</v>
      </c>
      <c r="K3" s="6">
        <v>60</v>
      </c>
      <c r="L3" s="6">
        <v>57</v>
      </c>
      <c r="M3" s="6">
        <v>54</v>
      </c>
      <c r="N3" s="6">
        <v>52</v>
      </c>
      <c r="O3" s="6">
        <v>52</v>
      </c>
      <c r="P3" s="6">
        <v>52</v>
      </c>
      <c r="Q3" s="6">
        <v>53</v>
      </c>
      <c r="R3" s="6">
        <v>55</v>
      </c>
      <c r="S3" s="6">
        <v>53</v>
      </c>
      <c r="T3" s="6">
        <v>55</v>
      </c>
      <c r="U3" s="6">
        <v>54</v>
      </c>
      <c r="AA3" s="6">
        <f t="shared" si="1"/>
        <v>55</v>
      </c>
      <c r="AD3" s="9">
        <v>39.5</v>
      </c>
      <c r="AE3" s="9">
        <v>38.700000000000003</v>
      </c>
      <c r="AF3" s="9">
        <v>38.200000000000003</v>
      </c>
      <c r="AG3" s="9">
        <v>39.200000000000003</v>
      </c>
      <c r="AH3" s="9">
        <v>39.4</v>
      </c>
      <c r="AI3" s="9">
        <v>39.6</v>
      </c>
      <c r="AJ3" s="9">
        <v>39.6</v>
      </c>
      <c r="AK3" s="10">
        <f t="shared" ref="AK3:AK26" si="7">M3</f>
        <v>54</v>
      </c>
      <c r="AL3" s="12">
        <f t="shared" ref="AL3:AL21" si="8">AE3-AD3</f>
        <v>-0.79999999999999716</v>
      </c>
      <c r="AM3" s="26">
        <f t="shared" si="2"/>
        <v>-0.03</v>
      </c>
      <c r="AN3" s="12">
        <f t="shared" ref="AN3:AN24" si="9">AF3-AE3</f>
        <v>-0.5</v>
      </c>
      <c r="AO3" s="12">
        <f t="shared" ref="AO3:AO21" si="10">P3-L3</f>
        <v>-5</v>
      </c>
      <c r="AP3" s="12">
        <f t="shared" ref="AP3:AP24" si="11">AG3-AF3</f>
        <v>1</v>
      </c>
      <c r="AQ3" s="12">
        <f t="shared" ref="AQ3:AQ24" si="12">T3-P3</f>
        <v>3</v>
      </c>
      <c r="AR3" s="12">
        <f t="shared" si="3"/>
        <v>0.19999999999999574</v>
      </c>
      <c r="AS3" s="12">
        <f>U3-T3</f>
        <v>-1</v>
      </c>
      <c r="AT3" s="12">
        <f t="shared" si="4"/>
        <v>0.20000000000000284</v>
      </c>
      <c r="AU3" s="11">
        <f t="shared" si="5"/>
        <v>0.20000000000000284</v>
      </c>
      <c r="AV3" s="12">
        <f t="shared" ref="AV3:AV26" si="13">AI3-AF3</f>
        <v>1.3999999999999986</v>
      </c>
      <c r="AW3" s="12">
        <f t="shared" ref="AW3:AW22" si="14">AI3-AG3</f>
        <v>0.39999999999999858</v>
      </c>
      <c r="AX3" s="9">
        <f t="shared" si="6"/>
        <v>0.20000000000000284</v>
      </c>
    </row>
    <row r="4" spans="1:50">
      <c r="A4" s="6">
        <v>2002</v>
      </c>
      <c r="D4" s="6">
        <v>60</v>
      </c>
      <c r="E4" s="6">
        <v>62</v>
      </c>
      <c r="F4" s="6">
        <v>62</v>
      </c>
      <c r="G4" s="6">
        <v>56</v>
      </c>
      <c r="H4" s="6">
        <v>52</v>
      </c>
      <c r="I4" s="6">
        <v>50</v>
      </c>
      <c r="J4" s="6">
        <v>43</v>
      </c>
      <c r="K4" s="6">
        <v>45</v>
      </c>
      <c r="L4" s="6">
        <v>43</v>
      </c>
      <c r="M4" s="6">
        <v>42</v>
      </c>
      <c r="N4" s="6">
        <v>44</v>
      </c>
      <c r="O4" s="6">
        <v>46</v>
      </c>
      <c r="P4" s="6">
        <v>46</v>
      </c>
      <c r="Q4" s="6">
        <v>45</v>
      </c>
      <c r="R4" s="6">
        <v>44</v>
      </c>
      <c r="S4" s="6">
        <v>44</v>
      </c>
      <c r="T4" s="6">
        <v>43</v>
      </c>
      <c r="U4" s="6">
        <v>45</v>
      </c>
      <c r="AA4" s="6">
        <f t="shared" ref="AA4:AA5" si="15">E4</f>
        <v>62</v>
      </c>
      <c r="AD4" s="9">
        <v>39.700000000000003</v>
      </c>
      <c r="AE4" s="9">
        <v>36.5</v>
      </c>
      <c r="AF4" s="9">
        <v>37</v>
      </c>
      <c r="AG4" s="9">
        <v>37</v>
      </c>
      <c r="AH4" s="9">
        <v>37.5</v>
      </c>
      <c r="AI4" s="9">
        <v>38</v>
      </c>
      <c r="AJ4" s="9">
        <v>38</v>
      </c>
      <c r="AK4" s="10">
        <f t="shared" si="7"/>
        <v>42</v>
      </c>
      <c r="AL4" s="12">
        <f t="shared" si="8"/>
        <v>-3.2000000000000028</v>
      </c>
      <c r="AM4" s="26">
        <f t="shared" si="2"/>
        <v>-0.13</v>
      </c>
      <c r="AN4" s="12">
        <f t="shared" si="9"/>
        <v>0.5</v>
      </c>
      <c r="AO4" s="12">
        <f t="shared" si="10"/>
        <v>3</v>
      </c>
      <c r="AP4" s="12">
        <f t="shared" si="11"/>
        <v>0</v>
      </c>
      <c r="AQ4" s="12">
        <f t="shared" si="12"/>
        <v>-3</v>
      </c>
      <c r="AR4" s="12">
        <f t="shared" si="3"/>
        <v>0.5</v>
      </c>
      <c r="AS4" s="12">
        <f>U4-T4</f>
        <v>2</v>
      </c>
      <c r="AT4" s="12">
        <f t="shared" si="4"/>
        <v>0.5</v>
      </c>
      <c r="AU4" s="11">
        <f t="shared" si="5"/>
        <v>0.5</v>
      </c>
      <c r="AV4" s="12">
        <f t="shared" si="13"/>
        <v>1</v>
      </c>
      <c r="AW4" s="12">
        <f t="shared" si="14"/>
        <v>1</v>
      </c>
      <c r="AX4" s="9">
        <f t="shared" si="6"/>
        <v>0.5</v>
      </c>
    </row>
    <row r="5" spans="1:50">
      <c r="A5" s="6">
        <v>2003</v>
      </c>
      <c r="D5" s="6">
        <v>66</v>
      </c>
      <c r="E5" s="6">
        <v>68</v>
      </c>
      <c r="F5" s="6">
        <v>70</v>
      </c>
      <c r="G5" s="6">
        <v>70</v>
      </c>
      <c r="H5" s="6">
        <v>70</v>
      </c>
      <c r="I5" s="6">
        <v>70</v>
      </c>
      <c r="J5" s="6">
        <v>68</v>
      </c>
      <c r="K5" s="6">
        <v>66</v>
      </c>
      <c r="L5" s="6">
        <v>63</v>
      </c>
      <c r="M5" s="6">
        <v>62</v>
      </c>
      <c r="N5" s="6">
        <v>56</v>
      </c>
      <c r="O5" s="6">
        <v>48</v>
      </c>
      <c r="P5" s="6">
        <v>45</v>
      </c>
      <c r="Q5" s="6">
        <v>43</v>
      </c>
      <c r="R5" s="6">
        <v>41</v>
      </c>
      <c r="S5" s="6">
        <v>40</v>
      </c>
      <c r="T5" s="6">
        <v>39</v>
      </c>
      <c r="U5" s="6">
        <v>38</v>
      </c>
      <c r="V5" s="6">
        <v>38</v>
      </c>
      <c r="AA5" s="6">
        <f t="shared" si="15"/>
        <v>68</v>
      </c>
      <c r="AD5" s="9">
        <v>39.700000000000003</v>
      </c>
      <c r="AE5" s="9">
        <v>39.4</v>
      </c>
      <c r="AF5" s="9">
        <v>36.4</v>
      </c>
      <c r="AG5" s="9">
        <v>34</v>
      </c>
      <c r="AH5" s="9">
        <v>33.799999999999997</v>
      </c>
      <c r="AI5" s="9">
        <v>33.9</v>
      </c>
      <c r="AJ5" s="9">
        <v>33.9</v>
      </c>
      <c r="AK5" s="10">
        <f t="shared" si="7"/>
        <v>62</v>
      </c>
      <c r="AL5" s="12">
        <f t="shared" si="8"/>
        <v>-0.30000000000000426</v>
      </c>
      <c r="AM5" s="26">
        <f t="shared" si="2"/>
        <v>-7.0000000000000007E-2</v>
      </c>
      <c r="AN5" s="12">
        <f t="shared" si="9"/>
        <v>-3</v>
      </c>
      <c r="AO5" s="12">
        <f t="shared" si="10"/>
        <v>-18</v>
      </c>
      <c r="AP5" s="12">
        <f t="shared" si="11"/>
        <v>-2.3999999999999986</v>
      </c>
      <c r="AQ5" s="12">
        <f t="shared" si="12"/>
        <v>-6</v>
      </c>
      <c r="AR5" s="12">
        <f t="shared" si="3"/>
        <v>-0.20000000000000284</v>
      </c>
      <c r="AS5" s="12">
        <f>V5-T5</f>
        <v>-1</v>
      </c>
      <c r="AT5" s="12">
        <f t="shared" si="4"/>
        <v>0.10000000000000142</v>
      </c>
      <c r="AU5" s="11" t="str">
        <f t="shared" si="5"/>
        <v/>
      </c>
      <c r="AV5" s="12">
        <f t="shared" si="13"/>
        <v>-2.5</v>
      </c>
      <c r="AW5" s="12">
        <f t="shared" si="14"/>
        <v>-0.10000000000000142</v>
      </c>
      <c r="AX5" s="9">
        <f t="shared" si="6"/>
        <v>0.10000000000000142</v>
      </c>
    </row>
    <row r="6" spans="1:50">
      <c r="A6" s="6">
        <v>2004</v>
      </c>
      <c r="D6" s="6">
        <v>65</v>
      </c>
      <c r="E6" s="6">
        <v>68</v>
      </c>
      <c r="F6" s="6">
        <v>67</v>
      </c>
      <c r="G6" s="6">
        <v>66</v>
      </c>
      <c r="H6" s="6">
        <v>67</v>
      </c>
      <c r="I6" s="6">
        <v>68</v>
      </c>
      <c r="J6" s="6">
        <v>68</v>
      </c>
      <c r="K6" s="6">
        <v>69</v>
      </c>
      <c r="L6" s="6">
        <v>70</v>
      </c>
      <c r="M6" s="6">
        <v>73</v>
      </c>
      <c r="N6" s="6">
        <v>69</v>
      </c>
      <c r="O6" s="6">
        <v>67</v>
      </c>
      <c r="P6" s="6">
        <v>64</v>
      </c>
      <c r="Q6" s="6">
        <v>62</v>
      </c>
      <c r="R6" s="6">
        <v>63</v>
      </c>
      <c r="S6" s="6">
        <v>64</v>
      </c>
      <c r="T6" s="6">
        <v>66</v>
      </c>
      <c r="U6" s="6">
        <v>66</v>
      </c>
      <c r="V6" s="6">
        <v>66</v>
      </c>
      <c r="AA6" s="6">
        <f>E6</f>
        <v>68</v>
      </c>
      <c r="AD6" s="9">
        <v>39.9</v>
      </c>
      <c r="AE6" s="9">
        <v>39.1</v>
      </c>
      <c r="AF6" s="9">
        <v>38.5</v>
      </c>
      <c r="AG6" s="9">
        <v>42</v>
      </c>
      <c r="AH6" s="9">
        <v>42.6</v>
      </c>
      <c r="AI6" s="9">
        <v>42.2</v>
      </c>
      <c r="AJ6" s="9">
        <v>42.2</v>
      </c>
      <c r="AK6" s="10">
        <f t="shared" si="7"/>
        <v>73</v>
      </c>
      <c r="AL6" s="12">
        <f t="shared" si="8"/>
        <v>-0.79999999999999716</v>
      </c>
      <c r="AM6" s="26">
        <f t="shared" si="2"/>
        <v>0.04</v>
      </c>
      <c r="AN6" s="12">
        <f t="shared" si="9"/>
        <v>-0.60000000000000142</v>
      </c>
      <c r="AO6" s="12">
        <f t="shared" si="10"/>
        <v>-6</v>
      </c>
      <c r="AP6" s="12">
        <f t="shared" si="11"/>
        <v>3.5</v>
      </c>
      <c r="AQ6" s="12">
        <f t="shared" si="12"/>
        <v>2</v>
      </c>
      <c r="AR6" s="12">
        <f t="shared" si="3"/>
        <v>0.60000000000000142</v>
      </c>
      <c r="AS6" s="12">
        <f>V6-T6</f>
        <v>0</v>
      </c>
      <c r="AT6" s="12">
        <f t="shared" si="4"/>
        <v>-0.39999999999999858</v>
      </c>
      <c r="AU6" s="11">
        <f t="shared" si="5"/>
        <v>-0.39999999999999858</v>
      </c>
      <c r="AV6" s="12">
        <f t="shared" si="13"/>
        <v>3.7000000000000028</v>
      </c>
      <c r="AW6" s="12">
        <f t="shared" si="14"/>
        <v>0.20000000000000284</v>
      </c>
      <c r="AX6" s="9">
        <f t="shared" si="6"/>
        <v>-0.39999999999999858</v>
      </c>
    </row>
    <row r="7" spans="1:50">
      <c r="A7" s="6">
        <v>2005</v>
      </c>
      <c r="C7" s="6">
        <v>62</v>
      </c>
      <c r="D7" s="6">
        <v>64</v>
      </c>
      <c r="E7" s="6">
        <v>63</v>
      </c>
      <c r="F7" s="6">
        <v>59</v>
      </c>
      <c r="G7" s="6">
        <v>58</v>
      </c>
      <c r="H7" s="6">
        <v>54</v>
      </c>
      <c r="I7" s="6">
        <v>53</v>
      </c>
      <c r="J7" s="6">
        <v>54</v>
      </c>
      <c r="K7" s="6">
        <v>54</v>
      </c>
      <c r="L7" s="6">
        <v>51</v>
      </c>
      <c r="M7" s="6">
        <v>51</v>
      </c>
      <c r="N7" s="6">
        <v>52</v>
      </c>
      <c r="O7" s="6">
        <v>53</v>
      </c>
      <c r="P7" s="6">
        <v>54</v>
      </c>
      <c r="Q7" s="6">
        <v>54</v>
      </c>
      <c r="R7" s="6">
        <v>53</v>
      </c>
      <c r="S7" s="6">
        <v>55</v>
      </c>
      <c r="T7" s="6">
        <v>56</v>
      </c>
      <c r="U7" s="6">
        <v>57</v>
      </c>
      <c r="AA7" s="6">
        <f t="shared" si="1"/>
        <v>64</v>
      </c>
      <c r="AD7" s="9">
        <v>39.9</v>
      </c>
      <c r="AE7" s="9">
        <v>38.700000000000003</v>
      </c>
      <c r="AF7" s="9">
        <v>39.6</v>
      </c>
      <c r="AG7" s="9">
        <v>41.6</v>
      </c>
      <c r="AH7" s="9">
        <v>42.7</v>
      </c>
      <c r="AI7" s="9">
        <v>43.1</v>
      </c>
      <c r="AJ7" s="9">
        <v>43.1</v>
      </c>
      <c r="AK7" s="10">
        <f t="shared" si="7"/>
        <v>51</v>
      </c>
      <c r="AL7" s="12">
        <f t="shared" si="8"/>
        <v>-1.1999999999999957</v>
      </c>
      <c r="AM7" s="26">
        <f t="shared" si="2"/>
        <v>-7.0000000000000007E-2</v>
      </c>
      <c r="AN7" s="12">
        <f t="shared" si="9"/>
        <v>0.89999999999999858</v>
      </c>
      <c r="AO7" s="12">
        <f t="shared" si="10"/>
        <v>3</v>
      </c>
      <c r="AP7" s="12">
        <f t="shared" si="11"/>
        <v>2</v>
      </c>
      <c r="AQ7" s="12">
        <f t="shared" si="12"/>
        <v>2</v>
      </c>
      <c r="AR7" s="12">
        <f t="shared" si="3"/>
        <v>1.1000000000000014</v>
      </c>
      <c r="AS7" s="12">
        <f>U7-T7</f>
        <v>1</v>
      </c>
      <c r="AT7" s="12">
        <f t="shared" si="4"/>
        <v>0.39999999999999858</v>
      </c>
      <c r="AU7" s="11">
        <f t="shared" si="5"/>
        <v>0.39999999999999858</v>
      </c>
      <c r="AV7" s="12">
        <f t="shared" si="13"/>
        <v>3.5</v>
      </c>
      <c r="AW7" s="12">
        <f t="shared" si="14"/>
        <v>1.5</v>
      </c>
      <c r="AX7" s="9">
        <f t="shared" si="6"/>
        <v>0.39999999999999858</v>
      </c>
    </row>
    <row r="8" spans="1:50">
      <c r="A8" s="6">
        <v>2006</v>
      </c>
      <c r="C8" s="6">
        <v>70</v>
      </c>
      <c r="D8" s="6">
        <v>67</v>
      </c>
      <c r="E8" s="6">
        <v>67</v>
      </c>
      <c r="F8" s="6">
        <v>67</v>
      </c>
      <c r="G8" s="6">
        <v>64</v>
      </c>
      <c r="H8" s="6">
        <v>58</v>
      </c>
      <c r="I8" s="6">
        <v>57</v>
      </c>
      <c r="J8" s="6">
        <v>54</v>
      </c>
      <c r="K8" s="6">
        <v>53</v>
      </c>
      <c r="L8" s="6">
        <v>53</v>
      </c>
      <c r="M8" s="6">
        <v>56</v>
      </c>
      <c r="N8" s="6">
        <v>58</v>
      </c>
      <c r="O8" s="6">
        <v>59</v>
      </c>
      <c r="P8" s="6">
        <v>59</v>
      </c>
      <c r="Q8" s="6">
        <v>60</v>
      </c>
      <c r="R8" s="6">
        <v>61</v>
      </c>
      <c r="S8" s="6">
        <v>62</v>
      </c>
      <c r="T8" s="6">
        <v>62</v>
      </c>
      <c r="U8" s="6">
        <v>62</v>
      </c>
      <c r="AA8" s="6">
        <f t="shared" si="1"/>
        <v>67</v>
      </c>
      <c r="AD8" s="9">
        <v>40.700000000000003</v>
      </c>
      <c r="AE8" s="9">
        <v>39.6</v>
      </c>
      <c r="AF8" s="9">
        <v>41.8</v>
      </c>
      <c r="AG8" s="9">
        <v>42.8</v>
      </c>
      <c r="AH8" s="9">
        <v>43</v>
      </c>
      <c r="AI8" s="9">
        <v>42.9</v>
      </c>
      <c r="AJ8" s="9">
        <v>42.9</v>
      </c>
      <c r="AK8" s="10">
        <f t="shared" si="7"/>
        <v>56</v>
      </c>
      <c r="AL8" s="12">
        <f t="shared" si="8"/>
        <v>-1.1000000000000014</v>
      </c>
      <c r="AM8" s="26">
        <f t="shared" si="2"/>
        <v>-0.11</v>
      </c>
      <c r="AN8" s="12">
        <f t="shared" si="9"/>
        <v>2.1999999999999957</v>
      </c>
      <c r="AO8" s="12">
        <f t="shared" si="10"/>
        <v>6</v>
      </c>
      <c r="AP8" s="12">
        <f t="shared" si="11"/>
        <v>1</v>
      </c>
      <c r="AQ8" s="12">
        <f t="shared" si="12"/>
        <v>3</v>
      </c>
      <c r="AR8" s="12">
        <f t="shared" si="3"/>
        <v>0.20000000000000284</v>
      </c>
      <c r="AS8" s="12">
        <f t="shared" ref="AS8:AS9" si="16">U8-T8</f>
        <v>0</v>
      </c>
      <c r="AT8" s="12">
        <f t="shared" si="4"/>
        <v>-0.10000000000000142</v>
      </c>
      <c r="AU8" s="11">
        <f t="shared" si="5"/>
        <v>-0.10000000000000142</v>
      </c>
      <c r="AV8" s="12">
        <f t="shared" si="13"/>
        <v>1.1000000000000014</v>
      </c>
      <c r="AW8" s="12">
        <f t="shared" si="14"/>
        <v>0.10000000000000142</v>
      </c>
      <c r="AX8" s="9">
        <f t="shared" si="6"/>
        <v>-0.10000000000000142</v>
      </c>
    </row>
    <row r="9" spans="1:50">
      <c r="A9" s="6">
        <v>2007</v>
      </c>
      <c r="C9" s="6">
        <v>71</v>
      </c>
      <c r="D9" s="6">
        <v>70</v>
      </c>
      <c r="E9" s="6">
        <v>65</v>
      </c>
      <c r="F9" s="6">
        <v>66</v>
      </c>
      <c r="G9" s="6">
        <v>68</v>
      </c>
      <c r="H9" s="6">
        <v>65</v>
      </c>
      <c r="I9" s="6">
        <v>62</v>
      </c>
      <c r="J9" s="6">
        <v>61</v>
      </c>
      <c r="K9" s="6">
        <v>58</v>
      </c>
      <c r="L9" s="6">
        <v>56</v>
      </c>
      <c r="M9" s="6">
        <v>56</v>
      </c>
      <c r="N9" s="6">
        <v>54</v>
      </c>
      <c r="O9" s="6">
        <v>55</v>
      </c>
      <c r="P9" s="6">
        <v>56</v>
      </c>
      <c r="Q9" s="6">
        <v>56</v>
      </c>
      <c r="R9" s="6">
        <v>56</v>
      </c>
      <c r="S9" s="6">
        <v>58</v>
      </c>
      <c r="T9" s="6">
        <v>57</v>
      </c>
      <c r="U9" s="6">
        <v>58</v>
      </c>
      <c r="AA9" s="6">
        <f t="shared" si="1"/>
        <v>70</v>
      </c>
      <c r="AD9" s="9">
        <v>41.5</v>
      </c>
      <c r="AE9" s="9">
        <v>41.5</v>
      </c>
      <c r="AF9" s="9">
        <v>41.4</v>
      </c>
      <c r="AG9" s="9">
        <v>41.4</v>
      </c>
      <c r="AH9" s="9">
        <v>41.3</v>
      </c>
      <c r="AI9" s="9">
        <v>41.7</v>
      </c>
      <c r="AJ9" s="9">
        <v>41.7</v>
      </c>
      <c r="AK9" s="10">
        <f t="shared" si="7"/>
        <v>56</v>
      </c>
      <c r="AL9" s="12">
        <f t="shared" si="8"/>
        <v>0</v>
      </c>
      <c r="AM9" s="26">
        <f t="shared" si="2"/>
        <v>-0.12</v>
      </c>
      <c r="AN9" s="12">
        <f t="shared" si="9"/>
        <v>-0.10000000000000142</v>
      </c>
      <c r="AO9" s="12">
        <f t="shared" si="10"/>
        <v>0</v>
      </c>
      <c r="AP9" s="12">
        <f t="shared" si="11"/>
        <v>0</v>
      </c>
      <c r="AQ9" s="12">
        <f t="shared" si="12"/>
        <v>1</v>
      </c>
      <c r="AR9" s="12">
        <f t="shared" si="3"/>
        <v>-0.10000000000000142</v>
      </c>
      <c r="AS9" s="12">
        <f t="shared" si="16"/>
        <v>1</v>
      </c>
      <c r="AT9" s="12">
        <f t="shared" si="4"/>
        <v>0.40000000000000568</v>
      </c>
      <c r="AU9" s="11" t="str">
        <f t="shared" si="5"/>
        <v/>
      </c>
      <c r="AV9" s="12">
        <f t="shared" si="13"/>
        <v>0.30000000000000426</v>
      </c>
      <c r="AW9" s="12">
        <f t="shared" si="14"/>
        <v>0.30000000000000426</v>
      </c>
      <c r="AX9" s="9">
        <f t="shared" si="6"/>
        <v>0.40000000000000568</v>
      </c>
    </row>
    <row r="10" spans="1:50">
      <c r="A10" s="6">
        <v>2008</v>
      </c>
      <c r="D10" s="6">
        <v>57</v>
      </c>
      <c r="E10" s="6">
        <v>56</v>
      </c>
      <c r="F10" s="6">
        <v>57</v>
      </c>
      <c r="G10" s="6">
        <v>58</v>
      </c>
      <c r="H10" s="6">
        <v>59</v>
      </c>
      <c r="I10" s="6">
        <v>59</v>
      </c>
      <c r="J10" s="6">
        <v>61</v>
      </c>
      <c r="K10" s="6">
        <v>62</v>
      </c>
      <c r="L10" s="6">
        <v>63</v>
      </c>
      <c r="M10" s="6">
        <v>63</v>
      </c>
      <c r="N10" s="6">
        <v>62</v>
      </c>
      <c r="O10" s="6">
        <v>61</v>
      </c>
      <c r="P10" s="6">
        <v>57</v>
      </c>
      <c r="Q10" s="6">
        <v>57</v>
      </c>
      <c r="R10" s="6">
        <v>57</v>
      </c>
      <c r="S10" s="6">
        <v>57</v>
      </c>
      <c r="T10" s="6">
        <v>57</v>
      </c>
      <c r="U10" s="6">
        <v>57</v>
      </c>
      <c r="V10" s="6">
        <v>57</v>
      </c>
      <c r="W10" s="6">
        <v>57</v>
      </c>
      <c r="AA10" s="6">
        <f>E10</f>
        <v>56</v>
      </c>
      <c r="AD10" s="9">
        <v>41.6</v>
      </c>
      <c r="AE10" s="9">
        <v>40.5</v>
      </c>
      <c r="AF10" s="9">
        <v>40</v>
      </c>
      <c r="AG10" s="9">
        <v>39.5</v>
      </c>
      <c r="AH10" s="9">
        <v>39.299999999999997</v>
      </c>
      <c r="AI10" s="9">
        <v>39.700000000000003</v>
      </c>
      <c r="AJ10" s="9">
        <v>39.700000000000003</v>
      </c>
      <c r="AK10" s="10">
        <f t="shared" si="7"/>
        <v>63</v>
      </c>
      <c r="AL10" s="12">
        <f t="shared" si="8"/>
        <v>-1.1000000000000014</v>
      </c>
      <c r="AM10" s="26">
        <f t="shared" si="2"/>
        <v>0.05</v>
      </c>
      <c r="AN10" s="12">
        <f t="shared" si="9"/>
        <v>-0.5</v>
      </c>
      <c r="AO10" s="12">
        <f t="shared" si="10"/>
        <v>-6</v>
      </c>
      <c r="AP10" s="12">
        <f t="shared" si="11"/>
        <v>-0.5</v>
      </c>
      <c r="AQ10" s="12">
        <f t="shared" si="12"/>
        <v>0</v>
      </c>
      <c r="AR10" s="12">
        <f t="shared" si="3"/>
        <v>-0.20000000000000284</v>
      </c>
      <c r="AS10" s="12">
        <f>W10-T10</f>
        <v>0</v>
      </c>
      <c r="AT10" s="12">
        <f t="shared" si="4"/>
        <v>0.40000000000000568</v>
      </c>
      <c r="AU10" s="11" t="str">
        <f t="shared" si="5"/>
        <v/>
      </c>
      <c r="AV10" s="12">
        <f t="shared" si="13"/>
        <v>-0.29999999999999716</v>
      </c>
      <c r="AW10" s="12">
        <f t="shared" si="14"/>
        <v>0.20000000000000284</v>
      </c>
      <c r="AX10" s="9">
        <f t="shared" si="6"/>
        <v>0.40000000000000568</v>
      </c>
    </row>
    <row r="11" spans="1:50">
      <c r="A11" s="6">
        <v>2009</v>
      </c>
      <c r="E11" s="6">
        <v>66</v>
      </c>
      <c r="F11" s="6">
        <v>67</v>
      </c>
      <c r="G11" s="6">
        <v>68</v>
      </c>
      <c r="H11" s="6">
        <v>66</v>
      </c>
      <c r="I11" s="6">
        <v>66</v>
      </c>
      <c r="J11" s="6">
        <v>67</v>
      </c>
      <c r="K11" s="6">
        <v>67</v>
      </c>
      <c r="L11" s="6">
        <v>67</v>
      </c>
      <c r="M11" s="6">
        <v>66</v>
      </c>
      <c r="N11" s="6">
        <v>66</v>
      </c>
      <c r="O11" s="6">
        <v>69</v>
      </c>
      <c r="P11" s="6">
        <v>69</v>
      </c>
      <c r="Q11" s="6">
        <v>68</v>
      </c>
      <c r="R11" s="6">
        <v>68</v>
      </c>
      <c r="S11" s="6">
        <v>67</v>
      </c>
      <c r="T11" s="6">
        <v>66</v>
      </c>
      <c r="U11" s="6">
        <v>67</v>
      </c>
      <c r="V11" s="6">
        <v>65</v>
      </c>
      <c r="W11" s="6">
        <v>65</v>
      </c>
      <c r="X11" s="6">
        <v>65</v>
      </c>
      <c r="Y11" s="6">
        <v>63</v>
      </c>
      <c r="AA11" s="6">
        <f>F11</f>
        <v>67</v>
      </c>
      <c r="AD11" s="9">
        <v>42.6</v>
      </c>
      <c r="AE11" s="9">
        <v>41.7</v>
      </c>
      <c r="AF11" s="9">
        <v>42.3</v>
      </c>
      <c r="AG11" s="9">
        <v>42.4</v>
      </c>
      <c r="AH11" s="9">
        <v>43.3</v>
      </c>
      <c r="AI11" s="9">
        <v>44</v>
      </c>
      <c r="AJ11" s="9">
        <v>44</v>
      </c>
      <c r="AK11" s="10">
        <f t="shared" si="7"/>
        <v>66</v>
      </c>
      <c r="AL11" s="12">
        <f t="shared" si="8"/>
        <v>-0.89999999999999858</v>
      </c>
      <c r="AM11" s="26">
        <f t="shared" si="2"/>
        <v>-0.01</v>
      </c>
      <c r="AN11" s="12">
        <f t="shared" si="9"/>
        <v>0.59999999999999432</v>
      </c>
      <c r="AO11" s="12">
        <f t="shared" si="10"/>
        <v>2</v>
      </c>
      <c r="AP11" s="12">
        <f t="shared" si="11"/>
        <v>0.10000000000000142</v>
      </c>
      <c r="AQ11" s="12">
        <f t="shared" si="12"/>
        <v>-3</v>
      </c>
      <c r="AR11" s="12">
        <f t="shared" si="3"/>
        <v>0.89999999999999858</v>
      </c>
      <c r="AS11" s="12">
        <f>Y11-T11</f>
        <v>-3</v>
      </c>
      <c r="AT11" s="12">
        <f t="shared" si="4"/>
        <v>0.70000000000000284</v>
      </c>
      <c r="AU11" s="11">
        <f t="shared" si="5"/>
        <v>0.70000000000000284</v>
      </c>
      <c r="AV11" s="12">
        <f t="shared" si="13"/>
        <v>1.7000000000000028</v>
      </c>
      <c r="AW11" s="12">
        <f t="shared" si="14"/>
        <v>1.6000000000000014</v>
      </c>
      <c r="AX11" s="9">
        <f t="shared" si="6"/>
        <v>0.70000000000000284</v>
      </c>
    </row>
    <row r="12" spans="1:50">
      <c r="A12" s="6">
        <v>2010</v>
      </c>
      <c r="C12" s="6">
        <v>75</v>
      </c>
      <c r="D12" s="6">
        <v>73</v>
      </c>
      <c r="E12" s="6">
        <v>69</v>
      </c>
      <c r="F12" s="6">
        <v>67</v>
      </c>
      <c r="G12" s="6">
        <v>66</v>
      </c>
      <c r="H12" s="6">
        <v>65</v>
      </c>
      <c r="I12" s="6">
        <v>67</v>
      </c>
      <c r="J12" s="6">
        <v>67</v>
      </c>
      <c r="K12" s="6">
        <v>66</v>
      </c>
      <c r="L12" s="6">
        <v>66</v>
      </c>
      <c r="M12" s="6">
        <v>66</v>
      </c>
      <c r="N12" s="6">
        <v>64</v>
      </c>
      <c r="O12" s="6">
        <v>64</v>
      </c>
      <c r="P12" s="6">
        <v>64</v>
      </c>
      <c r="Q12" s="6">
        <v>63</v>
      </c>
      <c r="R12" s="6">
        <v>63</v>
      </c>
      <c r="S12" s="6">
        <v>63</v>
      </c>
      <c r="T12" s="6">
        <v>64</v>
      </c>
      <c r="U12" s="6">
        <v>64</v>
      </c>
      <c r="AA12" s="6">
        <f t="shared" si="1"/>
        <v>73</v>
      </c>
      <c r="AD12" s="9">
        <v>42.9</v>
      </c>
      <c r="AE12" s="9">
        <v>44</v>
      </c>
      <c r="AF12" s="9">
        <v>44.7</v>
      </c>
      <c r="AG12" s="9">
        <v>44.4</v>
      </c>
      <c r="AH12" s="9">
        <v>43.9</v>
      </c>
      <c r="AI12" s="9">
        <v>43.5</v>
      </c>
      <c r="AJ12" s="9">
        <v>43.5</v>
      </c>
      <c r="AK12" s="10">
        <f t="shared" si="7"/>
        <v>66</v>
      </c>
      <c r="AL12" s="12">
        <f t="shared" si="8"/>
        <v>1.1000000000000014</v>
      </c>
      <c r="AM12" s="26">
        <f t="shared" si="2"/>
        <v>0</v>
      </c>
      <c r="AN12" s="12">
        <f t="shared" si="9"/>
        <v>0.70000000000000284</v>
      </c>
      <c r="AO12" s="12">
        <f t="shared" si="10"/>
        <v>-2</v>
      </c>
      <c r="AP12" s="12">
        <f t="shared" si="11"/>
        <v>-0.30000000000000426</v>
      </c>
      <c r="AQ12" s="12">
        <f t="shared" si="12"/>
        <v>0</v>
      </c>
      <c r="AR12" s="12">
        <f t="shared" si="3"/>
        <v>-0.5</v>
      </c>
      <c r="AS12" s="12">
        <f>U12-T12</f>
        <v>0</v>
      </c>
      <c r="AT12" s="12">
        <f t="shared" si="4"/>
        <v>-0.39999999999999858</v>
      </c>
      <c r="AU12" s="11" t="str">
        <f t="shared" si="5"/>
        <v/>
      </c>
      <c r="AV12" s="12">
        <f t="shared" si="13"/>
        <v>-1.2000000000000028</v>
      </c>
      <c r="AW12" s="12">
        <f t="shared" si="14"/>
        <v>-0.89999999999999858</v>
      </c>
      <c r="AX12" s="9">
        <f t="shared" si="6"/>
        <v>-0.39999999999999858</v>
      </c>
    </row>
    <row r="13" spans="1:50">
      <c r="A13" s="6">
        <v>2011</v>
      </c>
      <c r="D13" s="6">
        <v>67</v>
      </c>
      <c r="E13" s="6">
        <v>68</v>
      </c>
      <c r="F13" s="6">
        <v>65</v>
      </c>
      <c r="G13" s="6">
        <v>66</v>
      </c>
      <c r="H13" s="6">
        <v>66</v>
      </c>
      <c r="I13" s="6">
        <v>64</v>
      </c>
      <c r="J13" s="6">
        <v>62</v>
      </c>
      <c r="K13" s="6">
        <v>60</v>
      </c>
      <c r="L13" s="6">
        <v>61</v>
      </c>
      <c r="M13" s="6">
        <v>61</v>
      </c>
      <c r="N13" s="6">
        <v>59</v>
      </c>
      <c r="O13" s="6">
        <v>57</v>
      </c>
      <c r="P13" s="6">
        <v>56</v>
      </c>
      <c r="Q13" s="6">
        <v>56</v>
      </c>
      <c r="R13" s="6">
        <v>53</v>
      </c>
      <c r="S13" s="6">
        <v>53</v>
      </c>
      <c r="T13" s="6">
        <v>54</v>
      </c>
      <c r="U13" s="6">
        <v>56</v>
      </c>
      <c r="AA13" s="6">
        <f>E13</f>
        <v>68</v>
      </c>
      <c r="AD13" s="9">
        <v>43.4</v>
      </c>
      <c r="AE13" s="9">
        <v>41.4</v>
      </c>
      <c r="AF13" s="9">
        <v>41.8</v>
      </c>
      <c r="AG13" s="9">
        <v>41.5</v>
      </c>
      <c r="AH13" s="9">
        <v>41.3</v>
      </c>
      <c r="AI13" s="9">
        <v>42</v>
      </c>
      <c r="AJ13" s="9">
        <v>42</v>
      </c>
      <c r="AK13" s="10">
        <f t="shared" si="7"/>
        <v>61</v>
      </c>
      <c r="AL13" s="12">
        <f t="shared" si="8"/>
        <v>-2</v>
      </c>
      <c r="AM13" s="26">
        <f t="shared" si="2"/>
        <v>-0.05</v>
      </c>
      <c r="AN13" s="12">
        <f t="shared" si="9"/>
        <v>0.39999999999999858</v>
      </c>
      <c r="AO13" s="12">
        <f t="shared" si="10"/>
        <v>-5</v>
      </c>
      <c r="AP13" s="12">
        <f t="shared" si="11"/>
        <v>-0.29999999999999716</v>
      </c>
      <c r="AQ13" s="12">
        <f t="shared" si="12"/>
        <v>-2</v>
      </c>
      <c r="AR13" s="12">
        <f t="shared" si="3"/>
        <v>-0.20000000000000284</v>
      </c>
      <c r="AS13" s="12">
        <f>U13-T13</f>
        <v>2</v>
      </c>
      <c r="AT13" s="12">
        <f t="shared" si="4"/>
        <v>0.70000000000000284</v>
      </c>
      <c r="AU13" s="11" t="str">
        <f t="shared" si="5"/>
        <v/>
      </c>
      <c r="AV13" s="12">
        <f t="shared" si="13"/>
        <v>0.20000000000000284</v>
      </c>
      <c r="AW13" s="12">
        <f t="shared" si="14"/>
        <v>0.5</v>
      </c>
      <c r="AX13" s="9">
        <f t="shared" si="6"/>
        <v>0.70000000000000284</v>
      </c>
    </row>
    <row r="14" spans="1:50">
      <c r="A14" s="6">
        <v>2012</v>
      </c>
      <c r="C14" s="6">
        <v>65</v>
      </c>
      <c r="D14" s="6">
        <v>60</v>
      </c>
      <c r="E14" s="6">
        <v>56</v>
      </c>
      <c r="F14" s="6">
        <v>53</v>
      </c>
      <c r="G14" s="6">
        <v>45</v>
      </c>
      <c r="H14" s="6">
        <v>40</v>
      </c>
      <c r="I14" s="6">
        <v>34</v>
      </c>
      <c r="J14" s="6">
        <v>31</v>
      </c>
      <c r="K14" s="6">
        <v>29</v>
      </c>
      <c r="L14" s="6">
        <v>29</v>
      </c>
      <c r="M14" s="6">
        <v>30</v>
      </c>
      <c r="N14" s="6">
        <v>31</v>
      </c>
      <c r="O14" s="6">
        <v>30</v>
      </c>
      <c r="P14" s="6">
        <v>30</v>
      </c>
      <c r="Q14" s="6">
        <v>32</v>
      </c>
      <c r="R14" s="6">
        <v>33</v>
      </c>
      <c r="S14" s="6">
        <v>35</v>
      </c>
      <c r="T14" s="6">
        <v>35</v>
      </c>
      <c r="U14" s="6">
        <v>37</v>
      </c>
      <c r="AA14" s="6">
        <f t="shared" si="1"/>
        <v>60</v>
      </c>
      <c r="AD14" s="9">
        <v>40.5</v>
      </c>
      <c r="AE14" s="9">
        <v>36.1</v>
      </c>
      <c r="AF14" s="9">
        <v>35.299999999999997</v>
      </c>
      <c r="AG14" s="9">
        <v>37.799999999999997</v>
      </c>
      <c r="AH14" s="9">
        <v>39.299999999999997</v>
      </c>
      <c r="AI14" s="9">
        <v>40</v>
      </c>
      <c r="AJ14" s="9">
        <v>40</v>
      </c>
      <c r="AK14" s="10">
        <f t="shared" si="7"/>
        <v>30</v>
      </c>
      <c r="AL14" s="12">
        <f t="shared" si="8"/>
        <v>-4.3999999999999986</v>
      </c>
      <c r="AM14" s="26">
        <f t="shared" si="2"/>
        <v>-0.16</v>
      </c>
      <c r="AN14" s="12">
        <f t="shared" si="9"/>
        <v>-0.80000000000000426</v>
      </c>
      <c r="AO14" s="12">
        <f t="shared" si="10"/>
        <v>1</v>
      </c>
      <c r="AP14" s="12">
        <f t="shared" si="11"/>
        <v>2.5</v>
      </c>
      <c r="AQ14" s="12">
        <f t="shared" si="12"/>
        <v>5</v>
      </c>
      <c r="AR14" s="12">
        <f t="shared" si="3"/>
        <v>1.5</v>
      </c>
      <c r="AS14" s="12">
        <f>U14-T14</f>
        <v>2</v>
      </c>
      <c r="AT14" s="12">
        <f t="shared" si="4"/>
        <v>0.70000000000000284</v>
      </c>
      <c r="AU14" s="11">
        <f t="shared" si="5"/>
        <v>0.70000000000000284</v>
      </c>
      <c r="AV14" s="12">
        <f t="shared" si="13"/>
        <v>4.7000000000000028</v>
      </c>
      <c r="AW14" s="12">
        <f t="shared" si="14"/>
        <v>2.2000000000000028</v>
      </c>
      <c r="AX14" s="9">
        <f t="shared" si="6"/>
        <v>0.70000000000000284</v>
      </c>
    </row>
    <row r="15" spans="1:50">
      <c r="A15" s="6">
        <v>2013</v>
      </c>
      <c r="F15" s="6">
        <v>64</v>
      </c>
      <c r="G15" s="6">
        <v>65</v>
      </c>
      <c r="H15" s="6">
        <v>67</v>
      </c>
      <c r="I15" s="6">
        <v>67</v>
      </c>
      <c r="J15" s="6">
        <v>65</v>
      </c>
      <c r="K15" s="6">
        <v>64</v>
      </c>
      <c r="L15" s="6">
        <v>63</v>
      </c>
      <c r="M15" s="6">
        <v>64</v>
      </c>
      <c r="N15" s="6">
        <v>64</v>
      </c>
      <c r="O15" s="6">
        <v>62</v>
      </c>
      <c r="P15" s="6">
        <v>58</v>
      </c>
      <c r="Q15" s="6">
        <v>54</v>
      </c>
      <c r="R15" s="6">
        <v>52</v>
      </c>
      <c r="S15" s="6">
        <v>50</v>
      </c>
      <c r="T15" s="6">
        <v>50</v>
      </c>
      <c r="U15" s="13">
        <v>53</v>
      </c>
      <c r="V15" s="14">
        <f>($X15-$U15)/3+U15</f>
        <v>54.333333333333336</v>
      </c>
      <c r="W15" s="14">
        <f>($X15-$U15)/3+V15</f>
        <v>55.666666666666671</v>
      </c>
      <c r="X15" s="6">
        <v>57</v>
      </c>
      <c r="AA15" s="6">
        <f>F15</f>
        <v>64</v>
      </c>
      <c r="AD15" s="9">
        <v>44.5</v>
      </c>
      <c r="AE15" s="9">
        <v>42.6</v>
      </c>
      <c r="AF15" s="9">
        <v>41.2</v>
      </c>
      <c r="AG15" s="15">
        <v>43</v>
      </c>
      <c r="AH15" s="9">
        <v>43</v>
      </c>
      <c r="AI15" s="9">
        <v>44</v>
      </c>
      <c r="AJ15" s="9">
        <v>44</v>
      </c>
      <c r="AK15" s="10">
        <f t="shared" si="7"/>
        <v>64</v>
      </c>
      <c r="AL15" s="12">
        <f t="shared" si="8"/>
        <v>-1.8999999999999986</v>
      </c>
      <c r="AM15" s="26">
        <f t="shared" si="2"/>
        <v>-0.02</v>
      </c>
      <c r="AN15" s="12">
        <f t="shared" si="9"/>
        <v>-1.3999999999999986</v>
      </c>
      <c r="AO15" s="12">
        <f t="shared" si="10"/>
        <v>-5</v>
      </c>
      <c r="AP15" s="12">
        <f t="shared" si="11"/>
        <v>1.7999999999999972</v>
      </c>
      <c r="AQ15" s="12">
        <f t="shared" si="12"/>
        <v>-8</v>
      </c>
      <c r="AR15" s="12">
        <f t="shared" si="3"/>
        <v>0</v>
      </c>
      <c r="AS15" s="12">
        <f>X15-T15</f>
        <v>7</v>
      </c>
      <c r="AT15" s="12">
        <f t="shared" si="4"/>
        <v>1</v>
      </c>
      <c r="AU15" s="11" t="str">
        <f t="shared" si="5"/>
        <v/>
      </c>
      <c r="AV15" s="12">
        <f t="shared" si="13"/>
        <v>2.7999999999999972</v>
      </c>
      <c r="AW15" s="12">
        <f t="shared" si="14"/>
        <v>1</v>
      </c>
      <c r="AX15" s="9">
        <f t="shared" si="6"/>
        <v>1</v>
      </c>
    </row>
    <row r="16" spans="1:50">
      <c r="A16" s="6">
        <v>2014</v>
      </c>
      <c r="D16" s="6">
        <v>74</v>
      </c>
      <c r="E16" s="6">
        <v>73</v>
      </c>
      <c r="F16" s="6">
        <v>72</v>
      </c>
      <c r="G16" s="6">
        <v>72</v>
      </c>
      <c r="H16" s="6">
        <v>72</v>
      </c>
      <c r="I16" s="6">
        <v>72</v>
      </c>
      <c r="J16" s="6">
        <v>73</v>
      </c>
      <c r="K16" s="6">
        <v>71</v>
      </c>
      <c r="L16" s="6">
        <v>71</v>
      </c>
      <c r="M16" s="6">
        <v>70</v>
      </c>
      <c r="N16" s="6">
        <v>71</v>
      </c>
      <c r="O16" s="6">
        <v>70</v>
      </c>
      <c r="P16" s="6">
        <v>72</v>
      </c>
      <c r="Q16" s="6">
        <v>72</v>
      </c>
      <c r="R16" s="6">
        <v>72</v>
      </c>
      <c r="S16" s="6">
        <v>71</v>
      </c>
      <c r="T16" s="6">
        <v>72</v>
      </c>
      <c r="U16" s="6">
        <v>73</v>
      </c>
      <c r="V16" s="6">
        <v>73</v>
      </c>
      <c r="W16" s="6">
        <v>73</v>
      </c>
      <c r="AA16" s="6">
        <f>E16</f>
        <v>73</v>
      </c>
      <c r="AD16" s="9">
        <v>45.2</v>
      </c>
      <c r="AE16" s="9">
        <v>45.4</v>
      </c>
      <c r="AF16" s="9">
        <v>46.6</v>
      </c>
      <c r="AG16" s="9">
        <v>47.1</v>
      </c>
      <c r="AH16" s="9">
        <v>47.5</v>
      </c>
      <c r="AI16" s="9">
        <v>47.5</v>
      </c>
      <c r="AJ16" s="9">
        <v>47.5</v>
      </c>
      <c r="AK16" s="10">
        <f t="shared" si="7"/>
        <v>70</v>
      </c>
      <c r="AL16" s="12">
        <f t="shared" si="8"/>
        <v>0.19999999999999574</v>
      </c>
      <c r="AM16" s="26">
        <f t="shared" si="2"/>
        <v>-0.01</v>
      </c>
      <c r="AN16" s="12">
        <f t="shared" si="9"/>
        <v>1.2000000000000028</v>
      </c>
      <c r="AO16" s="12">
        <f t="shared" si="10"/>
        <v>1</v>
      </c>
      <c r="AP16" s="12">
        <f t="shared" si="11"/>
        <v>0.5</v>
      </c>
      <c r="AQ16" s="12">
        <f t="shared" si="12"/>
        <v>0</v>
      </c>
      <c r="AR16" s="12">
        <f t="shared" si="3"/>
        <v>0.39999999999999858</v>
      </c>
      <c r="AS16" s="12">
        <f>W16-T16</f>
        <v>1</v>
      </c>
      <c r="AT16" s="12">
        <f t="shared" si="4"/>
        <v>0</v>
      </c>
      <c r="AU16" s="11">
        <f t="shared" si="5"/>
        <v>0</v>
      </c>
      <c r="AV16" s="12">
        <f t="shared" si="13"/>
        <v>0.89999999999999858</v>
      </c>
      <c r="AW16" s="12">
        <f t="shared" si="14"/>
        <v>0.39999999999999858</v>
      </c>
      <c r="AX16" s="9">
        <f t="shared" si="6"/>
        <v>0</v>
      </c>
    </row>
    <row r="17" spans="1:50">
      <c r="A17" s="6">
        <v>2015</v>
      </c>
      <c r="D17" s="6">
        <v>69</v>
      </c>
      <c r="E17" s="6">
        <v>67</v>
      </c>
      <c r="F17" s="6">
        <v>65</v>
      </c>
      <c r="G17" s="6">
        <v>63</v>
      </c>
      <c r="H17" s="6">
        <v>63</v>
      </c>
      <c r="I17" s="6">
        <v>62</v>
      </c>
      <c r="J17" s="6">
        <v>62</v>
      </c>
      <c r="K17" s="6">
        <v>62</v>
      </c>
      <c r="L17" s="6">
        <v>63</v>
      </c>
      <c r="M17" s="6">
        <v>63</v>
      </c>
      <c r="N17" s="6">
        <v>63</v>
      </c>
      <c r="O17" s="6">
        <v>63</v>
      </c>
      <c r="P17" s="6">
        <v>63</v>
      </c>
      <c r="Q17" s="6">
        <v>63</v>
      </c>
      <c r="R17" s="6">
        <v>61</v>
      </c>
      <c r="S17" s="6">
        <v>63</v>
      </c>
      <c r="T17" s="6">
        <v>62</v>
      </c>
      <c r="U17" s="6">
        <v>64</v>
      </c>
      <c r="V17" s="6">
        <v>64</v>
      </c>
      <c r="AA17" s="6">
        <f>E17</f>
        <v>67</v>
      </c>
      <c r="AD17" s="9">
        <v>46</v>
      </c>
      <c r="AE17" s="9">
        <v>46.9</v>
      </c>
      <c r="AF17" s="9">
        <v>47.1</v>
      </c>
      <c r="AG17" s="9">
        <v>47.2</v>
      </c>
      <c r="AH17" s="9">
        <v>48.3</v>
      </c>
      <c r="AI17" s="9">
        <v>48</v>
      </c>
      <c r="AJ17" s="9">
        <v>48</v>
      </c>
      <c r="AK17" s="10">
        <f t="shared" si="7"/>
        <v>63</v>
      </c>
      <c r="AL17" s="12">
        <f t="shared" si="8"/>
        <v>0.89999999999999858</v>
      </c>
      <c r="AM17" s="26">
        <f t="shared" si="2"/>
        <v>0</v>
      </c>
      <c r="AN17" s="12">
        <f t="shared" si="9"/>
        <v>0.20000000000000284</v>
      </c>
      <c r="AO17" s="12">
        <f t="shared" si="10"/>
        <v>0</v>
      </c>
      <c r="AP17" s="12">
        <f t="shared" si="11"/>
        <v>0.10000000000000142</v>
      </c>
      <c r="AQ17" s="12">
        <f t="shared" si="12"/>
        <v>-1</v>
      </c>
      <c r="AR17" s="12">
        <f t="shared" si="3"/>
        <v>1.0999999999999943</v>
      </c>
      <c r="AS17" s="12">
        <f>V17-T17</f>
        <v>2</v>
      </c>
      <c r="AT17" s="12">
        <f t="shared" si="4"/>
        <v>-0.29999999999999716</v>
      </c>
      <c r="AU17" s="11">
        <f t="shared" si="5"/>
        <v>-0.29999999999999716</v>
      </c>
      <c r="AV17" s="12">
        <f t="shared" si="13"/>
        <v>0.89999999999999858</v>
      </c>
      <c r="AW17" s="12">
        <f t="shared" si="14"/>
        <v>0.79999999999999716</v>
      </c>
      <c r="AX17" s="9">
        <f t="shared" si="6"/>
        <v>-0.29999999999999716</v>
      </c>
    </row>
    <row r="18" spans="1:50">
      <c r="A18" s="6">
        <v>2016</v>
      </c>
      <c r="C18" s="6">
        <v>72</v>
      </c>
      <c r="D18" s="6">
        <v>74</v>
      </c>
      <c r="E18" s="6">
        <v>73</v>
      </c>
      <c r="F18" s="6">
        <v>72</v>
      </c>
      <c r="G18" s="6">
        <v>70</v>
      </c>
      <c r="H18" s="6">
        <v>71</v>
      </c>
      <c r="I18" s="6">
        <v>71</v>
      </c>
      <c r="J18" s="6">
        <v>71</v>
      </c>
      <c r="K18" s="6">
        <v>72</v>
      </c>
      <c r="L18" s="6">
        <v>72</v>
      </c>
      <c r="M18" s="6">
        <v>72</v>
      </c>
      <c r="N18" s="6">
        <v>72</v>
      </c>
      <c r="O18" s="6">
        <v>73</v>
      </c>
      <c r="P18" s="6">
        <v>73</v>
      </c>
      <c r="Q18" s="6">
        <v>73</v>
      </c>
      <c r="R18" s="6">
        <v>73</v>
      </c>
      <c r="S18" s="6">
        <v>73</v>
      </c>
      <c r="T18" s="6">
        <v>74</v>
      </c>
      <c r="U18" s="6">
        <v>74</v>
      </c>
      <c r="V18" s="6">
        <v>74</v>
      </c>
      <c r="AA18" s="6">
        <f t="shared" si="1"/>
        <v>74</v>
      </c>
      <c r="AD18" s="9">
        <v>46.7</v>
      </c>
      <c r="AE18" s="9">
        <v>48.9</v>
      </c>
      <c r="AF18" s="9">
        <v>50.6</v>
      </c>
      <c r="AG18" s="9">
        <v>51.4</v>
      </c>
      <c r="AH18" s="9">
        <v>52.5</v>
      </c>
      <c r="AI18" s="9">
        <v>51.9</v>
      </c>
      <c r="AJ18" s="9">
        <v>51.9</v>
      </c>
      <c r="AK18" s="10">
        <f t="shared" si="7"/>
        <v>72</v>
      </c>
      <c r="AL18" s="12">
        <f t="shared" si="8"/>
        <v>2.1999999999999957</v>
      </c>
      <c r="AM18" s="26">
        <f t="shared" si="2"/>
        <v>0.02</v>
      </c>
      <c r="AN18" s="12">
        <f t="shared" si="9"/>
        <v>1.7000000000000028</v>
      </c>
      <c r="AO18" s="12">
        <f t="shared" si="10"/>
        <v>1</v>
      </c>
      <c r="AP18" s="12">
        <f t="shared" si="11"/>
        <v>0.79999999999999716</v>
      </c>
      <c r="AQ18" s="12">
        <f t="shared" si="12"/>
        <v>1</v>
      </c>
      <c r="AR18" s="12">
        <f t="shared" si="3"/>
        <v>1.1000000000000014</v>
      </c>
      <c r="AS18" s="12">
        <f>V18-T18</f>
        <v>0</v>
      </c>
      <c r="AT18" s="12">
        <f t="shared" si="4"/>
        <v>-0.60000000000000142</v>
      </c>
      <c r="AU18" s="11">
        <f t="shared" si="5"/>
        <v>-0.60000000000000142</v>
      </c>
      <c r="AV18" s="12">
        <f t="shared" si="13"/>
        <v>1.2999999999999972</v>
      </c>
      <c r="AW18" s="12">
        <f t="shared" si="14"/>
        <v>0.5</v>
      </c>
      <c r="AX18" s="9">
        <f t="shared" si="6"/>
        <v>-0.60000000000000142</v>
      </c>
    </row>
    <row r="19" spans="1:50">
      <c r="A19" s="6">
        <v>2017</v>
      </c>
      <c r="D19" s="6">
        <v>66</v>
      </c>
      <c r="E19" s="6">
        <v>67</v>
      </c>
      <c r="F19" s="6">
        <v>66</v>
      </c>
      <c r="G19" s="6">
        <v>64</v>
      </c>
      <c r="H19" s="6">
        <v>62</v>
      </c>
      <c r="I19" s="6">
        <v>61</v>
      </c>
      <c r="J19" s="6">
        <v>57</v>
      </c>
      <c r="K19" s="6">
        <v>59</v>
      </c>
      <c r="L19" s="6">
        <v>60</v>
      </c>
      <c r="M19" s="6">
        <v>59</v>
      </c>
      <c r="N19" s="6">
        <v>60</v>
      </c>
      <c r="O19" s="6">
        <v>61</v>
      </c>
      <c r="P19" s="6">
        <v>61</v>
      </c>
      <c r="Q19" s="6">
        <v>60</v>
      </c>
      <c r="R19" s="6">
        <v>59</v>
      </c>
      <c r="S19" s="6">
        <v>60</v>
      </c>
      <c r="T19" s="6">
        <v>60</v>
      </c>
      <c r="U19" s="6">
        <v>61</v>
      </c>
      <c r="V19" s="6">
        <v>61</v>
      </c>
      <c r="AA19" s="6">
        <f>E19</f>
        <v>67</v>
      </c>
      <c r="AD19" s="9">
        <v>48</v>
      </c>
      <c r="AE19" s="9">
        <v>49.4</v>
      </c>
      <c r="AF19" s="9">
        <v>49.9</v>
      </c>
      <c r="AG19" s="9">
        <v>49.5</v>
      </c>
      <c r="AH19" s="9">
        <v>49.5</v>
      </c>
      <c r="AI19" s="9">
        <v>49.3</v>
      </c>
      <c r="AJ19" s="9">
        <v>49.3</v>
      </c>
      <c r="AK19" s="10">
        <f t="shared" si="7"/>
        <v>59</v>
      </c>
      <c r="AL19" s="12">
        <f t="shared" si="8"/>
        <v>1.3999999999999986</v>
      </c>
      <c r="AM19" s="26">
        <f t="shared" si="2"/>
        <v>-0.04</v>
      </c>
      <c r="AN19" s="12">
        <f t="shared" si="9"/>
        <v>0.5</v>
      </c>
      <c r="AO19" s="12">
        <f t="shared" si="10"/>
        <v>1</v>
      </c>
      <c r="AP19" s="12">
        <f t="shared" si="11"/>
        <v>-0.39999999999999858</v>
      </c>
      <c r="AQ19" s="12">
        <f t="shared" si="12"/>
        <v>-1</v>
      </c>
      <c r="AR19" s="12">
        <f t="shared" si="3"/>
        <v>0</v>
      </c>
      <c r="AS19" s="12">
        <f>V19-T19</f>
        <v>1</v>
      </c>
      <c r="AT19" s="12">
        <f t="shared" si="4"/>
        <v>-0.20000000000000284</v>
      </c>
      <c r="AU19" s="11" t="str">
        <f t="shared" si="5"/>
        <v/>
      </c>
      <c r="AV19" s="12">
        <f t="shared" si="13"/>
        <v>-0.60000000000000142</v>
      </c>
      <c r="AW19" s="12">
        <f t="shared" si="14"/>
        <v>-0.20000000000000284</v>
      </c>
      <c r="AX19" s="9">
        <f t="shared" si="6"/>
        <v>-0.20000000000000284</v>
      </c>
    </row>
    <row r="20" spans="1:50">
      <c r="A20" s="6">
        <v>2018</v>
      </c>
      <c r="C20" s="6">
        <v>75</v>
      </c>
      <c r="D20" s="6">
        <v>74</v>
      </c>
      <c r="E20" s="6">
        <v>73</v>
      </c>
      <c r="F20" s="6">
        <v>73</v>
      </c>
      <c r="G20" s="6">
        <v>71</v>
      </c>
      <c r="H20" s="6">
        <v>71</v>
      </c>
      <c r="I20" s="6">
        <v>69</v>
      </c>
      <c r="J20" s="6">
        <v>70</v>
      </c>
      <c r="K20" s="6">
        <v>70</v>
      </c>
      <c r="L20" s="6">
        <v>67</v>
      </c>
      <c r="M20" s="6">
        <v>66</v>
      </c>
      <c r="N20" s="6">
        <v>65</v>
      </c>
      <c r="O20" s="6">
        <v>66</v>
      </c>
      <c r="P20" s="6">
        <v>66</v>
      </c>
      <c r="Q20" s="6">
        <v>68</v>
      </c>
      <c r="R20" s="6">
        <v>67</v>
      </c>
      <c r="S20" s="6">
        <v>68</v>
      </c>
      <c r="T20" s="6">
        <v>68</v>
      </c>
      <c r="U20" s="6">
        <v>68</v>
      </c>
      <c r="V20" s="6">
        <v>66</v>
      </c>
      <c r="W20" s="6">
        <v>66</v>
      </c>
      <c r="AA20" s="6">
        <f t="shared" si="1"/>
        <v>74</v>
      </c>
      <c r="AD20" s="9">
        <v>48.5</v>
      </c>
      <c r="AE20" s="9">
        <v>51.6</v>
      </c>
      <c r="AF20" s="9">
        <v>52.8</v>
      </c>
      <c r="AG20" s="9">
        <v>53.1</v>
      </c>
      <c r="AH20" s="9">
        <v>52.1</v>
      </c>
      <c r="AI20" s="9">
        <v>50.6</v>
      </c>
      <c r="AJ20" s="9">
        <v>50.6</v>
      </c>
      <c r="AK20" s="10">
        <f t="shared" si="7"/>
        <v>66</v>
      </c>
      <c r="AL20" s="12">
        <f t="shared" si="8"/>
        <v>3.1000000000000014</v>
      </c>
      <c r="AM20" s="26">
        <f t="shared" si="2"/>
        <v>-0.04</v>
      </c>
      <c r="AN20" s="12">
        <f t="shared" si="9"/>
        <v>1.1999999999999957</v>
      </c>
      <c r="AO20" s="12">
        <f t="shared" si="10"/>
        <v>-1</v>
      </c>
      <c r="AP20" s="12">
        <f t="shared" si="11"/>
        <v>0.30000000000000426</v>
      </c>
      <c r="AQ20" s="12">
        <f t="shared" si="12"/>
        <v>2</v>
      </c>
      <c r="AR20" s="12">
        <f t="shared" si="3"/>
        <v>-1</v>
      </c>
      <c r="AS20" s="12">
        <f>W20-T20</f>
        <v>-2</v>
      </c>
      <c r="AT20" s="12">
        <f t="shared" si="4"/>
        <v>-1.5</v>
      </c>
      <c r="AU20" s="11" t="str">
        <f t="shared" si="5"/>
        <v/>
      </c>
      <c r="AV20" s="12">
        <f t="shared" si="13"/>
        <v>-2.1999999999999957</v>
      </c>
      <c r="AW20" s="12">
        <f t="shared" si="14"/>
        <v>-2.5</v>
      </c>
      <c r="AX20" s="9">
        <f t="shared" si="6"/>
        <v>-1.5</v>
      </c>
    </row>
    <row r="21" spans="1:50">
      <c r="A21" s="6">
        <v>2019</v>
      </c>
      <c r="F21" s="6">
        <v>54</v>
      </c>
      <c r="G21" s="6">
        <v>54</v>
      </c>
      <c r="H21" s="6">
        <v>53</v>
      </c>
      <c r="I21" s="6">
        <v>54</v>
      </c>
      <c r="J21" s="6">
        <v>54</v>
      </c>
      <c r="K21" s="6">
        <v>54</v>
      </c>
      <c r="L21" s="6">
        <v>54</v>
      </c>
      <c r="M21" s="6">
        <v>54</v>
      </c>
      <c r="N21" s="6">
        <v>53</v>
      </c>
      <c r="O21" s="6">
        <v>55</v>
      </c>
      <c r="P21" s="6">
        <v>55</v>
      </c>
      <c r="Q21" s="6">
        <v>55</v>
      </c>
      <c r="R21" s="6">
        <v>54</v>
      </c>
      <c r="S21" s="6">
        <v>54</v>
      </c>
      <c r="T21" s="6">
        <v>55</v>
      </c>
      <c r="U21" s="6">
        <v>53</v>
      </c>
      <c r="V21" s="6">
        <v>54</v>
      </c>
      <c r="W21" s="6">
        <v>54</v>
      </c>
      <c r="AA21" s="6">
        <f>G21</f>
        <v>54</v>
      </c>
      <c r="AD21" s="9">
        <v>48.5</v>
      </c>
      <c r="AE21" s="9">
        <v>48.5</v>
      </c>
      <c r="AF21" s="9">
        <v>47.9</v>
      </c>
      <c r="AG21" s="9">
        <v>46.9</v>
      </c>
      <c r="AH21" s="9">
        <v>46.9</v>
      </c>
      <c r="AI21" s="9">
        <v>47.4</v>
      </c>
      <c r="AJ21" s="9">
        <v>47.4</v>
      </c>
      <c r="AK21" s="10">
        <f t="shared" si="7"/>
        <v>54</v>
      </c>
      <c r="AL21" s="12">
        <f t="shared" si="8"/>
        <v>0</v>
      </c>
      <c r="AM21" s="26">
        <f t="shared" si="2"/>
        <v>0</v>
      </c>
      <c r="AN21" s="12">
        <f t="shared" si="9"/>
        <v>-0.60000000000000142</v>
      </c>
      <c r="AO21" s="12">
        <f t="shared" si="10"/>
        <v>1</v>
      </c>
      <c r="AP21" s="12">
        <f t="shared" si="11"/>
        <v>-1</v>
      </c>
      <c r="AQ21" s="12">
        <f t="shared" si="12"/>
        <v>0</v>
      </c>
      <c r="AR21" s="12">
        <f t="shared" si="3"/>
        <v>0</v>
      </c>
      <c r="AS21" s="12">
        <f>W21-T21</f>
        <v>-1</v>
      </c>
      <c r="AT21" s="12">
        <f t="shared" si="4"/>
        <v>0.5</v>
      </c>
      <c r="AU21" s="11" t="str">
        <f t="shared" si="5"/>
        <v/>
      </c>
      <c r="AV21" s="12">
        <f t="shared" si="13"/>
        <v>-0.5</v>
      </c>
      <c r="AW21" s="12">
        <f t="shared" si="14"/>
        <v>0.5</v>
      </c>
      <c r="AX21" s="9">
        <f t="shared" si="6"/>
        <v>0.5</v>
      </c>
    </row>
    <row r="22" spans="1:50">
      <c r="A22" s="6">
        <v>2020</v>
      </c>
      <c r="C22" s="6">
        <v>70</v>
      </c>
      <c r="D22" s="6">
        <v>72</v>
      </c>
      <c r="E22" s="6">
        <v>72</v>
      </c>
      <c r="F22" s="6">
        <v>70</v>
      </c>
      <c r="G22" s="6">
        <v>71</v>
      </c>
      <c r="H22" s="6">
        <v>71</v>
      </c>
      <c r="I22" s="6">
        <v>68</v>
      </c>
      <c r="J22" s="6">
        <v>69</v>
      </c>
      <c r="K22" s="6">
        <v>72</v>
      </c>
      <c r="L22" s="6">
        <v>73</v>
      </c>
      <c r="M22" s="6">
        <v>74</v>
      </c>
      <c r="N22" s="6">
        <v>72</v>
      </c>
      <c r="O22" s="6">
        <v>69</v>
      </c>
      <c r="P22" s="6">
        <v>66</v>
      </c>
      <c r="Q22" s="6">
        <v>65</v>
      </c>
      <c r="R22" s="6">
        <v>63</v>
      </c>
      <c r="S22" s="6">
        <v>63</v>
      </c>
      <c r="T22" s="6">
        <v>64</v>
      </c>
      <c r="U22" s="6">
        <v>64</v>
      </c>
      <c r="V22" s="6">
        <v>63</v>
      </c>
      <c r="AA22" s="6">
        <f t="shared" si="1"/>
        <v>72</v>
      </c>
      <c r="AD22" s="9">
        <v>49.8</v>
      </c>
      <c r="AE22" s="9">
        <v>53.3</v>
      </c>
      <c r="AF22" s="9">
        <v>51.9</v>
      </c>
      <c r="AG22" s="9">
        <v>51.9</v>
      </c>
      <c r="AH22" s="9">
        <v>50.7</v>
      </c>
      <c r="AI22" s="9">
        <v>50.2</v>
      </c>
      <c r="AJ22" s="9">
        <v>51</v>
      </c>
      <c r="AK22" s="10">
        <f t="shared" si="7"/>
        <v>74</v>
      </c>
      <c r="AL22" s="12">
        <f>AE22-AD22</f>
        <v>3.5</v>
      </c>
      <c r="AM22" s="26">
        <f t="shared" si="2"/>
        <v>0.02</v>
      </c>
      <c r="AN22" s="12">
        <f t="shared" si="9"/>
        <v>-1.3999999999999986</v>
      </c>
      <c r="AO22" s="12">
        <f>P22-L22</f>
        <v>-7</v>
      </c>
      <c r="AP22" s="12">
        <f t="shared" si="11"/>
        <v>0</v>
      </c>
      <c r="AQ22" s="12">
        <f t="shared" si="12"/>
        <v>-2</v>
      </c>
      <c r="AR22" s="12">
        <f t="shared" si="3"/>
        <v>-1.1999999999999957</v>
      </c>
      <c r="AS22" s="12">
        <f>V22-T22</f>
        <v>-1</v>
      </c>
      <c r="AT22" s="12">
        <f t="shared" si="4"/>
        <v>-0.5</v>
      </c>
      <c r="AU22" s="11" t="str">
        <f t="shared" si="5"/>
        <v/>
      </c>
      <c r="AV22" s="12">
        <f t="shared" si="13"/>
        <v>-1.6999999999999957</v>
      </c>
      <c r="AW22" s="12">
        <f t="shared" si="14"/>
        <v>-1.6999999999999957</v>
      </c>
      <c r="AX22" s="9">
        <f t="shared" si="6"/>
        <v>-0.5</v>
      </c>
    </row>
    <row r="23" spans="1:50">
      <c r="A23" s="6">
        <v>2021</v>
      </c>
      <c r="C23" s="6">
        <v>67</v>
      </c>
      <c r="D23" s="6">
        <v>62</v>
      </c>
      <c r="E23" s="6">
        <v>60</v>
      </c>
      <c r="F23" s="6">
        <v>60</v>
      </c>
      <c r="G23" s="6">
        <v>59</v>
      </c>
      <c r="H23" s="6">
        <v>59</v>
      </c>
      <c r="I23" s="6">
        <v>60</v>
      </c>
      <c r="J23" s="6">
        <v>58</v>
      </c>
      <c r="K23" s="6">
        <v>60</v>
      </c>
      <c r="L23" s="6">
        <v>60</v>
      </c>
      <c r="M23" s="6">
        <v>57</v>
      </c>
      <c r="N23" s="6">
        <v>56</v>
      </c>
      <c r="O23" s="6">
        <v>56</v>
      </c>
      <c r="P23" s="6">
        <v>57</v>
      </c>
      <c r="Q23" s="6">
        <v>57</v>
      </c>
      <c r="R23" s="6">
        <v>58</v>
      </c>
      <c r="S23" s="6">
        <v>58</v>
      </c>
      <c r="T23" s="6">
        <v>58</v>
      </c>
      <c r="U23" s="6">
        <v>59</v>
      </c>
      <c r="AA23" s="6">
        <f t="shared" si="1"/>
        <v>62</v>
      </c>
      <c r="AD23" s="9">
        <v>50.8</v>
      </c>
      <c r="AE23" s="9">
        <v>50</v>
      </c>
      <c r="AF23" s="9">
        <v>50.6</v>
      </c>
      <c r="AG23" s="9">
        <v>51.5</v>
      </c>
      <c r="AH23" s="9">
        <v>51.2</v>
      </c>
      <c r="AI23" s="9">
        <v>51.4</v>
      </c>
      <c r="AJ23" s="9">
        <v>51.7</v>
      </c>
      <c r="AK23" s="10">
        <f t="shared" si="7"/>
        <v>57</v>
      </c>
      <c r="AL23" s="12">
        <f>AE23-AD23</f>
        <v>-0.79999999999999716</v>
      </c>
      <c r="AM23" s="26">
        <f t="shared" si="2"/>
        <v>0.01</v>
      </c>
      <c r="AN23" s="12">
        <f t="shared" si="9"/>
        <v>0.60000000000000142</v>
      </c>
      <c r="AO23" s="12">
        <f>P23-L23</f>
        <v>-3</v>
      </c>
      <c r="AP23" s="12">
        <f t="shared" si="11"/>
        <v>0.89999999999999858</v>
      </c>
      <c r="AQ23" s="12">
        <f t="shared" si="12"/>
        <v>1</v>
      </c>
      <c r="AR23" s="12">
        <f t="shared" si="3"/>
        <v>-0.29999999999999716</v>
      </c>
      <c r="AS23" s="12">
        <f>U23-T23</f>
        <v>1</v>
      </c>
      <c r="AT23" s="12">
        <f t="shared" si="4"/>
        <v>0.19999999999999574</v>
      </c>
      <c r="AU23" s="11" t="str">
        <f t="shared" si="5"/>
        <v/>
      </c>
      <c r="AV23" s="9">
        <f t="shared" si="13"/>
        <v>0.79999999999999716</v>
      </c>
      <c r="AW23" s="9">
        <f>AI23-AG23</f>
        <v>-0.10000000000000142</v>
      </c>
      <c r="AX23" s="9">
        <f>AI23-AH23</f>
        <v>0.19999999999999574</v>
      </c>
    </row>
    <row r="24" spans="1:50">
      <c r="A24" s="6">
        <v>2022</v>
      </c>
      <c r="D24" s="6">
        <v>70</v>
      </c>
      <c r="E24" s="6">
        <v>68</v>
      </c>
      <c r="F24" s="6">
        <v>65</v>
      </c>
      <c r="G24" s="6">
        <v>63</v>
      </c>
      <c r="H24" s="6">
        <v>62</v>
      </c>
      <c r="I24" s="6">
        <v>61</v>
      </c>
      <c r="J24" s="6">
        <v>59</v>
      </c>
      <c r="K24" s="6">
        <v>60</v>
      </c>
      <c r="L24" s="6">
        <v>59</v>
      </c>
      <c r="M24" s="6">
        <v>58</v>
      </c>
      <c r="N24" s="6">
        <v>57</v>
      </c>
      <c r="O24" s="6">
        <v>57</v>
      </c>
      <c r="P24" s="6">
        <v>57</v>
      </c>
      <c r="Q24" s="6">
        <v>56</v>
      </c>
      <c r="R24" s="6">
        <v>55</v>
      </c>
      <c r="S24" s="6">
        <v>55</v>
      </c>
      <c r="T24" s="6">
        <v>55</v>
      </c>
      <c r="U24" s="6">
        <v>57</v>
      </c>
      <c r="V24" s="6">
        <v>57</v>
      </c>
      <c r="AA24" s="6">
        <f>E24</f>
        <v>68</v>
      </c>
      <c r="AD24" s="9">
        <v>51.5</v>
      </c>
      <c r="AE24" s="9">
        <v>51.9</v>
      </c>
      <c r="AF24" s="9">
        <v>50.5</v>
      </c>
      <c r="AG24" s="9">
        <v>49.8</v>
      </c>
      <c r="AH24" s="9">
        <v>50.2</v>
      </c>
      <c r="AI24" s="9">
        <v>49.5</v>
      </c>
      <c r="AJ24" s="9">
        <v>49.6</v>
      </c>
      <c r="AK24" s="10">
        <f t="shared" si="7"/>
        <v>58</v>
      </c>
      <c r="AL24" s="12">
        <f>AE24-AD24</f>
        <v>0.39999999999999858</v>
      </c>
      <c r="AM24" s="26">
        <f t="shared" si="2"/>
        <v>-0.04</v>
      </c>
      <c r="AN24" s="12">
        <f t="shared" si="9"/>
        <v>-1.3999999999999986</v>
      </c>
      <c r="AO24" s="12">
        <f>Q24-M24</f>
        <v>-2</v>
      </c>
      <c r="AP24" s="12">
        <f t="shared" si="11"/>
        <v>-0.70000000000000284</v>
      </c>
      <c r="AQ24" s="12">
        <f t="shared" si="12"/>
        <v>-2</v>
      </c>
      <c r="AR24" s="12">
        <f t="shared" si="3"/>
        <v>0.40000000000000568</v>
      </c>
      <c r="AS24" s="12">
        <f>V24-T24</f>
        <v>2</v>
      </c>
      <c r="AT24" s="12">
        <f t="shared" si="4"/>
        <v>-0.70000000000000284</v>
      </c>
      <c r="AU24" s="11">
        <f>IF(AR24&gt;0,AT24,"")</f>
        <v>-0.70000000000000284</v>
      </c>
      <c r="AV24" s="9">
        <f t="shared" si="13"/>
        <v>-1</v>
      </c>
      <c r="AW24" s="9">
        <f>AI24-AG24</f>
        <v>-0.29999999999999716</v>
      </c>
      <c r="AX24" s="9">
        <f>AI24-AH24</f>
        <v>-0.70000000000000284</v>
      </c>
    </row>
    <row r="25" spans="1:50">
      <c r="A25" s="6">
        <v>2023</v>
      </c>
      <c r="C25" s="6">
        <v>62</v>
      </c>
      <c r="D25" s="6">
        <v>59</v>
      </c>
      <c r="E25" s="6">
        <v>54</v>
      </c>
      <c r="F25" s="6">
        <v>51</v>
      </c>
      <c r="G25" s="6">
        <v>50</v>
      </c>
      <c r="H25" s="6">
        <v>51</v>
      </c>
      <c r="I25" s="6">
        <v>55</v>
      </c>
      <c r="J25" s="6">
        <v>54</v>
      </c>
      <c r="K25" s="6">
        <v>52</v>
      </c>
      <c r="L25" s="6">
        <v>54</v>
      </c>
      <c r="M25" s="6">
        <v>59</v>
      </c>
      <c r="N25" s="6">
        <v>59</v>
      </c>
      <c r="O25" s="6">
        <v>58</v>
      </c>
      <c r="P25" s="6">
        <v>53</v>
      </c>
      <c r="Q25" s="6">
        <v>52</v>
      </c>
      <c r="R25" s="6">
        <v>52</v>
      </c>
      <c r="S25" s="6">
        <v>50</v>
      </c>
      <c r="T25" s="6">
        <v>52</v>
      </c>
      <c r="U25" s="6">
        <v>51</v>
      </c>
      <c r="V25" s="6">
        <v>52</v>
      </c>
      <c r="AA25" s="6">
        <f t="shared" si="1"/>
        <v>59</v>
      </c>
      <c r="AD25" s="9">
        <v>52</v>
      </c>
      <c r="AE25" s="9">
        <v>50.9</v>
      </c>
      <c r="AF25" s="9">
        <v>50.1</v>
      </c>
      <c r="AG25" s="9">
        <v>49.6</v>
      </c>
      <c r="AH25" s="9">
        <v>49.9</v>
      </c>
      <c r="AI25" s="9">
        <v>50.6</v>
      </c>
      <c r="AJ25" s="9">
        <v>50.6</v>
      </c>
      <c r="AK25" s="10">
        <f t="shared" si="7"/>
        <v>59</v>
      </c>
      <c r="AL25" s="12">
        <f>AE25-AD25</f>
        <v>-1.1000000000000014</v>
      </c>
      <c r="AM25" s="26">
        <f t="shared" si="2"/>
        <v>0.04</v>
      </c>
      <c r="AN25" s="12">
        <f t="shared" ref="AN25" si="17">AF25-AE25</f>
        <v>-0.79999999999999716</v>
      </c>
      <c r="AO25" s="12">
        <f>Q25-M25</f>
        <v>-7</v>
      </c>
      <c r="AP25" s="12">
        <f t="shared" ref="AP25" si="18">AG25-AF25</f>
        <v>-0.5</v>
      </c>
      <c r="AQ25" s="12">
        <f t="shared" ref="AQ25" si="19">T25-P25</f>
        <v>-1</v>
      </c>
      <c r="AR25" s="12">
        <f t="shared" ref="AR25" si="20">AH25-AG25</f>
        <v>0.29999999999999716</v>
      </c>
      <c r="AS25" s="12">
        <f>V25-T25</f>
        <v>0</v>
      </c>
      <c r="AT25" s="12">
        <f t="shared" ref="AT25" si="21">AI25-AH25</f>
        <v>0.70000000000000284</v>
      </c>
      <c r="AU25" s="11">
        <f>IF(AR25&gt;0,AT25,"")</f>
        <v>0.70000000000000284</v>
      </c>
      <c r="AV25" s="9">
        <f t="shared" si="13"/>
        <v>0.5</v>
      </c>
      <c r="AW25" s="9">
        <f>AI25-AG25</f>
        <v>1</v>
      </c>
      <c r="AX25" s="9">
        <f>AI25-AH25</f>
        <v>0.70000000000000284</v>
      </c>
    </row>
    <row r="26" spans="1:50">
      <c r="A26" s="6">
        <v>2024</v>
      </c>
      <c r="D26" s="6">
        <v>72</v>
      </c>
      <c r="E26" s="6">
        <v>70</v>
      </c>
      <c r="F26" s="6">
        <v>67</v>
      </c>
      <c r="G26" s="6">
        <v>67</v>
      </c>
      <c r="H26" s="6">
        <v>68</v>
      </c>
      <c r="I26" s="6">
        <v>68</v>
      </c>
      <c r="J26" s="6">
        <v>68</v>
      </c>
      <c r="K26" s="6">
        <v>67</v>
      </c>
      <c r="L26" s="6">
        <v>68</v>
      </c>
      <c r="M26" s="6">
        <v>68</v>
      </c>
      <c r="N26" s="6">
        <v>68</v>
      </c>
      <c r="O26" s="6">
        <v>67</v>
      </c>
      <c r="P26" s="6">
        <v>65</v>
      </c>
      <c r="Q26" s="6">
        <v>65</v>
      </c>
      <c r="R26" s="6">
        <v>64</v>
      </c>
      <c r="S26" s="6">
        <v>64</v>
      </c>
      <c r="T26" s="6">
        <v>64</v>
      </c>
      <c r="U26" s="6">
        <v>63</v>
      </c>
      <c r="AA26" s="6">
        <f>D26</f>
        <v>72</v>
      </c>
      <c r="AD26" s="9">
        <v>52</v>
      </c>
      <c r="AE26" s="9">
        <v>53.2</v>
      </c>
      <c r="AF26" s="9">
        <v>53.2</v>
      </c>
      <c r="AG26" s="9">
        <v>53.1</v>
      </c>
      <c r="AH26" s="9">
        <v>51.7</v>
      </c>
      <c r="AI26" s="9">
        <v>50.7</v>
      </c>
      <c r="AJ26" s="9">
        <v>50.7</v>
      </c>
      <c r="AK26" s="10">
        <f t="shared" si="7"/>
        <v>68</v>
      </c>
      <c r="AL26" s="12">
        <f>AE26-AD26</f>
        <v>1.2000000000000028</v>
      </c>
      <c r="AM26" s="26">
        <f t="shared" si="2"/>
        <v>0.01</v>
      </c>
      <c r="AN26" s="12">
        <f t="shared" ref="AN26" si="22">AF26-AE26</f>
        <v>0</v>
      </c>
      <c r="AO26" s="12">
        <f>Q26-M26</f>
        <v>-3</v>
      </c>
      <c r="AP26" s="12">
        <f t="shared" ref="AP26" si="23">AG26-AF26</f>
        <v>-0.10000000000000142</v>
      </c>
      <c r="AQ26" s="12">
        <f t="shared" ref="AQ26" si="24">T26-P26</f>
        <v>-1</v>
      </c>
      <c r="AR26" s="12">
        <f t="shared" ref="AR26" si="25">AH26-AG26</f>
        <v>-1.3999999999999986</v>
      </c>
      <c r="AS26" s="12">
        <f>V26-T26</f>
        <v>-64</v>
      </c>
      <c r="AT26" s="12">
        <f t="shared" ref="AT26" si="26">AI26-AH26</f>
        <v>-1</v>
      </c>
      <c r="AU26" s="11" t="str">
        <f>IF(AR26&gt;0,AT26,"")</f>
        <v/>
      </c>
      <c r="AV26" s="9">
        <f t="shared" si="13"/>
        <v>-2.5</v>
      </c>
      <c r="AW26" s="9">
        <f>AI26-AG26</f>
        <v>-2.3999999999999986</v>
      </c>
      <c r="AX26" s="9">
        <f>AI26-AH26</f>
        <v>-1</v>
      </c>
    </row>
    <row r="27" spans="1:50">
      <c r="A27" s="6">
        <v>2025</v>
      </c>
      <c r="C27" s="6">
        <v>67</v>
      </c>
      <c r="D27" s="6">
        <v>68</v>
      </c>
      <c r="E27" s="6">
        <v>66</v>
      </c>
      <c r="F27" s="6">
        <v>66</v>
      </c>
      <c r="G27" s="6">
        <v>66</v>
      </c>
      <c r="H27" s="6">
        <v>66</v>
      </c>
      <c r="I27" s="6">
        <v>70</v>
      </c>
      <c r="J27" s="6">
        <v>68</v>
      </c>
      <c r="K27" s="6">
        <v>70</v>
      </c>
      <c r="L27" s="6">
        <v>69</v>
      </c>
      <c r="AD27" s="9">
        <v>52.5</v>
      </c>
      <c r="AE27" s="19">
        <f>AD27+AL27</f>
        <v>53.22824174630756</v>
      </c>
      <c r="AF27" s="9"/>
      <c r="AG27" s="9"/>
      <c r="AH27" s="9"/>
      <c r="AI27" s="9"/>
      <c r="AJ27" s="9"/>
      <c r="AK27" s="10"/>
      <c r="AL27" s="12">
        <f>FORECAST(AM27,AL2:AL26,AM2:AM26)</f>
        <v>0.72824174630755878</v>
      </c>
      <c r="AM27" s="26">
        <f>(L27-G27)/100</f>
        <v>0.03</v>
      </c>
      <c r="AN27" s="12"/>
      <c r="AO27" s="12"/>
      <c r="AP27" s="12"/>
      <c r="AQ27" s="12"/>
      <c r="AR27" s="12"/>
      <c r="AS27" s="12"/>
      <c r="AT27" s="12"/>
      <c r="AU27" s="11"/>
      <c r="AV27" s="9"/>
      <c r="AW27" s="9"/>
      <c r="AX27" s="9"/>
    </row>
    <row r="28" spans="1:50">
      <c r="D28" s="16" t="s">
        <v>19</v>
      </c>
      <c r="E28" s="6" t="str">
        <f>IF(E26&gt;E33,"YES","NO")</f>
        <v>NO</v>
      </c>
      <c r="F28" s="6" t="str">
        <f t="shared" ref="F28" si="27">IF(F26&gt;F33,"YES","NO")</f>
        <v>NO</v>
      </c>
      <c r="K28" s="9">
        <f>AE27</f>
        <v>53.22824174630756</v>
      </c>
      <c r="X28" s="6">
        <f>COUNTIF(D28:W28,"NO")</f>
        <v>2</v>
      </c>
      <c r="AC28" s="20" t="s">
        <v>36</v>
      </c>
      <c r="AD28" s="9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50">
      <c r="A29" s="6" t="s">
        <v>20</v>
      </c>
      <c r="D29" s="17">
        <f>AVERAGE(D22:D26)</f>
        <v>67</v>
      </c>
      <c r="E29" s="17">
        <f t="shared" ref="E29:V29" si="28">AVERAGE(E22:E26)</f>
        <v>64.8</v>
      </c>
      <c r="F29" s="17">
        <f t="shared" si="28"/>
        <v>62.6</v>
      </c>
      <c r="G29" s="17">
        <f t="shared" si="28"/>
        <v>62</v>
      </c>
      <c r="H29" s="17">
        <f t="shared" si="28"/>
        <v>62.2</v>
      </c>
      <c r="I29" s="17">
        <f t="shared" si="28"/>
        <v>62.4</v>
      </c>
      <c r="J29" s="17">
        <f t="shared" si="28"/>
        <v>61.6</v>
      </c>
      <c r="K29" s="17">
        <f t="shared" si="28"/>
        <v>62.2</v>
      </c>
      <c r="L29" s="17">
        <f t="shared" si="28"/>
        <v>62.8</v>
      </c>
      <c r="M29" s="17">
        <f t="shared" si="28"/>
        <v>63.2</v>
      </c>
      <c r="N29" s="17">
        <f t="shared" si="28"/>
        <v>62.4</v>
      </c>
      <c r="O29" s="17">
        <f t="shared" si="28"/>
        <v>61.4</v>
      </c>
      <c r="P29" s="17">
        <f t="shared" si="28"/>
        <v>59.6</v>
      </c>
      <c r="Q29" s="17">
        <f t="shared" si="28"/>
        <v>59</v>
      </c>
      <c r="R29" s="17">
        <f t="shared" si="28"/>
        <v>58.4</v>
      </c>
      <c r="S29" s="17">
        <f t="shared" si="28"/>
        <v>58</v>
      </c>
      <c r="T29" s="17">
        <f t="shared" si="28"/>
        <v>58.6</v>
      </c>
      <c r="U29" s="17">
        <f t="shared" si="28"/>
        <v>58.8</v>
      </c>
      <c r="V29" s="17">
        <f t="shared" si="28"/>
        <v>57.333333333333336</v>
      </c>
      <c r="AC29" s="18" t="s">
        <v>20</v>
      </c>
      <c r="AD29" s="9">
        <f>AVERAGE(AD22:AD26)</f>
        <v>51.220000000000006</v>
      </c>
      <c r="AE29" s="9">
        <f t="shared" ref="AE29:AI29" si="29">AVERAGE(AE22:AE26)</f>
        <v>51.86</v>
      </c>
      <c r="AF29" s="9">
        <f t="shared" si="29"/>
        <v>51.260000000000005</v>
      </c>
      <c r="AG29" s="9">
        <f t="shared" si="29"/>
        <v>51.179999999999993</v>
      </c>
      <c r="AH29" s="9">
        <f t="shared" si="29"/>
        <v>50.740000000000009</v>
      </c>
      <c r="AI29" s="9">
        <f t="shared" si="29"/>
        <v>50.48</v>
      </c>
      <c r="AJ29" s="9"/>
      <c r="AK29" s="9"/>
      <c r="AL29" s="25">
        <f>AVERAGE(AL22:AL26)</f>
        <v>0.64000000000000057</v>
      </c>
      <c r="AM29" s="12">
        <f t="shared" ref="AM29:AT29" si="30">AVERAGE(AM22:AM26)</f>
        <v>8.0000000000000002E-3</v>
      </c>
      <c r="AN29" s="25">
        <f t="shared" si="30"/>
        <v>-0.59999999999999853</v>
      </c>
      <c r="AO29" s="12">
        <f t="shared" si="30"/>
        <v>-4.4000000000000004</v>
      </c>
      <c r="AP29" s="25">
        <f t="shared" si="30"/>
        <v>-8.000000000000114E-2</v>
      </c>
      <c r="AQ29" s="12">
        <f t="shared" si="30"/>
        <v>-1</v>
      </c>
      <c r="AR29" s="25">
        <f t="shared" si="30"/>
        <v>-0.43999999999999773</v>
      </c>
      <c r="AS29" s="12">
        <f t="shared" si="30"/>
        <v>-12.4</v>
      </c>
      <c r="AT29" s="25">
        <f t="shared" si="30"/>
        <v>-0.26000000000000084</v>
      </c>
      <c r="AV29" s="9">
        <f t="shared" ref="AV29:AX29" si="31">AVERAGE(AV21:AV25)</f>
        <v>-0.37999999999999973</v>
      </c>
      <c r="AW29" s="9">
        <f t="shared" si="31"/>
        <v>-0.11999999999999886</v>
      </c>
      <c r="AX29" s="9">
        <f t="shared" si="31"/>
        <v>3.9999999999999147E-2</v>
      </c>
    </row>
    <row r="30" spans="1:50">
      <c r="A30" s="6" t="s">
        <v>21</v>
      </c>
      <c r="D30" s="17">
        <f>MAX(D22:D26)</f>
        <v>72</v>
      </c>
      <c r="E30" s="17">
        <f t="shared" ref="E30:V30" si="32">MAX(E22:E26)</f>
        <v>72</v>
      </c>
      <c r="F30" s="17">
        <f t="shared" si="32"/>
        <v>70</v>
      </c>
      <c r="G30" s="17">
        <f t="shared" si="32"/>
        <v>71</v>
      </c>
      <c r="H30" s="17">
        <f t="shared" si="32"/>
        <v>71</v>
      </c>
      <c r="I30" s="17">
        <f t="shared" si="32"/>
        <v>68</v>
      </c>
      <c r="J30" s="17">
        <f t="shared" si="32"/>
        <v>69</v>
      </c>
      <c r="K30" s="17">
        <f t="shared" si="32"/>
        <v>72</v>
      </c>
      <c r="L30" s="17">
        <f t="shared" si="32"/>
        <v>73</v>
      </c>
      <c r="M30" s="17">
        <f t="shared" si="32"/>
        <v>74</v>
      </c>
      <c r="N30" s="17">
        <f t="shared" si="32"/>
        <v>72</v>
      </c>
      <c r="O30" s="17">
        <f t="shared" si="32"/>
        <v>69</v>
      </c>
      <c r="P30" s="17">
        <f t="shared" si="32"/>
        <v>66</v>
      </c>
      <c r="Q30" s="17">
        <f t="shared" si="32"/>
        <v>65</v>
      </c>
      <c r="R30" s="17">
        <f t="shared" si="32"/>
        <v>64</v>
      </c>
      <c r="S30" s="17">
        <f t="shared" si="32"/>
        <v>64</v>
      </c>
      <c r="T30" s="17">
        <f t="shared" si="32"/>
        <v>64</v>
      </c>
      <c r="U30" s="17">
        <f t="shared" si="32"/>
        <v>64</v>
      </c>
      <c r="V30" s="17">
        <f t="shared" si="32"/>
        <v>63</v>
      </c>
      <c r="AC30" s="18" t="s">
        <v>22</v>
      </c>
      <c r="AD30" s="9">
        <f>MAX(AD22:AD26)</f>
        <v>52</v>
      </c>
      <c r="AE30" s="9">
        <f t="shared" ref="AE30:AI30" si="33">MAX(AE22:AE26)</f>
        <v>53.3</v>
      </c>
      <c r="AF30" s="9">
        <f t="shared" si="33"/>
        <v>53.2</v>
      </c>
      <c r="AG30" s="9">
        <f t="shared" si="33"/>
        <v>53.1</v>
      </c>
      <c r="AH30" s="9">
        <f t="shared" si="33"/>
        <v>51.7</v>
      </c>
      <c r="AI30" s="9">
        <f t="shared" si="33"/>
        <v>51.4</v>
      </c>
      <c r="AJ30" s="9"/>
      <c r="AK30" s="9"/>
      <c r="AL30" s="25">
        <f>MAX(AL22:AL26)</f>
        <v>3.5</v>
      </c>
      <c r="AM30" s="12">
        <f t="shared" ref="AM30:AT30" si="34">MAX(AM22:AM26)</f>
        <v>0.04</v>
      </c>
      <c r="AN30" s="25">
        <f t="shared" si="34"/>
        <v>0.60000000000000142</v>
      </c>
      <c r="AO30" s="12">
        <f t="shared" si="34"/>
        <v>-2</v>
      </c>
      <c r="AP30" s="25">
        <f t="shared" si="34"/>
        <v>0.89999999999999858</v>
      </c>
      <c r="AQ30" s="12">
        <f t="shared" si="34"/>
        <v>1</v>
      </c>
      <c r="AR30" s="25">
        <f t="shared" si="34"/>
        <v>0.40000000000000568</v>
      </c>
      <c r="AS30" s="12">
        <f t="shared" si="34"/>
        <v>2</v>
      </c>
      <c r="AT30" s="25">
        <f t="shared" si="34"/>
        <v>0.70000000000000284</v>
      </c>
      <c r="AV30" s="9">
        <f t="shared" ref="AV30:AX30" si="35">MAX(AV21:AV25)</f>
        <v>0.79999999999999716</v>
      </c>
      <c r="AW30" s="9">
        <f t="shared" si="35"/>
        <v>1</v>
      </c>
      <c r="AX30" s="9">
        <f t="shared" si="35"/>
        <v>0.70000000000000284</v>
      </c>
    </row>
    <row r="31" spans="1:50">
      <c r="A31" s="6" t="s">
        <v>23</v>
      </c>
      <c r="D31" s="17">
        <f>MIN(D22:D26)</f>
        <v>59</v>
      </c>
      <c r="E31" s="17">
        <f t="shared" ref="E31:V31" si="36">MIN(E22:E26)</f>
        <v>54</v>
      </c>
      <c r="F31" s="17">
        <f t="shared" si="36"/>
        <v>51</v>
      </c>
      <c r="G31" s="17">
        <f t="shared" si="36"/>
        <v>50</v>
      </c>
      <c r="H31" s="17">
        <f t="shared" si="36"/>
        <v>51</v>
      </c>
      <c r="I31" s="17">
        <f t="shared" si="36"/>
        <v>55</v>
      </c>
      <c r="J31" s="17">
        <f t="shared" si="36"/>
        <v>54</v>
      </c>
      <c r="K31" s="17">
        <f t="shared" si="36"/>
        <v>52</v>
      </c>
      <c r="L31" s="17">
        <f t="shared" si="36"/>
        <v>54</v>
      </c>
      <c r="M31" s="17">
        <f t="shared" si="36"/>
        <v>57</v>
      </c>
      <c r="N31" s="17">
        <f t="shared" si="36"/>
        <v>56</v>
      </c>
      <c r="O31" s="17">
        <f t="shared" si="36"/>
        <v>56</v>
      </c>
      <c r="P31" s="17">
        <f t="shared" si="36"/>
        <v>53</v>
      </c>
      <c r="Q31" s="17">
        <f t="shared" si="36"/>
        <v>52</v>
      </c>
      <c r="R31" s="17">
        <f t="shared" si="36"/>
        <v>52</v>
      </c>
      <c r="S31" s="17">
        <f t="shared" si="36"/>
        <v>50</v>
      </c>
      <c r="T31" s="17">
        <f t="shared" si="36"/>
        <v>52</v>
      </c>
      <c r="U31" s="17">
        <f t="shared" si="36"/>
        <v>51</v>
      </c>
      <c r="V31" s="17">
        <f t="shared" si="36"/>
        <v>52</v>
      </c>
      <c r="AC31" s="18" t="s">
        <v>23</v>
      </c>
      <c r="AD31" s="9">
        <f>MIN(AD22:AD26)</f>
        <v>49.8</v>
      </c>
      <c r="AE31" s="9">
        <f t="shared" ref="AE31:AI31" si="37">MIN(AE22:AE26)</f>
        <v>50</v>
      </c>
      <c r="AF31" s="9">
        <f t="shared" si="37"/>
        <v>50.1</v>
      </c>
      <c r="AG31" s="9">
        <f t="shared" si="37"/>
        <v>49.6</v>
      </c>
      <c r="AH31" s="9">
        <f t="shared" si="37"/>
        <v>49.9</v>
      </c>
      <c r="AI31" s="9">
        <f t="shared" si="37"/>
        <v>49.5</v>
      </c>
      <c r="AJ31" s="9"/>
      <c r="AK31" s="9"/>
      <c r="AL31" s="25">
        <f>MIN(AL22:AL26)</f>
        <v>-1.1000000000000014</v>
      </c>
      <c r="AM31" s="12">
        <f t="shared" ref="AM31:AT31" si="38">MIN(AM22:AM26)</f>
        <v>-0.04</v>
      </c>
      <c r="AN31" s="25">
        <f t="shared" si="38"/>
        <v>-1.3999999999999986</v>
      </c>
      <c r="AO31" s="12">
        <f t="shared" si="38"/>
        <v>-7</v>
      </c>
      <c r="AP31" s="25">
        <f t="shared" si="38"/>
        <v>-0.70000000000000284</v>
      </c>
      <c r="AQ31" s="12">
        <f t="shared" si="38"/>
        <v>-2</v>
      </c>
      <c r="AR31" s="25">
        <f t="shared" si="38"/>
        <v>-1.3999999999999986</v>
      </c>
      <c r="AS31" s="12">
        <f t="shared" si="38"/>
        <v>-64</v>
      </c>
      <c r="AT31" s="25">
        <f t="shared" si="38"/>
        <v>-1</v>
      </c>
      <c r="AV31" s="9">
        <f t="shared" ref="AV31:AX31" si="39">MIN(AV21:AV25)</f>
        <v>-1.6999999999999957</v>
      </c>
      <c r="AW31" s="9">
        <f t="shared" si="39"/>
        <v>-1.6999999999999957</v>
      </c>
      <c r="AX31" s="9">
        <f t="shared" si="39"/>
        <v>-0.70000000000000284</v>
      </c>
    </row>
    <row r="32" spans="1:50">
      <c r="AK32" s="18" t="s">
        <v>24</v>
      </c>
      <c r="AL32" s="25">
        <f>COUNTIF(AL2:AL26,"&gt;0")</f>
        <v>10</v>
      </c>
      <c r="AM32" s="12">
        <f t="shared" ref="AM32:AT32" si="40">COUNTIF(AM2:AM26,"&gt;0")</f>
        <v>7</v>
      </c>
      <c r="AN32" s="25">
        <f t="shared" si="40"/>
        <v>12</v>
      </c>
      <c r="AO32" s="12">
        <f t="shared" si="40"/>
        <v>9</v>
      </c>
      <c r="AP32" s="25">
        <f t="shared" si="40"/>
        <v>12</v>
      </c>
      <c r="AQ32" s="12">
        <f t="shared" si="40"/>
        <v>9</v>
      </c>
      <c r="AR32" s="25">
        <f t="shared" si="40"/>
        <v>12</v>
      </c>
      <c r="AS32" s="12">
        <f t="shared" si="40"/>
        <v>11</v>
      </c>
      <c r="AT32" s="25">
        <f t="shared" si="40"/>
        <v>14</v>
      </c>
      <c r="AV32" s="9">
        <f t="shared" ref="AV32:AX32" si="41">COUNTIF(AV2:AV26,"&gt;0")</f>
        <v>15</v>
      </c>
      <c r="AW32" s="9">
        <f t="shared" si="41"/>
        <v>16</v>
      </c>
      <c r="AX32" s="9">
        <f t="shared" si="41"/>
        <v>14</v>
      </c>
    </row>
    <row r="33" spans="1:61">
      <c r="E33" s="6">
        <f>MAX(E21:E25)</f>
        <v>72</v>
      </c>
      <c r="F33" s="6">
        <f t="shared" ref="F33:W33" si="42">MAX(F21:F25)</f>
        <v>70</v>
      </c>
      <c r="G33" s="6">
        <f t="shared" si="42"/>
        <v>71</v>
      </c>
      <c r="H33" s="6">
        <f t="shared" si="42"/>
        <v>71</v>
      </c>
      <c r="I33" s="6">
        <f t="shared" si="42"/>
        <v>68</v>
      </c>
      <c r="J33" s="6">
        <f t="shared" si="42"/>
        <v>69</v>
      </c>
      <c r="K33" s="6">
        <f t="shared" si="42"/>
        <v>72</v>
      </c>
      <c r="L33" s="6">
        <f t="shared" si="42"/>
        <v>73</v>
      </c>
      <c r="M33" s="6">
        <f t="shared" si="42"/>
        <v>74</v>
      </c>
      <c r="N33" s="6">
        <f t="shared" si="42"/>
        <v>72</v>
      </c>
      <c r="O33" s="6">
        <f t="shared" si="42"/>
        <v>69</v>
      </c>
      <c r="P33" s="6">
        <f t="shared" si="42"/>
        <v>66</v>
      </c>
      <c r="Q33" s="6">
        <f t="shared" si="42"/>
        <v>65</v>
      </c>
      <c r="R33" s="6">
        <f t="shared" si="42"/>
        <v>63</v>
      </c>
      <c r="S33" s="6">
        <f t="shared" si="42"/>
        <v>63</v>
      </c>
      <c r="T33" s="6">
        <f t="shared" si="42"/>
        <v>64</v>
      </c>
      <c r="U33" s="6">
        <f t="shared" si="42"/>
        <v>64</v>
      </c>
      <c r="V33" s="6">
        <f t="shared" si="42"/>
        <v>63</v>
      </c>
      <c r="W33" s="6">
        <f t="shared" si="42"/>
        <v>54</v>
      </c>
      <c r="AK33" s="18" t="s">
        <v>25</v>
      </c>
      <c r="AL33" s="25">
        <f>COUNTIF(AL2:AL26,"&lt;0")</f>
        <v>13</v>
      </c>
      <c r="AM33" s="12">
        <f t="shared" ref="AM33:AT33" si="43">COUNTIF(AM2:AM26,"&lt;0")</f>
        <v>15</v>
      </c>
      <c r="AN33" s="25">
        <f t="shared" si="43"/>
        <v>12</v>
      </c>
      <c r="AO33" s="12">
        <f t="shared" si="43"/>
        <v>14</v>
      </c>
      <c r="AP33" s="25">
        <f t="shared" si="43"/>
        <v>10</v>
      </c>
      <c r="AQ33" s="12">
        <f t="shared" si="43"/>
        <v>12</v>
      </c>
      <c r="AR33" s="25">
        <f t="shared" si="43"/>
        <v>10</v>
      </c>
      <c r="AS33" s="12">
        <f t="shared" si="43"/>
        <v>7</v>
      </c>
      <c r="AT33" s="25">
        <f t="shared" si="43"/>
        <v>10</v>
      </c>
      <c r="AV33" s="9">
        <f t="shared" ref="AV33:AX33" si="44">COUNTIF(AV2:AV26,"&lt;0")</f>
        <v>10</v>
      </c>
      <c r="AW33" s="9">
        <f t="shared" si="44"/>
        <v>9</v>
      </c>
      <c r="AX33" s="9">
        <f t="shared" si="44"/>
        <v>10</v>
      </c>
    </row>
    <row r="34" spans="1:61">
      <c r="E34" s="12">
        <f>SUM(E2:E26)/23-SUM(D2:D26)/23</f>
        <v>2.1739130434782652</v>
      </c>
      <c r="F34" s="12">
        <f>SUM(F2:F26)/25-SUM(E2:E26)/23</f>
        <v>-1.4956521739130437</v>
      </c>
      <c r="G34" s="12">
        <f>SUM(G2:G26)/25-SUM(F2:F26)/25</f>
        <v>-1</v>
      </c>
      <c r="H34" s="12">
        <f t="shared" ref="H34:U34" si="45">SUM(H2:H26)/25-SUM(G2:G26)/25</f>
        <v>-0.84000000000000341</v>
      </c>
      <c r="I34" s="12">
        <f t="shared" si="45"/>
        <v>-0.71999999999999886</v>
      </c>
      <c r="J34" s="12">
        <f t="shared" si="45"/>
        <v>-0.88000000000000256</v>
      </c>
      <c r="K34" s="12">
        <f t="shared" si="45"/>
        <v>-3.9999999999999147E-2</v>
      </c>
      <c r="L34" s="12">
        <f t="shared" si="45"/>
        <v>-0.39999999999999858</v>
      </c>
      <c r="M34" s="12">
        <f t="shared" si="45"/>
        <v>3.9999999999999147E-2</v>
      </c>
      <c r="N34" s="12">
        <f t="shared" si="45"/>
        <v>-0.79999999999999716</v>
      </c>
      <c r="O34" s="12">
        <f t="shared" si="45"/>
        <v>-0.52000000000000313</v>
      </c>
      <c r="P34" s="12">
        <f t="shared" si="45"/>
        <v>-0.92000000000000171</v>
      </c>
      <c r="Q34" s="12">
        <f t="shared" si="45"/>
        <v>-0.47999999999999687</v>
      </c>
      <c r="R34" s="12">
        <f t="shared" si="45"/>
        <v>-0.43999999999999773</v>
      </c>
      <c r="S34" s="12">
        <f t="shared" si="45"/>
        <v>7.9999999999998295E-2</v>
      </c>
      <c r="T34" s="12">
        <f t="shared" si="45"/>
        <v>0.39999999999999858</v>
      </c>
      <c r="U34" s="12">
        <f t="shared" si="45"/>
        <v>-1.6400000000000006</v>
      </c>
      <c r="AK34" s="18" t="s">
        <v>26</v>
      </c>
      <c r="AL34" s="25">
        <f>AVERAGEIF(AL2:AL26,"&gt;0")</f>
        <v>1.4699999999999995</v>
      </c>
      <c r="AM34" s="12">
        <f t="shared" ref="AM34:AT34" si="46">AVERAGEIF(AM2:AM26,"&gt;0")</f>
        <v>2.7142857142857146E-2</v>
      </c>
      <c r="AN34" s="25">
        <f t="shared" si="46"/>
        <v>0.89166666666666627</v>
      </c>
      <c r="AO34" s="12">
        <f t="shared" si="46"/>
        <v>2.1111111111111112</v>
      </c>
      <c r="AP34" s="25">
        <f t="shared" si="46"/>
        <v>1.2083333333333333</v>
      </c>
      <c r="AQ34" s="12">
        <f t="shared" si="46"/>
        <v>2.2222222222222223</v>
      </c>
      <c r="AR34" s="25">
        <f t="shared" si="46"/>
        <v>0.69166666666666643</v>
      </c>
      <c r="AS34" s="12">
        <f t="shared" si="46"/>
        <v>2</v>
      </c>
      <c r="AT34" s="25">
        <f t="shared" si="46"/>
        <v>0.47142857142857303</v>
      </c>
      <c r="AV34" s="9">
        <f t="shared" ref="AV34:AX34" si="47">AVERAGEIF(AV2:AV26,"&gt;0")</f>
        <v>1.6533333333333335</v>
      </c>
      <c r="AW34" s="9">
        <f t="shared" si="47"/>
        <v>0.76250000000000062</v>
      </c>
      <c r="AX34" s="9">
        <f t="shared" si="47"/>
        <v>0.47142857142857303</v>
      </c>
    </row>
    <row r="35" spans="1:61">
      <c r="E35" s="12" cm="1">
        <f t="array" ref="E35">AVERAGE(E2:E27-D2:D27)</f>
        <v>1.8461538461538463</v>
      </c>
      <c r="F35" s="12" cm="1">
        <f t="array" ref="F35">AVERAGE(F2:F27-E2:E27)</f>
        <v>3.6153846153846154</v>
      </c>
      <c r="G35" s="12" cm="1">
        <f t="array" ref="G35">AVERAGE(G2:G27-F2:F27)</f>
        <v>-0.96153846153846156</v>
      </c>
      <c r="H35" s="12" cm="1">
        <f t="array" ref="H35">AVERAGE(H2:H27-G2:G27)</f>
        <v>-0.80769230769230771</v>
      </c>
      <c r="I35" s="12" cm="1">
        <f t="array" ref="I35">AVERAGE(I2:I27-H2:H27)</f>
        <v>-0.53846153846153844</v>
      </c>
      <c r="J35" s="12" cm="1">
        <f t="array" ref="J35">AVERAGE(J2:J27-I2:I27)</f>
        <v>-0.92307692307692313</v>
      </c>
      <c r="K35" s="12" cm="1">
        <f t="array" ref="K35">AVERAGE(K2:K27-J2:J27)</f>
        <v>3.8461538461538464E-2</v>
      </c>
      <c r="L35" s="12" cm="1">
        <f t="array" ref="L35">AVERAGE(L2:L27-K2:K27)</f>
        <v>-0.42307692307692307</v>
      </c>
      <c r="M35" s="12" cm="1">
        <f t="array" ref="M35">AVERAGE(M2:M27-L2:L27)</f>
        <v>-2.6153846153846154</v>
      </c>
      <c r="N35" s="12" cm="1">
        <f t="array" ref="N35">AVERAGE(N2:N27-M2:M27)</f>
        <v>-0.76923076923076927</v>
      </c>
      <c r="O35" s="12" cm="1">
        <f t="array" ref="O35">AVERAGE(O2:O27-N2:N27)</f>
        <v>-0.5</v>
      </c>
      <c r="P35" s="12" cm="1">
        <f t="array" ref="P35">AVERAGE(P2:P27-O2:O27)</f>
        <v>-0.88461538461538458</v>
      </c>
      <c r="Q35" s="12" cm="1">
        <f t="array" ref="Q35">AVERAGE(Q2:Q27-P2:P27)</f>
        <v>-0.46153846153846156</v>
      </c>
      <c r="R35" s="12" cm="1">
        <f t="array" ref="R35">AVERAGE(R2:R27-Q2:Q27)</f>
        <v>-0.42307692307692307</v>
      </c>
      <c r="S35" s="12" cm="1">
        <f t="array" ref="S35">AVERAGE(S2:S27-R2:R27)</f>
        <v>7.6923076923076927E-2</v>
      </c>
      <c r="T35" s="12" cm="1">
        <f t="array" ref="T35">AVERAGE(T2:T27-S2:S27)</f>
        <v>0.38461538461538464</v>
      </c>
      <c r="U35" s="12" cm="1">
        <f t="array" ref="U35">AVERAGE(U2:U27-T2:T27)</f>
        <v>-1.5769230769230769</v>
      </c>
      <c r="AK35" s="18" t="s">
        <v>27</v>
      </c>
      <c r="AL35" s="25">
        <f>AVERAGEIF(AL2:AL26,"&lt;0")</f>
        <v>-1.5076923076923072</v>
      </c>
      <c r="AM35" s="12">
        <f t="shared" ref="AM35:AT35" si="48">AVERAGEIF(AM2:AM26,"&lt;0")</f>
        <v>-6.0666666666666681E-2</v>
      </c>
      <c r="AN35" s="25">
        <f t="shared" si="48"/>
        <v>-1.0250000000000004</v>
      </c>
      <c r="AO35" s="12">
        <f t="shared" si="48"/>
        <v>-5.7142857142857144</v>
      </c>
      <c r="AP35" s="25">
        <f t="shared" si="48"/>
        <v>-0.7</v>
      </c>
      <c r="AQ35" s="12">
        <f t="shared" si="48"/>
        <v>-2.5833333333333335</v>
      </c>
      <c r="AR35" s="25">
        <f t="shared" si="48"/>
        <v>-0.5800000000000004</v>
      </c>
      <c r="AS35" s="12">
        <f t="shared" si="48"/>
        <v>-10.428571428571429</v>
      </c>
      <c r="AT35" s="25">
        <f t="shared" si="48"/>
        <v>-0.57000000000000028</v>
      </c>
      <c r="AV35" s="9">
        <f t="shared" ref="AV35:AX35" si="49">AVERAGEIF(AV2:AV26,"&lt;0")</f>
        <v>-1.3899999999999992</v>
      </c>
      <c r="AW35" s="9">
        <f t="shared" si="49"/>
        <v>-0.97777777777777741</v>
      </c>
      <c r="AX35" s="9">
        <f t="shared" si="49"/>
        <v>-0.57000000000000028</v>
      </c>
    </row>
    <row r="36" spans="1:61">
      <c r="A36" s="6">
        <f t="shared" ref="A36:A48" si="50">A15</f>
        <v>2013</v>
      </c>
      <c r="E36" s="17">
        <f>D29+E34</f>
        <v>69.173913043478265</v>
      </c>
      <c r="F36" s="17">
        <f>E36+F34</f>
        <v>67.678260869565221</v>
      </c>
      <c r="G36" s="17">
        <f t="shared" ref="G36:U36" si="51">F36+G34</f>
        <v>66.678260869565221</v>
      </c>
      <c r="H36" s="17">
        <f t="shared" si="51"/>
        <v>65.838260869565218</v>
      </c>
      <c r="I36" s="17">
        <f t="shared" si="51"/>
        <v>65.118260869565219</v>
      </c>
      <c r="J36" s="17">
        <f t="shared" si="51"/>
        <v>64.23826086956521</v>
      </c>
      <c r="K36" s="17">
        <f t="shared" si="51"/>
        <v>64.198260869565217</v>
      </c>
      <c r="L36" s="17">
        <f t="shared" si="51"/>
        <v>63.798260869565219</v>
      </c>
      <c r="M36" s="17">
        <f t="shared" si="51"/>
        <v>63.838260869565218</v>
      </c>
      <c r="N36" s="17">
        <f t="shared" si="51"/>
        <v>63.038260869565221</v>
      </c>
      <c r="O36" s="17">
        <f t="shared" si="51"/>
        <v>62.518260869565218</v>
      </c>
      <c r="P36" s="17">
        <f t="shared" si="51"/>
        <v>61.598260869565216</v>
      </c>
      <c r="Q36" s="17">
        <f t="shared" si="51"/>
        <v>61.118260869565219</v>
      </c>
      <c r="R36" s="17">
        <f t="shared" si="51"/>
        <v>60.678260869565221</v>
      </c>
      <c r="S36" s="17">
        <f t="shared" si="51"/>
        <v>60.75826086956522</v>
      </c>
      <c r="T36" s="17">
        <f t="shared" si="51"/>
        <v>61.158260869565218</v>
      </c>
      <c r="U36" s="17">
        <f t="shared" si="51"/>
        <v>59.518260869565218</v>
      </c>
      <c r="X36" s="9">
        <f>$AI15</f>
        <v>44</v>
      </c>
      <c r="Y36" s="9"/>
      <c r="AK36" s="18" t="s">
        <v>28</v>
      </c>
      <c r="AL36" s="25">
        <f>AVERAGE(AL2:AL26)</f>
        <v>-0.19599999999999995</v>
      </c>
      <c r="AM36" s="12">
        <f t="shared" ref="AM36:AT36" si="52">AVERAGE(AM2:AM26)</f>
        <v>-2.8800000000000003E-2</v>
      </c>
      <c r="AN36" s="25">
        <f t="shared" si="52"/>
        <v>-6.4000000000000334E-2</v>
      </c>
      <c r="AO36" s="12">
        <f t="shared" si="52"/>
        <v>-2.44</v>
      </c>
      <c r="AP36" s="25">
        <f t="shared" si="52"/>
        <v>0.3</v>
      </c>
      <c r="AQ36" s="12">
        <f t="shared" si="52"/>
        <v>-0.44</v>
      </c>
      <c r="AR36" s="25">
        <f t="shared" si="52"/>
        <v>9.9999999999999714E-2</v>
      </c>
      <c r="AS36" s="12">
        <f t="shared" si="52"/>
        <v>-2.04</v>
      </c>
      <c r="AT36" s="25">
        <f t="shared" si="52"/>
        <v>3.6000000000000795E-2</v>
      </c>
      <c r="AV36" s="9">
        <f t="shared" ref="AV36:AX36" si="53">AVERAGE(AV2:AV26)</f>
        <v>0.4360000000000005</v>
      </c>
      <c r="AW36" s="9">
        <f t="shared" si="53"/>
        <v>0.13600000000000051</v>
      </c>
      <c r="AX36" s="9">
        <f t="shared" si="53"/>
        <v>3.6000000000000795E-2</v>
      </c>
    </row>
    <row r="37" spans="1:61">
      <c r="A37" s="6">
        <f t="shared" si="50"/>
        <v>2014</v>
      </c>
      <c r="W37" s="9">
        <f>$AI16</f>
        <v>47.5</v>
      </c>
      <c r="X37" s="9"/>
      <c r="Y37" s="9"/>
      <c r="AU37" s="11" t="str">
        <f t="shared" ref="AU37:AU38" si="54">IF(AR37&gt;0,AT37,"")</f>
        <v/>
      </c>
    </row>
    <row r="38" spans="1:61">
      <c r="A38" s="6">
        <f t="shared" si="50"/>
        <v>2015</v>
      </c>
      <c r="V38" s="9">
        <f>$AI17</f>
        <v>48</v>
      </c>
      <c r="W38" s="9"/>
      <c r="Y38" s="9"/>
      <c r="AU38" s="11" t="str">
        <f t="shared" si="54"/>
        <v/>
      </c>
    </row>
    <row r="39" spans="1:61">
      <c r="A39" s="6">
        <f t="shared" si="50"/>
        <v>2016</v>
      </c>
      <c r="V39" s="9">
        <f>$AI18</f>
        <v>51.9</v>
      </c>
      <c r="W39" s="9"/>
      <c r="Y39" s="9"/>
    </row>
    <row r="40" spans="1:61">
      <c r="A40" s="6">
        <f t="shared" si="50"/>
        <v>2017</v>
      </c>
      <c r="V40" s="9">
        <f>$AI19</f>
        <v>49.3</v>
      </c>
      <c r="W40" s="9"/>
      <c r="Y40" s="9"/>
    </row>
    <row r="41" spans="1:61">
      <c r="A41" s="6">
        <f t="shared" si="50"/>
        <v>2018</v>
      </c>
      <c r="W41" s="9">
        <f>$AI20</f>
        <v>50.6</v>
      </c>
      <c r="Y41" s="9"/>
    </row>
    <row r="42" spans="1:61">
      <c r="A42" s="6">
        <f t="shared" si="50"/>
        <v>2019</v>
      </c>
      <c r="W42" s="9">
        <f>$AI21</f>
        <v>47.4</v>
      </c>
      <c r="Y42" s="9"/>
      <c r="AK42" s="6">
        <v>2000</v>
      </c>
      <c r="AL42" s="6">
        <v>2001</v>
      </c>
      <c r="AM42" s="6">
        <v>2002</v>
      </c>
      <c r="AN42" s="6">
        <v>2003</v>
      </c>
      <c r="AO42" s="6">
        <v>2004</v>
      </c>
      <c r="AP42" s="6">
        <v>2005</v>
      </c>
      <c r="AQ42" s="6">
        <v>2006</v>
      </c>
      <c r="AR42" s="6">
        <v>2007</v>
      </c>
      <c r="AS42" s="6">
        <v>2008</v>
      </c>
      <c r="AT42" s="6">
        <v>2009</v>
      </c>
      <c r="AU42" s="6">
        <v>2010</v>
      </c>
      <c r="AV42" s="6">
        <v>2011</v>
      </c>
      <c r="AW42" s="6">
        <v>2012</v>
      </c>
      <c r="AX42" s="6">
        <v>2013</v>
      </c>
      <c r="AY42" s="6">
        <v>2014</v>
      </c>
      <c r="AZ42" s="6">
        <v>2015</v>
      </c>
      <c r="BA42" s="6">
        <v>2016</v>
      </c>
      <c r="BB42" s="6">
        <v>2017</v>
      </c>
      <c r="BC42" s="6">
        <v>2018</v>
      </c>
      <c r="BD42" s="6">
        <v>2019</v>
      </c>
      <c r="BE42" s="6">
        <v>2020</v>
      </c>
      <c r="BF42" s="6">
        <v>2021</v>
      </c>
      <c r="BG42" s="6">
        <v>2022</v>
      </c>
      <c r="BH42" s="6">
        <v>2023</v>
      </c>
      <c r="BI42" s="6">
        <v>2024</v>
      </c>
    </row>
    <row r="43" spans="1:61">
      <c r="A43" s="6">
        <f t="shared" si="50"/>
        <v>2020</v>
      </c>
      <c r="V43" s="9">
        <f>$AI22</f>
        <v>50.2</v>
      </c>
      <c r="W43" s="9"/>
      <c r="Y43" s="9"/>
      <c r="AJ43" s="6" t="s">
        <v>1</v>
      </c>
      <c r="AK43" s="9">
        <f>$AL2</f>
        <v>0.70000000000000284</v>
      </c>
      <c r="AL43" s="9">
        <f>$AL3</f>
        <v>-0.79999999999999716</v>
      </c>
      <c r="AM43" s="9">
        <f>$AL4</f>
        <v>-3.2000000000000028</v>
      </c>
      <c r="AN43" s="9">
        <f>$AL5</f>
        <v>-0.30000000000000426</v>
      </c>
      <c r="AO43" s="9">
        <f>$AL6</f>
        <v>-0.79999999999999716</v>
      </c>
      <c r="AP43" s="9">
        <f>$AL7</f>
        <v>-1.1999999999999957</v>
      </c>
      <c r="AQ43" s="9">
        <f>$AL8</f>
        <v>-1.1000000000000014</v>
      </c>
      <c r="AR43" s="9">
        <f>$AL9</f>
        <v>0</v>
      </c>
      <c r="AS43" s="9">
        <f>$AL10</f>
        <v>-1.1000000000000014</v>
      </c>
      <c r="AT43" s="9">
        <f>$AL10</f>
        <v>-1.1000000000000014</v>
      </c>
      <c r="AU43" s="9">
        <f>$AL11</f>
        <v>-0.89999999999999858</v>
      </c>
      <c r="AV43" s="9">
        <f>$AL12</f>
        <v>1.1000000000000014</v>
      </c>
      <c r="AW43" s="9">
        <f>$AL13</f>
        <v>-2</v>
      </c>
      <c r="AX43" s="9">
        <f>$AL14</f>
        <v>-4.3999999999999986</v>
      </c>
      <c r="AY43" s="9">
        <f>$AL15</f>
        <v>-1.8999999999999986</v>
      </c>
      <c r="AZ43" s="9">
        <f>$AL16</f>
        <v>0.19999999999999574</v>
      </c>
      <c r="BA43" s="9">
        <f>$AL17</f>
        <v>0.89999999999999858</v>
      </c>
      <c r="BB43" s="9">
        <f>$AL18</f>
        <v>2.1999999999999957</v>
      </c>
      <c r="BC43" s="9">
        <f>$AL19</f>
        <v>1.3999999999999986</v>
      </c>
      <c r="BD43" s="9">
        <f>$AL20</f>
        <v>3.1000000000000014</v>
      </c>
      <c r="BE43" s="9">
        <f>$AL21</f>
        <v>0</v>
      </c>
      <c r="BF43" s="9">
        <f>$AL22</f>
        <v>3.5</v>
      </c>
      <c r="BG43" s="9">
        <f>$AL23</f>
        <v>-0.79999999999999716</v>
      </c>
      <c r="BH43" s="9">
        <f>$AL24</f>
        <v>0.39999999999999858</v>
      </c>
    </row>
    <row r="44" spans="1:61">
      <c r="A44" s="6">
        <f t="shared" si="50"/>
        <v>2021</v>
      </c>
      <c r="U44" s="9">
        <f>$AI23</f>
        <v>51.4</v>
      </c>
      <c r="V44" s="9"/>
      <c r="Y44" s="9"/>
      <c r="AJ44" s="6" t="s">
        <v>2</v>
      </c>
      <c r="AK44" s="9">
        <f>$AN2</f>
        <v>-1.2000000000000028</v>
      </c>
      <c r="AL44" s="9">
        <f>$AN3</f>
        <v>-0.5</v>
      </c>
      <c r="AM44" s="9">
        <f>$AN4</f>
        <v>0.5</v>
      </c>
      <c r="AN44" s="9">
        <f>$AN5</f>
        <v>-3</v>
      </c>
      <c r="AO44" s="9">
        <f>$AN6</f>
        <v>-0.60000000000000142</v>
      </c>
      <c r="AP44" s="9">
        <f>$AN7</f>
        <v>0.89999999999999858</v>
      </c>
      <c r="AQ44" s="9">
        <f>$AN8</f>
        <v>2.1999999999999957</v>
      </c>
      <c r="AR44" s="9">
        <f>$AN9</f>
        <v>-0.10000000000000142</v>
      </c>
      <c r="AS44" s="9">
        <f>$AN10</f>
        <v>-0.5</v>
      </c>
      <c r="AT44" s="9">
        <f>$AN10</f>
        <v>-0.5</v>
      </c>
      <c r="AU44" s="9">
        <f>$AN11</f>
        <v>0.59999999999999432</v>
      </c>
      <c r="AV44" s="9">
        <f>$AN12</f>
        <v>0.70000000000000284</v>
      </c>
      <c r="AW44" s="9">
        <f>$AN13</f>
        <v>0.39999999999999858</v>
      </c>
      <c r="AX44" s="9">
        <f>$AN14</f>
        <v>-0.80000000000000426</v>
      </c>
      <c r="AY44" s="9">
        <f>$AN15</f>
        <v>-1.3999999999999986</v>
      </c>
      <c r="AZ44" s="9">
        <f>$AN16</f>
        <v>1.2000000000000028</v>
      </c>
      <c r="BA44" s="9">
        <f>$AN17</f>
        <v>0.20000000000000284</v>
      </c>
      <c r="BB44" s="9">
        <f>$AN18</f>
        <v>1.7000000000000028</v>
      </c>
      <c r="BC44" s="9">
        <f>$AN19</f>
        <v>0.5</v>
      </c>
      <c r="BD44" s="9">
        <f>$AN20</f>
        <v>1.1999999999999957</v>
      </c>
      <c r="BE44" s="9">
        <f>$AN21</f>
        <v>-0.60000000000000142</v>
      </c>
      <c r="BF44" s="9">
        <f>$AN22</f>
        <v>-1.3999999999999986</v>
      </c>
      <c r="BG44" s="9">
        <f>$AN23</f>
        <v>0.60000000000000142</v>
      </c>
      <c r="BH44" s="9">
        <f>$AN24</f>
        <v>-1.3999999999999986</v>
      </c>
    </row>
    <row r="45" spans="1:61">
      <c r="A45" s="6">
        <f t="shared" si="50"/>
        <v>2022</v>
      </c>
      <c r="V45" s="9">
        <f>$AI24</f>
        <v>49.5</v>
      </c>
      <c r="Y45" s="9"/>
      <c r="AJ45" s="6" t="s">
        <v>3</v>
      </c>
      <c r="AK45" s="9">
        <f>$AP2</f>
        <v>-0.79999999999999716</v>
      </c>
      <c r="AL45" s="9">
        <f>$AP3</f>
        <v>1</v>
      </c>
      <c r="AM45" s="9">
        <f>$AP4</f>
        <v>0</v>
      </c>
      <c r="AN45" s="9">
        <f>$AP5</f>
        <v>-2.3999999999999986</v>
      </c>
      <c r="AO45" s="9">
        <f>$AP6</f>
        <v>3.5</v>
      </c>
      <c r="AP45" s="9">
        <f>$AP7</f>
        <v>2</v>
      </c>
      <c r="AQ45" s="9">
        <f>$AP8</f>
        <v>1</v>
      </c>
      <c r="AR45" s="9">
        <f>$AP9</f>
        <v>0</v>
      </c>
      <c r="AS45" s="9">
        <f>$AP10</f>
        <v>-0.5</v>
      </c>
      <c r="AT45" s="9">
        <f>$AP10</f>
        <v>-0.5</v>
      </c>
      <c r="AU45" s="9">
        <f>$AP11</f>
        <v>0.10000000000000142</v>
      </c>
      <c r="AV45" s="9">
        <f>$AP12</f>
        <v>-0.30000000000000426</v>
      </c>
      <c r="AW45" s="9">
        <f>$AP13</f>
        <v>-0.29999999999999716</v>
      </c>
      <c r="AX45" s="9">
        <f>$AP14</f>
        <v>2.5</v>
      </c>
      <c r="AY45" s="9">
        <f>$AP15</f>
        <v>1.7999999999999972</v>
      </c>
      <c r="AZ45" s="9">
        <f>$AP16</f>
        <v>0.5</v>
      </c>
      <c r="BA45" s="9">
        <f>$AP17</f>
        <v>0.10000000000000142</v>
      </c>
      <c r="BB45" s="9">
        <f>$AP18</f>
        <v>0.79999999999999716</v>
      </c>
      <c r="BC45" s="9">
        <f>$AP19</f>
        <v>-0.39999999999999858</v>
      </c>
      <c r="BD45" s="9">
        <f>$AP20</f>
        <v>0.30000000000000426</v>
      </c>
      <c r="BE45" s="9">
        <f>$AP21</f>
        <v>-1</v>
      </c>
      <c r="BF45" s="9">
        <f>$AP22</f>
        <v>0</v>
      </c>
      <c r="BG45" s="9">
        <f>$AP23</f>
        <v>0.89999999999999858</v>
      </c>
      <c r="BH45" s="9">
        <f>$AP24</f>
        <v>-0.70000000000000284</v>
      </c>
    </row>
    <row r="46" spans="1:61">
      <c r="A46" s="6">
        <f t="shared" si="50"/>
        <v>2023</v>
      </c>
      <c r="V46" s="9">
        <f>$AI25</f>
        <v>50.6</v>
      </c>
      <c r="Y46" s="9"/>
      <c r="AJ46" s="6" t="s">
        <v>4</v>
      </c>
      <c r="AK46" s="9">
        <f>$AR2</f>
        <v>-0.70000000000000284</v>
      </c>
      <c r="AL46" s="9">
        <f>$AR3</f>
        <v>0.19999999999999574</v>
      </c>
      <c r="AM46" s="9">
        <f>$AR4</f>
        <v>0.5</v>
      </c>
      <c r="AN46" s="9">
        <f>$AR5</f>
        <v>-0.20000000000000284</v>
      </c>
      <c r="AO46" s="9">
        <f>$AR6</f>
        <v>0.60000000000000142</v>
      </c>
      <c r="AP46" s="9">
        <f>$AR7</f>
        <v>1.1000000000000014</v>
      </c>
      <c r="AQ46" s="9">
        <f>$AR8</f>
        <v>0.20000000000000284</v>
      </c>
      <c r="AR46" s="9">
        <f>$AR9</f>
        <v>-0.10000000000000142</v>
      </c>
      <c r="AS46" s="9">
        <f>$AR10</f>
        <v>-0.20000000000000284</v>
      </c>
      <c r="AT46" s="9">
        <f>$AR10</f>
        <v>-0.20000000000000284</v>
      </c>
      <c r="AU46" s="9">
        <f>$AR11</f>
        <v>0.89999999999999858</v>
      </c>
      <c r="AV46" s="9">
        <f>$AR12</f>
        <v>-0.5</v>
      </c>
      <c r="AW46" s="9">
        <f>$AR13</f>
        <v>-0.20000000000000284</v>
      </c>
      <c r="AX46" s="9">
        <f>$AR14</f>
        <v>1.5</v>
      </c>
      <c r="AY46" s="9">
        <f>$AR15</f>
        <v>0</v>
      </c>
      <c r="AZ46" s="9">
        <f>$AR16</f>
        <v>0.39999999999999858</v>
      </c>
      <c r="BA46" s="9">
        <f>$AR17</f>
        <v>1.0999999999999943</v>
      </c>
      <c r="BB46" s="9">
        <f>$AR18</f>
        <v>1.1000000000000014</v>
      </c>
      <c r="BC46" s="9">
        <f>$AR19</f>
        <v>0</v>
      </c>
      <c r="BD46" s="9">
        <f>$AR20</f>
        <v>-1</v>
      </c>
      <c r="BE46" s="9">
        <f>$AR21</f>
        <v>0</v>
      </c>
      <c r="BF46" s="9">
        <f>$AR22</f>
        <v>-1.1999999999999957</v>
      </c>
      <c r="BG46" s="9">
        <f>$AR23</f>
        <v>-0.29999999999999716</v>
      </c>
      <c r="BH46" s="9">
        <f>$AR24</f>
        <v>0.40000000000000568</v>
      </c>
    </row>
    <row r="47" spans="1:61">
      <c r="A47" s="6">
        <f t="shared" si="50"/>
        <v>2024</v>
      </c>
      <c r="U47" s="9">
        <f>$AI26</f>
        <v>50.7</v>
      </c>
      <c r="Y47" s="9"/>
      <c r="AJ47" s="6" t="s">
        <v>5</v>
      </c>
      <c r="AK47" s="9">
        <f>$AT2</f>
        <v>0.10000000000000142</v>
      </c>
      <c r="AL47" s="9">
        <f>$AT3</f>
        <v>0.20000000000000284</v>
      </c>
      <c r="AM47" s="9">
        <f>$AT4</f>
        <v>0.5</v>
      </c>
      <c r="AN47" s="9">
        <f>$AT5</f>
        <v>0.10000000000000142</v>
      </c>
      <c r="AO47" s="9">
        <f>$AT6</f>
        <v>-0.39999999999999858</v>
      </c>
      <c r="AP47" s="9">
        <f>$AT7</f>
        <v>0.39999999999999858</v>
      </c>
      <c r="AQ47" s="9">
        <f>$AT8</f>
        <v>-0.10000000000000142</v>
      </c>
      <c r="AR47" s="9">
        <f>$AT9</f>
        <v>0.40000000000000568</v>
      </c>
      <c r="AS47" s="9">
        <f>$AT10</f>
        <v>0.40000000000000568</v>
      </c>
      <c r="AT47" s="9">
        <f>$AT10</f>
        <v>0.40000000000000568</v>
      </c>
      <c r="AU47" s="9">
        <f>$AT11</f>
        <v>0.70000000000000284</v>
      </c>
      <c r="AV47" s="9">
        <f>$AT12</f>
        <v>-0.39999999999999858</v>
      </c>
      <c r="AW47" s="9">
        <f>$AT13</f>
        <v>0.70000000000000284</v>
      </c>
      <c r="AX47" s="9">
        <f>$AT14</f>
        <v>0.70000000000000284</v>
      </c>
      <c r="AY47" s="9">
        <f>$AT15</f>
        <v>1</v>
      </c>
      <c r="AZ47" s="9">
        <f>$AT16</f>
        <v>0</v>
      </c>
      <c r="BA47" s="9">
        <f>$AT17</f>
        <v>-0.29999999999999716</v>
      </c>
      <c r="BB47" s="9">
        <f>$AT18</f>
        <v>-0.60000000000000142</v>
      </c>
      <c r="BC47" s="9">
        <f>$AT19</f>
        <v>-0.20000000000000284</v>
      </c>
      <c r="BD47" s="9">
        <f>$AT20</f>
        <v>-1.5</v>
      </c>
      <c r="BE47" s="9">
        <f>$AT21</f>
        <v>0.5</v>
      </c>
      <c r="BF47" s="9">
        <f>$AT22</f>
        <v>-0.5</v>
      </c>
      <c r="BG47" s="9">
        <f>$AT23</f>
        <v>0.19999999999999574</v>
      </c>
      <c r="BH47" s="9">
        <f>$AT24</f>
        <v>-0.70000000000000284</v>
      </c>
    </row>
    <row r="48" spans="1:61">
      <c r="A48" s="6">
        <f t="shared" si="50"/>
        <v>2025</v>
      </c>
      <c r="F48" s="9"/>
      <c r="G48" s="9">
        <f>AD27</f>
        <v>52.5</v>
      </c>
      <c r="H48" s="9"/>
      <c r="I48" s="9"/>
      <c r="J48" s="9"/>
      <c r="K48" s="9"/>
      <c r="L48" s="9">
        <f>AE27</f>
        <v>53.22824174630756</v>
      </c>
      <c r="M48" s="9"/>
      <c r="N48" s="9"/>
      <c r="O48" s="9"/>
      <c r="P48" s="9"/>
      <c r="Q48" s="9"/>
      <c r="R48" s="9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7409-361F-4143-8F0A-9296BEC975D1}">
  <dimension ref="A1:O103"/>
  <sheetViews>
    <sheetView zoomScale="115" zoomScaleNormal="115" workbookViewId="0">
      <pane xSplit="1" ySplit="1" topLeftCell="D88" activePane="bottomRight" state="frozen"/>
      <selection pane="topRight" activeCell="B1" sqref="B1"/>
      <selection pane="bottomLeft" activeCell="A2" sqref="A2"/>
      <selection pane="bottomRight" activeCell="N99" sqref="N97:N99"/>
    </sheetView>
  </sheetViews>
  <sheetFormatPr defaultColWidth="9.140625" defaultRowHeight="11.25"/>
  <cols>
    <col min="1" max="1" width="9.28515625" style="6" bestFit="1" customWidth="1"/>
    <col min="2" max="4" width="10.42578125" style="6" bestFit="1" customWidth="1"/>
    <col min="5" max="5" width="9.28515625" style="6" bestFit="1" customWidth="1"/>
    <col min="6" max="8" width="10.42578125" style="6" bestFit="1" customWidth="1"/>
    <col min="9" max="10" width="9.28515625" style="6" bestFit="1" customWidth="1"/>
    <col min="11" max="13" width="10.42578125" style="6" bestFit="1" customWidth="1"/>
    <col min="14" max="14" width="9.28515625" style="6" bestFit="1" customWidth="1"/>
    <col min="15" max="16384" width="9.140625" style="6"/>
  </cols>
  <sheetData>
    <row r="1" spans="1:14">
      <c r="B1" s="21">
        <v>45396</v>
      </c>
      <c r="C1" s="21">
        <f>B1+7</f>
        <v>45403</v>
      </c>
      <c r="D1" s="21">
        <f t="shared" ref="D1:N1" si="0">C1+7</f>
        <v>45410</v>
      </c>
      <c r="E1" s="21">
        <f t="shared" si="0"/>
        <v>45417</v>
      </c>
      <c r="F1" s="21">
        <f t="shared" si="0"/>
        <v>45424</v>
      </c>
      <c r="G1" s="21">
        <f t="shared" si="0"/>
        <v>45431</v>
      </c>
      <c r="H1" s="21">
        <f t="shared" si="0"/>
        <v>45438</v>
      </c>
      <c r="I1" s="21">
        <f t="shared" si="0"/>
        <v>45445</v>
      </c>
      <c r="J1" s="21">
        <f t="shared" si="0"/>
        <v>45452</v>
      </c>
      <c r="K1" s="21">
        <f t="shared" si="0"/>
        <v>45459</v>
      </c>
      <c r="L1" s="21">
        <f t="shared" si="0"/>
        <v>45466</v>
      </c>
      <c r="M1" s="21">
        <f t="shared" si="0"/>
        <v>45473</v>
      </c>
      <c r="N1" s="21">
        <f t="shared" si="0"/>
        <v>45480</v>
      </c>
    </row>
    <row r="2" spans="1:14">
      <c r="A2" s="6">
        <v>1980</v>
      </c>
      <c r="E2" s="6">
        <v>15</v>
      </c>
      <c r="F2" s="6">
        <v>31</v>
      </c>
      <c r="G2" s="6">
        <v>49</v>
      </c>
      <c r="H2" s="6">
        <v>65</v>
      </c>
      <c r="I2" s="6">
        <v>81</v>
      </c>
      <c r="J2" s="6">
        <v>89</v>
      </c>
      <c r="K2" s="6">
        <v>93</v>
      </c>
      <c r="L2" s="6">
        <v>96</v>
      </c>
      <c r="M2" s="6">
        <v>100</v>
      </c>
      <c r="N2" s="6">
        <v>100</v>
      </c>
    </row>
    <row r="3" spans="1:14">
      <c r="A3" s="6">
        <v>1981</v>
      </c>
      <c r="E3" s="6">
        <v>9</v>
      </c>
      <c r="F3" s="6">
        <v>18</v>
      </c>
      <c r="G3" s="6">
        <v>31</v>
      </c>
      <c r="H3" s="6">
        <v>46</v>
      </c>
      <c r="I3" s="6">
        <v>59</v>
      </c>
      <c r="J3" s="6">
        <v>69</v>
      </c>
      <c r="K3" s="6">
        <v>79</v>
      </c>
      <c r="L3" s="6">
        <v>89</v>
      </c>
      <c r="M3" s="6">
        <v>95</v>
      </c>
      <c r="N3" s="6">
        <v>100</v>
      </c>
    </row>
    <row r="4" spans="1:14">
      <c r="A4" s="6">
        <v>1982</v>
      </c>
      <c r="D4" s="6">
        <v>8</v>
      </c>
      <c r="E4" s="6">
        <v>24</v>
      </c>
      <c r="F4" s="6">
        <v>39</v>
      </c>
      <c r="G4" s="6">
        <v>50</v>
      </c>
      <c r="H4" s="6">
        <v>60</v>
      </c>
      <c r="I4" s="6">
        <v>75</v>
      </c>
      <c r="J4" s="6">
        <v>83</v>
      </c>
      <c r="K4" s="6">
        <v>91</v>
      </c>
      <c r="L4" s="6">
        <v>95</v>
      </c>
      <c r="M4" s="6">
        <v>98</v>
      </c>
      <c r="N4" s="6">
        <v>100</v>
      </c>
    </row>
    <row r="5" spans="1:14">
      <c r="A5" s="6">
        <v>1983</v>
      </c>
      <c r="D5" s="6">
        <v>2</v>
      </c>
      <c r="E5" s="6">
        <v>7</v>
      </c>
      <c r="F5" s="6">
        <v>15</v>
      </c>
      <c r="G5" s="6">
        <v>33</v>
      </c>
      <c r="H5" s="6">
        <v>54</v>
      </c>
      <c r="I5" s="6">
        <v>71</v>
      </c>
      <c r="J5" s="6">
        <v>85</v>
      </c>
      <c r="K5" s="6">
        <v>90</v>
      </c>
      <c r="L5" s="6">
        <v>94</v>
      </c>
      <c r="M5" s="6">
        <v>97</v>
      </c>
      <c r="N5" s="6">
        <v>100</v>
      </c>
    </row>
    <row r="6" spans="1:14">
      <c r="A6" s="6">
        <v>1984</v>
      </c>
      <c r="D6" s="6">
        <v>1</v>
      </c>
      <c r="E6" s="6">
        <v>4</v>
      </c>
      <c r="F6" s="6">
        <v>17</v>
      </c>
      <c r="G6" s="6">
        <v>34</v>
      </c>
      <c r="H6" s="6">
        <v>51</v>
      </c>
      <c r="I6" s="6">
        <v>74</v>
      </c>
      <c r="J6" s="6">
        <v>83</v>
      </c>
      <c r="K6" s="6">
        <v>89</v>
      </c>
      <c r="L6" s="6">
        <v>95</v>
      </c>
      <c r="M6" s="6">
        <v>98</v>
      </c>
      <c r="N6" s="6">
        <v>100</v>
      </c>
    </row>
    <row r="7" spans="1:14">
      <c r="A7" s="6">
        <v>1985</v>
      </c>
      <c r="D7" s="6">
        <v>4</v>
      </c>
      <c r="E7" s="6">
        <v>20</v>
      </c>
      <c r="F7" s="6">
        <v>34</v>
      </c>
      <c r="G7" s="6">
        <v>59</v>
      </c>
      <c r="H7" s="6">
        <v>76</v>
      </c>
      <c r="I7" s="6">
        <v>84</v>
      </c>
      <c r="J7" s="6">
        <v>89</v>
      </c>
      <c r="K7" s="6">
        <v>93</v>
      </c>
      <c r="L7" s="6">
        <v>97</v>
      </c>
      <c r="M7" s="6">
        <v>100</v>
      </c>
      <c r="N7" s="6">
        <v>100</v>
      </c>
    </row>
    <row r="8" spans="1:14">
      <c r="A8" s="6">
        <v>1986</v>
      </c>
      <c r="D8" s="6">
        <v>4</v>
      </c>
      <c r="E8" s="6">
        <v>14</v>
      </c>
      <c r="F8" s="6">
        <v>26</v>
      </c>
      <c r="G8" s="6">
        <v>42</v>
      </c>
      <c r="H8" s="6">
        <v>56</v>
      </c>
      <c r="I8" s="6">
        <v>73</v>
      </c>
      <c r="J8" s="6">
        <v>81</v>
      </c>
      <c r="K8" s="6">
        <v>91</v>
      </c>
      <c r="L8" s="6">
        <v>96</v>
      </c>
      <c r="M8" s="6">
        <v>98</v>
      </c>
      <c r="N8" s="6">
        <v>100</v>
      </c>
    </row>
    <row r="9" spans="1:14">
      <c r="A9" s="6">
        <v>1987</v>
      </c>
      <c r="D9" s="6">
        <v>4</v>
      </c>
      <c r="E9" s="6">
        <v>21</v>
      </c>
      <c r="F9" s="6">
        <v>44</v>
      </c>
      <c r="G9" s="6">
        <v>63</v>
      </c>
      <c r="H9" s="6">
        <v>75</v>
      </c>
      <c r="I9" s="6">
        <v>85</v>
      </c>
      <c r="J9" s="6">
        <v>91</v>
      </c>
      <c r="K9" s="6">
        <v>95</v>
      </c>
      <c r="L9" s="6">
        <v>97</v>
      </c>
      <c r="M9" s="6">
        <v>98</v>
      </c>
      <c r="N9" s="6">
        <v>100</v>
      </c>
    </row>
    <row r="10" spans="1:14">
      <c r="A10" s="6">
        <v>1988</v>
      </c>
      <c r="C10" s="6">
        <v>2</v>
      </c>
      <c r="D10" s="6">
        <v>14</v>
      </c>
      <c r="E10" s="6">
        <v>39</v>
      </c>
      <c r="F10" s="6">
        <v>62</v>
      </c>
      <c r="G10" s="6">
        <v>74</v>
      </c>
      <c r="H10" s="6">
        <v>85</v>
      </c>
      <c r="I10" s="6">
        <v>90</v>
      </c>
      <c r="J10" s="6">
        <v>93</v>
      </c>
      <c r="K10" s="6">
        <v>95</v>
      </c>
      <c r="L10" s="6">
        <v>96</v>
      </c>
      <c r="M10" s="6">
        <v>98</v>
      </c>
      <c r="N10" s="6">
        <v>100</v>
      </c>
    </row>
    <row r="11" spans="1:14">
      <c r="A11" s="6">
        <v>1989</v>
      </c>
      <c r="D11" s="6">
        <v>5</v>
      </c>
      <c r="E11" s="6">
        <v>14</v>
      </c>
      <c r="F11" s="6">
        <v>39</v>
      </c>
      <c r="G11" s="6">
        <v>55</v>
      </c>
      <c r="H11" s="6">
        <v>68</v>
      </c>
      <c r="I11" s="6">
        <v>75</v>
      </c>
      <c r="J11" s="6">
        <v>81</v>
      </c>
      <c r="K11" s="6">
        <v>88</v>
      </c>
      <c r="L11" s="6">
        <v>93</v>
      </c>
      <c r="M11" s="6">
        <v>96</v>
      </c>
      <c r="N11" s="6">
        <v>100</v>
      </c>
    </row>
    <row r="12" spans="1:14">
      <c r="A12" s="6">
        <v>1990</v>
      </c>
      <c r="D12" s="6">
        <v>5</v>
      </c>
      <c r="E12" s="6">
        <v>12</v>
      </c>
      <c r="F12" s="6">
        <v>17</v>
      </c>
      <c r="G12" s="6">
        <v>26</v>
      </c>
      <c r="H12" s="6">
        <v>48</v>
      </c>
      <c r="I12" s="6">
        <v>66</v>
      </c>
      <c r="J12" s="6">
        <v>79</v>
      </c>
      <c r="K12" s="6">
        <v>89</v>
      </c>
      <c r="L12" s="6">
        <v>95</v>
      </c>
      <c r="M12" s="6">
        <v>100</v>
      </c>
      <c r="N12" s="6">
        <v>100</v>
      </c>
    </row>
    <row r="13" spans="1:14">
      <c r="A13" s="6">
        <v>1991</v>
      </c>
      <c r="E13" s="6">
        <v>11</v>
      </c>
      <c r="F13" s="6">
        <v>27</v>
      </c>
      <c r="G13" s="6">
        <v>42</v>
      </c>
      <c r="H13" s="6">
        <v>56</v>
      </c>
      <c r="I13" s="6">
        <v>70</v>
      </c>
      <c r="J13" s="6">
        <v>83</v>
      </c>
      <c r="K13" s="6">
        <v>91</v>
      </c>
      <c r="L13" s="6">
        <v>95</v>
      </c>
      <c r="M13" s="6">
        <v>98</v>
      </c>
      <c r="N13" s="6">
        <v>100</v>
      </c>
    </row>
    <row r="14" spans="1:14">
      <c r="A14" s="6">
        <v>1992</v>
      </c>
      <c r="E14" s="6">
        <v>19</v>
      </c>
      <c r="F14" s="6">
        <v>45</v>
      </c>
      <c r="G14" s="6">
        <v>68</v>
      </c>
      <c r="H14" s="6">
        <v>80</v>
      </c>
      <c r="I14" s="6">
        <v>85</v>
      </c>
      <c r="J14" s="6">
        <v>89</v>
      </c>
      <c r="K14" s="6">
        <v>92</v>
      </c>
      <c r="L14" s="6">
        <v>95</v>
      </c>
      <c r="M14" s="6">
        <v>100</v>
      </c>
      <c r="N14" s="6">
        <v>100</v>
      </c>
    </row>
    <row r="15" spans="1:14">
      <c r="A15" s="22">
        <v>1993</v>
      </c>
      <c r="D15" s="6">
        <v>2</v>
      </c>
      <c r="E15" s="6">
        <v>9</v>
      </c>
      <c r="F15" s="6">
        <v>25</v>
      </c>
      <c r="G15" s="6">
        <v>45</v>
      </c>
      <c r="H15" s="6">
        <v>59</v>
      </c>
      <c r="I15" s="6">
        <v>72</v>
      </c>
      <c r="J15" s="6">
        <v>83</v>
      </c>
      <c r="K15" s="6">
        <v>89</v>
      </c>
      <c r="L15" s="6">
        <v>93</v>
      </c>
      <c r="M15" s="6">
        <v>95</v>
      </c>
      <c r="N15" s="6">
        <v>100</v>
      </c>
    </row>
    <row r="16" spans="1:14">
      <c r="A16" s="6">
        <v>1994</v>
      </c>
      <c r="C16" s="6">
        <v>4</v>
      </c>
      <c r="D16" s="6">
        <v>11</v>
      </c>
      <c r="E16" s="6">
        <v>28</v>
      </c>
      <c r="F16" s="6">
        <v>58</v>
      </c>
      <c r="G16" s="6">
        <v>78</v>
      </c>
      <c r="H16" s="6">
        <v>88</v>
      </c>
      <c r="I16" s="6">
        <v>91</v>
      </c>
      <c r="J16" s="6">
        <v>94</v>
      </c>
      <c r="K16" s="6">
        <v>100</v>
      </c>
      <c r="L16" s="6">
        <v>100</v>
      </c>
      <c r="M16" s="6">
        <v>100</v>
      </c>
      <c r="N16" s="6">
        <v>100</v>
      </c>
    </row>
    <row r="17" spans="1:14">
      <c r="A17" s="6">
        <v>1995</v>
      </c>
      <c r="E17" s="6">
        <v>7</v>
      </c>
      <c r="F17" s="6">
        <v>16</v>
      </c>
      <c r="G17" s="6">
        <v>31</v>
      </c>
      <c r="H17" s="6">
        <v>43</v>
      </c>
      <c r="I17" s="6">
        <v>59</v>
      </c>
      <c r="J17" s="6">
        <v>79</v>
      </c>
      <c r="K17" s="6">
        <v>92</v>
      </c>
      <c r="L17" s="6">
        <v>100</v>
      </c>
      <c r="M17" s="6">
        <v>100</v>
      </c>
      <c r="N17" s="6">
        <v>100</v>
      </c>
    </row>
    <row r="18" spans="1:14">
      <c r="A18" s="6">
        <v>1996</v>
      </c>
      <c r="D18" s="6">
        <v>4</v>
      </c>
      <c r="E18" s="6">
        <v>9</v>
      </c>
      <c r="F18" s="6">
        <v>15</v>
      </c>
      <c r="G18" s="6">
        <v>35</v>
      </c>
      <c r="H18" s="6">
        <v>45</v>
      </c>
      <c r="I18" s="6">
        <v>59</v>
      </c>
      <c r="J18" s="6">
        <v>72</v>
      </c>
      <c r="K18" s="6">
        <v>84</v>
      </c>
      <c r="L18" s="6">
        <v>95</v>
      </c>
      <c r="M18" s="6">
        <v>100</v>
      </c>
      <c r="N18" s="6">
        <v>100</v>
      </c>
    </row>
    <row r="19" spans="1:14">
      <c r="A19" s="6">
        <v>1997</v>
      </c>
      <c r="D19" s="6">
        <v>9</v>
      </c>
      <c r="E19" s="6">
        <v>20</v>
      </c>
      <c r="F19" s="6">
        <v>46</v>
      </c>
      <c r="G19" s="6">
        <v>70</v>
      </c>
      <c r="H19" s="6">
        <v>77</v>
      </c>
      <c r="I19" s="6">
        <v>84</v>
      </c>
      <c r="J19" s="6">
        <v>89</v>
      </c>
      <c r="K19" s="6">
        <v>92</v>
      </c>
      <c r="L19" s="6">
        <v>95</v>
      </c>
      <c r="M19" s="6">
        <v>100</v>
      </c>
      <c r="N19" s="6">
        <v>100</v>
      </c>
    </row>
    <row r="20" spans="1:14">
      <c r="A20" s="6">
        <v>1998</v>
      </c>
      <c r="E20" s="6">
        <v>15</v>
      </c>
      <c r="F20" s="6">
        <v>38</v>
      </c>
      <c r="G20" s="6">
        <v>63</v>
      </c>
      <c r="H20" s="6">
        <v>75</v>
      </c>
      <c r="I20" s="6">
        <v>86</v>
      </c>
      <c r="J20" s="6">
        <v>90</v>
      </c>
      <c r="K20" s="6">
        <v>93</v>
      </c>
      <c r="L20" s="6">
        <v>96</v>
      </c>
      <c r="M20" s="6">
        <v>100</v>
      </c>
      <c r="N20" s="6">
        <v>100</v>
      </c>
    </row>
    <row r="21" spans="1:14">
      <c r="A21" s="6">
        <v>1999</v>
      </c>
      <c r="C21" s="6">
        <v>3</v>
      </c>
      <c r="D21" s="6">
        <v>12</v>
      </c>
      <c r="E21" s="6">
        <v>28</v>
      </c>
      <c r="F21" s="6">
        <v>44</v>
      </c>
      <c r="G21" s="6">
        <v>71</v>
      </c>
      <c r="H21" s="6">
        <v>84</v>
      </c>
      <c r="I21" s="6">
        <v>91</v>
      </c>
      <c r="J21" s="6">
        <v>94</v>
      </c>
      <c r="K21" s="6">
        <v>97</v>
      </c>
      <c r="L21" s="6">
        <v>100</v>
      </c>
      <c r="M21" s="6">
        <v>100</v>
      </c>
      <c r="N21" s="6">
        <v>100</v>
      </c>
    </row>
    <row r="22" spans="1:14">
      <c r="A22" s="6">
        <v>2000</v>
      </c>
      <c r="C22" s="6">
        <v>8</v>
      </c>
      <c r="D22" s="6">
        <v>34</v>
      </c>
      <c r="E22" s="6">
        <v>57</v>
      </c>
      <c r="F22" s="6">
        <v>74</v>
      </c>
      <c r="G22" s="6">
        <v>85</v>
      </c>
      <c r="H22" s="6">
        <v>90</v>
      </c>
      <c r="I22" s="6">
        <v>93</v>
      </c>
      <c r="J22" s="6">
        <v>100</v>
      </c>
      <c r="K22" s="6">
        <v>100</v>
      </c>
      <c r="L22" s="6">
        <v>100</v>
      </c>
      <c r="M22" s="6">
        <v>100</v>
      </c>
      <c r="N22" s="6">
        <v>100</v>
      </c>
    </row>
    <row r="23" spans="1:14">
      <c r="A23" s="6">
        <v>2001</v>
      </c>
      <c r="D23" s="6">
        <v>20</v>
      </c>
      <c r="E23" s="6">
        <v>37</v>
      </c>
      <c r="F23" s="6">
        <v>58</v>
      </c>
      <c r="G23" s="6">
        <v>70</v>
      </c>
      <c r="H23" s="6">
        <v>80</v>
      </c>
      <c r="I23" s="6">
        <v>86</v>
      </c>
      <c r="J23" s="6">
        <v>92</v>
      </c>
      <c r="K23" s="6">
        <v>96</v>
      </c>
      <c r="L23" s="6">
        <v>100</v>
      </c>
      <c r="M23" s="6">
        <v>100</v>
      </c>
      <c r="N23" s="6">
        <v>100</v>
      </c>
    </row>
    <row r="24" spans="1:14">
      <c r="A24" s="6">
        <v>2002</v>
      </c>
      <c r="C24" s="6">
        <v>3</v>
      </c>
      <c r="D24" s="6">
        <v>7</v>
      </c>
      <c r="E24" s="6">
        <v>17</v>
      </c>
      <c r="F24" s="6">
        <v>30</v>
      </c>
      <c r="G24" s="6">
        <v>51</v>
      </c>
      <c r="H24" s="6">
        <v>70</v>
      </c>
      <c r="I24" s="6">
        <v>85</v>
      </c>
      <c r="J24" s="6">
        <v>92</v>
      </c>
      <c r="K24" s="6">
        <v>97</v>
      </c>
      <c r="L24" s="6">
        <v>100</v>
      </c>
      <c r="M24" s="6">
        <v>100</v>
      </c>
      <c r="N24" s="6">
        <v>100</v>
      </c>
    </row>
    <row r="25" spans="1:14">
      <c r="A25" s="6">
        <v>2003</v>
      </c>
      <c r="C25" s="6">
        <v>3</v>
      </c>
      <c r="D25" s="6">
        <v>11</v>
      </c>
      <c r="E25" s="6">
        <v>16</v>
      </c>
      <c r="F25" s="6">
        <v>25</v>
      </c>
      <c r="G25" s="6">
        <v>50</v>
      </c>
      <c r="H25" s="6">
        <v>74</v>
      </c>
      <c r="I25" s="6">
        <v>84</v>
      </c>
      <c r="J25" s="6">
        <v>89</v>
      </c>
      <c r="K25" s="6">
        <v>94</v>
      </c>
      <c r="L25" s="6">
        <v>96</v>
      </c>
      <c r="M25" s="6">
        <v>100</v>
      </c>
      <c r="N25" s="6">
        <v>100</v>
      </c>
    </row>
    <row r="26" spans="1:14">
      <c r="A26" s="6">
        <v>2004</v>
      </c>
      <c r="C26" s="6">
        <v>5</v>
      </c>
      <c r="D26" s="6">
        <v>12</v>
      </c>
      <c r="E26" s="6">
        <v>35</v>
      </c>
      <c r="F26" s="6">
        <v>54</v>
      </c>
      <c r="G26" s="6">
        <v>67</v>
      </c>
      <c r="H26" s="6">
        <v>77</v>
      </c>
      <c r="I26" s="6">
        <v>85</v>
      </c>
      <c r="J26" s="6">
        <v>93</v>
      </c>
      <c r="K26" s="6">
        <v>95</v>
      </c>
      <c r="L26" s="6">
        <v>100</v>
      </c>
      <c r="M26" s="6">
        <v>100</v>
      </c>
      <c r="N26" s="6">
        <v>100</v>
      </c>
    </row>
    <row r="27" spans="1:14">
      <c r="A27" s="6">
        <v>2005</v>
      </c>
      <c r="C27" s="6">
        <v>8</v>
      </c>
      <c r="D27" s="6">
        <v>26</v>
      </c>
      <c r="E27" s="6">
        <v>46</v>
      </c>
      <c r="F27" s="6">
        <v>65</v>
      </c>
      <c r="G27" s="6">
        <v>81</v>
      </c>
      <c r="H27" s="6">
        <v>90</v>
      </c>
      <c r="I27" s="6">
        <v>94</v>
      </c>
      <c r="J27" s="6">
        <v>96</v>
      </c>
      <c r="K27" s="6">
        <v>100</v>
      </c>
      <c r="L27" s="6">
        <v>100</v>
      </c>
      <c r="M27" s="6">
        <v>100</v>
      </c>
      <c r="N27" s="6">
        <v>100</v>
      </c>
    </row>
    <row r="28" spans="1:14">
      <c r="A28" s="6">
        <v>2006</v>
      </c>
      <c r="C28" s="6">
        <v>10</v>
      </c>
      <c r="D28" s="6">
        <v>18</v>
      </c>
      <c r="E28" s="6">
        <v>33</v>
      </c>
      <c r="F28" s="6">
        <v>55</v>
      </c>
      <c r="G28" s="6">
        <v>79</v>
      </c>
      <c r="H28" s="6">
        <v>89</v>
      </c>
      <c r="I28" s="6">
        <v>94</v>
      </c>
      <c r="J28" s="6">
        <v>97</v>
      </c>
      <c r="K28" s="6">
        <v>100</v>
      </c>
      <c r="L28" s="6">
        <v>100</v>
      </c>
      <c r="M28" s="6">
        <v>100</v>
      </c>
      <c r="N28" s="6">
        <v>100</v>
      </c>
    </row>
    <row r="29" spans="1:14">
      <c r="A29" s="6">
        <v>2007</v>
      </c>
      <c r="B29" s="6">
        <v>2</v>
      </c>
      <c r="C29" s="6">
        <v>3</v>
      </c>
      <c r="D29" s="6">
        <v>10</v>
      </c>
      <c r="E29" s="6">
        <v>32</v>
      </c>
      <c r="F29" s="6">
        <v>59</v>
      </c>
      <c r="G29" s="6">
        <v>80</v>
      </c>
      <c r="H29" s="6">
        <v>88</v>
      </c>
      <c r="I29" s="6">
        <v>94</v>
      </c>
      <c r="J29" s="6">
        <v>96</v>
      </c>
      <c r="K29" s="6">
        <v>100</v>
      </c>
      <c r="L29" s="6">
        <v>100</v>
      </c>
      <c r="M29" s="6">
        <v>100</v>
      </c>
      <c r="N29" s="6">
        <v>100</v>
      </c>
    </row>
    <row r="30" spans="1:14">
      <c r="A30" s="22">
        <v>2008</v>
      </c>
      <c r="C30" s="6">
        <v>2</v>
      </c>
      <c r="D30" s="6">
        <v>5</v>
      </c>
      <c r="E30" s="6">
        <v>11</v>
      </c>
      <c r="F30" s="6">
        <v>27</v>
      </c>
      <c r="G30" s="6">
        <v>52</v>
      </c>
      <c r="H30" s="6">
        <v>69</v>
      </c>
      <c r="I30" s="6">
        <v>77</v>
      </c>
      <c r="J30" s="6">
        <v>84</v>
      </c>
      <c r="K30" s="6">
        <v>91</v>
      </c>
      <c r="L30" s="6">
        <v>95</v>
      </c>
      <c r="M30" s="6">
        <v>100</v>
      </c>
      <c r="N30" s="6">
        <v>100</v>
      </c>
    </row>
    <row r="31" spans="1:14">
      <c r="A31" s="22">
        <v>2009</v>
      </c>
      <c r="C31" s="6">
        <v>3</v>
      </c>
      <c r="D31" s="6">
        <v>6</v>
      </c>
      <c r="E31" s="6">
        <v>14</v>
      </c>
      <c r="F31" s="6">
        <v>25</v>
      </c>
      <c r="G31" s="6">
        <v>48</v>
      </c>
      <c r="H31" s="6">
        <v>66</v>
      </c>
      <c r="I31" s="6">
        <v>78</v>
      </c>
      <c r="J31" s="6">
        <v>87</v>
      </c>
      <c r="K31" s="6">
        <v>91</v>
      </c>
      <c r="L31" s="6">
        <v>96</v>
      </c>
      <c r="M31" s="6">
        <v>100</v>
      </c>
      <c r="N31" s="6">
        <v>100</v>
      </c>
    </row>
    <row r="32" spans="1:14">
      <c r="A32" s="6">
        <v>2010</v>
      </c>
      <c r="C32" s="6">
        <v>15</v>
      </c>
      <c r="D32" s="6">
        <v>30</v>
      </c>
      <c r="E32" s="6">
        <v>38</v>
      </c>
      <c r="F32" s="6">
        <v>53</v>
      </c>
      <c r="G32" s="6">
        <v>74</v>
      </c>
      <c r="H32" s="6">
        <v>84</v>
      </c>
      <c r="I32" s="6">
        <v>91</v>
      </c>
      <c r="J32" s="6">
        <v>93</v>
      </c>
      <c r="K32" s="6">
        <v>97</v>
      </c>
      <c r="L32" s="6">
        <v>100</v>
      </c>
      <c r="M32" s="6">
        <v>100</v>
      </c>
      <c r="N32" s="6">
        <v>100</v>
      </c>
    </row>
    <row r="33" spans="1:14">
      <c r="A33" s="6">
        <v>2011</v>
      </c>
      <c r="D33" s="6">
        <v>7</v>
      </c>
      <c r="E33" s="6">
        <v>22</v>
      </c>
      <c r="F33" s="6">
        <v>41</v>
      </c>
      <c r="G33" s="6">
        <v>51</v>
      </c>
      <c r="H33" s="6">
        <v>68</v>
      </c>
      <c r="I33" s="6">
        <v>87</v>
      </c>
      <c r="J33" s="6">
        <v>94</v>
      </c>
      <c r="K33" s="6">
        <v>97</v>
      </c>
      <c r="L33" s="6">
        <v>100</v>
      </c>
      <c r="M33" s="6">
        <v>100</v>
      </c>
      <c r="N33" s="6">
        <v>100</v>
      </c>
    </row>
    <row r="34" spans="1:14">
      <c r="A34" s="6">
        <v>2012</v>
      </c>
      <c r="B34" s="6">
        <v>6</v>
      </c>
      <c r="C34" s="6">
        <v>12</v>
      </c>
      <c r="D34" s="6">
        <v>24</v>
      </c>
      <c r="E34" s="6">
        <v>46</v>
      </c>
      <c r="F34" s="6">
        <v>76</v>
      </c>
      <c r="G34" s="6">
        <v>89</v>
      </c>
      <c r="H34" s="6">
        <v>94</v>
      </c>
      <c r="I34" s="6">
        <v>97</v>
      </c>
      <c r="J34" s="6">
        <v>100</v>
      </c>
      <c r="K34" s="6">
        <v>100</v>
      </c>
      <c r="L34" s="6">
        <v>100</v>
      </c>
      <c r="M34" s="6">
        <v>100</v>
      </c>
      <c r="N34" s="6">
        <v>100</v>
      </c>
    </row>
    <row r="35" spans="1:14">
      <c r="A35" s="22">
        <v>2013</v>
      </c>
      <c r="D35" s="6">
        <v>2</v>
      </c>
      <c r="E35" s="6">
        <v>6</v>
      </c>
      <c r="F35" s="6">
        <v>24</v>
      </c>
      <c r="G35" s="6">
        <v>44</v>
      </c>
      <c r="H35" s="6">
        <v>57</v>
      </c>
      <c r="I35" s="6">
        <v>71</v>
      </c>
      <c r="J35" s="6">
        <v>85</v>
      </c>
      <c r="K35" s="6">
        <v>92</v>
      </c>
      <c r="L35" s="6">
        <v>96</v>
      </c>
      <c r="M35" s="6">
        <v>100</v>
      </c>
      <c r="N35" s="6">
        <v>100</v>
      </c>
    </row>
    <row r="36" spans="1:14">
      <c r="A36" s="22">
        <v>2014</v>
      </c>
      <c r="C36" s="6">
        <v>3</v>
      </c>
      <c r="D36" s="6">
        <v>5</v>
      </c>
      <c r="E36" s="6">
        <v>20</v>
      </c>
      <c r="F36" s="6">
        <v>33</v>
      </c>
      <c r="G36" s="6">
        <v>59</v>
      </c>
      <c r="H36" s="6">
        <v>78</v>
      </c>
      <c r="I36" s="6">
        <v>87</v>
      </c>
      <c r="J36" s="6">
        <v>92</v>
      </c>
      <c r="K36" s="6">
        <v>95</v>
      </c>
      <c r="L36" s="6">
        <v>100</v>
      </c>
      <c r="M36" s="6">
        <v>100</v>
      </c>
      <c r="N36" s="6">
        <v>100</v>
      </c>
    </row>
    <row r="37" spans="1:14">
      <c r="A37" s="6">
        <v>2015</v>
      </c>
      <c r="C37" s="6">
        <v>2</v>
      </c>
      <c r="D37" s="6">
        <v>13</v>
      </c>
      <c r="E37" s="6">
        <v>31</v>
      </c>
      <c r="F37" s="6">
        <v>45</v>
      </c>
      <c r="G37" s="6">
        <v>61</v>
      </c>
      <c r="H37" s="6">
        <v>71</v>
      </c>
      <c r="I37" s="6">
        <v>79</v>
      </c>
      <c r="J37" s="6">
        <v>87</v>
      </c>
      <c r="K37" s="6">
        <v>90</v>
      </c>
      <c r="L37" s="6">
        <v>94</v>
      </c>
      <c r="M37" s="6">
        <v>96</v>
      </c>
      <c r="N37" s="6">
        <v>100</v>
      </c>
    </row>
    <row r="38" spans="1:14">
      <c r="A38" s="6">
        <v>2016</v>
      </c>
      <c r="B38" s="6">
        <v>3</v>
      </c>
      <c r="C38" s="6">
        <v>8</v>
      </c>
      <c r="D38" s="6">
        <v>23</v>
      </c>
      <c r="E38" s="6">
        <v>36</v>
      </c>
      <c r="F38" s="6">
        <v>56</v>
      </c>
      <c r="G38" s="6">
        <v>73</v>
      </c>
      <c r="H38" s="6">
        <v>83</v>
      </c>
      <c r="I38" s="6">
        <v>92</v>
      </c>
      <c r="J38" s="6">
        <v>96</v>
      </c>
      <c r="K38" s="6">
        <v>100</v>
      </c>
      <c r="L38" s="6">
        <v>100</v>
      </c>
      <c r="M38" s="6">
        <v>100</v>
      </c>
      <c r="N38" s="6">
        <v>100</v>
      </c>
    </row>
    <row r="39" spans="1:14">
      <c r="A39" s="6">
        <v>2017</v>
      </c>
      <c r="B39" s="6">
        <v>6</v>
      </c>
      <c r="C39" s="6">
        <v>10</v>
      </c>
      <c r="D39" s="6">
        <v>14</v>
      </c>
      <c r="E39" s="6">
        <v>32</v>
      </c>
      <c r="F39" s="6">
        <v>53</v>
      </c>
      <c r="G39" s="6">
        <v>67</v>
      </c>
      <c r="H39" s="6">
        <v>83</v>
      </c>
      <c r="I39" s="6">
        <v>92</v>
      </c>
      <c r="J39" s="6">
        <v>96</v>
      </c>
      <c r="K39" s="6">
        <v>100</v>
      </c>
      <c r="L39" s="6">
        <v>100</v>
      </c>
      <c r="M39" s="6">
        <v>100</v>
      </c>
      <c r="N39" s="6">
        <v>100</v>
      </c>
    </row>
    <row r="40" spans="1:14">
      <c r="A40" s="6">
        <v>2018</v>
      </c>
      <c r="B40" s="6">
        <v>2</v>
      </c>
      <c r="C40" s="6">
        <v>5</v>
      </c>
      <c r="D40" s="6">
        <v>15</v>
      </c>
      <c r="E40" s="6">
        <v>35</v>
      </c>
      <c r="F40" s="6">
        <v>56</v>
      </c>
      <c r="G40" s="6">
        <v>77</v>
      </c>
      <c r="H40" s="6">
        <v>87</v>
      </c>
      <c r="I40" s="6">
        <v>93</v>
      </c>
      <c r="J40" s="6">
        <v>97</v>
      </c>
      <c r="K40" s="6">
        <v>100</v>
      </c>
      <c r="L40" s="6">
        <v>100</v>
      </c>
      <c r="M40" s="6">
        <v>100</v>
      </c>
      <c r="N40" s="6">
        <v>100</v>
      </c>
    </row>
    <row r="41" spans="1:14">
      <c r="A41" s="6">
        <v>2019</v>
      </c>
      <c r="B41" s="6">
        <v>1</v>
      </c>
      <c r="C41" s="6">
        <v>3</v>
      </c>
      <c r="D41" s="6">
        <v>6</v>
      </c>
      <c r="E41" s="6">
        <v>9</v>
      </c>
      <c r="F41" s="6">
        <v>19</v>
      </c>
      <c r="G41" s="6">
        <v>29</v>
      </c>
      <c r="H41" s="6">
        <v>39</v>
      </c>
      <c r="I41" s="6">
        <v>60</v>
      </c>
      <c r="J41" s="6">
        <v>77</v>
      </c>
      <c r="K41" s="6">
        <v>85</v>
      </c>
      <c r="L41" s="6">
        <v>92</v>
      </c>
      <c r="M41" s="6">
        <v>96</v>
      </c>
      <c r="N41" s="6">
        <v>100</v>
      </c>
    </row>
    <row r="42" spans="1:14">
      <c r="A42" s="6">
        <v>2020</v>
      </c>
      <c r="B42" s="6">
        <v>2</v>
      </c>
      <c r="C42" s="6">
        <v>8</v>
      </c>
      <c r="D42" s="6">
        <v>23</v>
      </c>
      <c r="E42" s="6">
        <v>38</v>
      </c>
      <c r="F42" s="6">
        <v>53</v>
      </c>
      <c r="G42" s="6">
        <v>65</v>
      </c>
      <c r="H42" s="6">
        <v>75</v>
      </c>
      <c r="I42" s="6">
        <v>86</v>
      </c>
      <c r="J42" s="6">
        <v>93</v>
      </c>
      <c r="K42" s="6">
        <v>96</v>
      </c>
      <c r="L42" s="6">
        <v>100</v>
      </c>
      <c r="M42" s="6">
        <v>100</v>
      </c>
      <c r="N42" s="6">
        <v>100</v>
      </c>
    </row>
    <row r="43" spans="1:14">
      <c r="A43" s="6">
        <v>2021</v>
      </c>
      <c r="B43" s="6">
        <v>3</v>
      </c>
      <c r="C43" s="6">
        <v>8</v>
      </c>
      <c r="D43" s="6">
        <v>24</v>
      </c>
      <c r="E43" s="6">
        <v>42</v>
      </c>
      <c r="F43" s="6">
        <v>61</v>
      </c>
      <c r="G43" s="6">
        <v>75</v>
      </c>
      <c r="H43" s="6">
        <v>84</v>
      </c>
      <c r="I43" s="6">
        <v>90</v>
      </c>
      <c r="J43" s="6">
        <v>94</v>
      </c>
      <c r="K43" s="6">
        <v>97</v>
      </c>
      <c r="L43" s="6">
        <v>100</v>
      </c>
      <c r="M43" s="6">
        <v>100</v>
      </c>
      <c r="N43" s="6">
        <v>100</v>
      </c>
    </row>
    <row r="44" spans="1:14">
      <c r="A44" s="6">
        <v>2022</v>
      </c>
      <c r="B44" s="6">
        <v>1</v>
      </c>
      <c r="C44" s="6">
        <v>3</v>
      </c>
      <c r="D44" s="6">
        <v>8</v>
      </c>
      <c r="E44" s="6">
        <v>12</v>
      </c>
      <c r="F44" s="6">
        <v>30</v>
      </c>
      <c r="G44" s="6">
        <v>50</v>
      </c>
      <c r="H44" s="6">
        <v>66</v>
      </c>
      <c r="I44" s="6">
        <v>78</v>
      </c>
      <c r="J44" s="6">
        <v>88</v>
      </c>
      <c r="K44" s="6">
        <v>94</v>
      </c>
      <c r="L44" s="6">
        <v>97</v>
      </c>
      <c r="M44" s="6">
        <v>100</v>
      </c>
      <c r="N44" s="6">
        <v>100</v>
      </c>
    </row>
    <row r="45" spans="1:14">
      <c r="A45" s="6">
        <v>2023</v>
      </c>
      <c r="B45" s="6">
        <v>4</v>
      </c>
      <c r="C45" s="6">
        <v>9</v>
      </c>
      <c r="D45" s="6">
        <v>19</v>
      </c>
      <c r="E45" s="6">
        <v>35</v>
      </c>
      <c r="F45" s="6">
        <v>49</v>
      </c>
      <c r="G45" s="6">
        <v>66</v>
      </c>
      <c r="H45" s="6">
        <v>83</v>
      </c>
      <c r="I45" s="6">
        <v>91</v>
      </c>
      <c r="J45" s="6">
        <v>96</v>
      </c>
      <c r="K45" s="6">
        <v>100</v>
      </c>
      <c r="L45" s="6">
        <v>100</v>
      </c>
      <c r="M45" s="6">
        <v>100</v>
      </c>
      <c r="N45" s="6">
        <v>100</v>
      </c>
    </row>
    <row r="46" spans="1:14">
      <c r="A46" s="6">
        <v>2024</v>
      </c>
      <c r="B46" s="6">
        <v>3</v>
      </c>
      <c r="C46" s="6">
        <v>8</v>
      </c>
      <c r="D46" s="6">
        <v>18</v>
      </c>
      <c r="E46" s="6">
        <v>25</v>
      </c>
      <c r="F46" s="6">
        <v>35</v>
      </c>
      <c r="G46" s="6">
        <v>52</v>
      </c>
      <c r="H46" s="6">
        <v>68</v>
      </c>
      <c r="I46" s="6">
        <v>78</v>
      </c>
      <c r="J46" s="6">
        <v>87</v>
      </c>
      <c r="K46" s="6">
        <v>93</v>
      </c>
      <c r="L46" s="6">
        <v>97</v>
      </c>
      <c r="M46" s="6">
        <v>100</v>
      </c>
      <c r="N46" s="6">
        <v>100</v>
      </c>
    </row>
    <row r="47" spans="1:14">
      <c r="A47" s="6">
        <v>2025</v>
      </c>
      <c r="B47" s="6">
        <v>2</v>
      </c>
      <c r="C47" s="6">
        <v>8</v>
      </c>
      <c r="D47" s="6">
        <v>18</v>
      </c>
      <c r="E47" s="6">
        <v>30</v>
      </c>
      <c r="F47" s="6">
        <v>48</v>
      </c>
      <c r="G47" s="6">
        <v>66</v>
      </c>
      <c r="H47" s="6">
        <v>76</v>
      </c>
      <c r="I47" s="6">
        <v>84</v>
      </c>
      <c r="J47" s="6">
        <v>90</v>
      </c>
      <c r="K47" s="6">
        <v>93</v>
      </c>
      <c r="L47" s="6">
        <v>96</v>
      </c>
      <c r="M47" s="6">
        <v>100</v>
      </c>
      <c r="N47" s="6">
        <v>100</v>
      </c>
    </row>
    <row r="48" spans="1:14">
      <c r="E48" s="23">
        <f>D46+E101</f>
        <v>30</v>
      </c>
      <c r="F48" s="23">
        <f>E48+F101</f>
        <v>45.2</v>
      </c>
      <c r="G48" s="23">
        <f>F48+G101</f>
        <v>61.2</v>
      </c>
      <c r="I48" s="17"/>
      <c r="J48" s="17"/>
      <c r="K48" s="17"/>
      <c r="L48" s="14"/>
      <c r="M48" s="23">
        <f>IF(L46+L101&gt;100,100,L46+L101)</f>
        <v>99.8</v>
      </c>
      <c r="N48" s="23">
        <f>IF(M48+M101&gt;100,100,M48+M101)</f>
        <v>100</v>
      </c>
    </row>
    <row r="49" spans="1:14">
      <c r="A49" s="6" t="s">
        <v>29</v>
      </c>
      <c r="B49" s="17">
        <f>AVERAGE(B42:B46)</f>
        <v>2.6</v>
      </c>
      <c r="C49" s="17">
        <f t="shared" ref="C49:N49" si="1">AVERAGE(C42:C46)</f>
        <v>7.2</v>
      </c>
      <c r="D49" s="17">
        <f t="shared" si="1"/>
        <v>18.399999999999999</v>
      </c>
      <c r="E49" s="17">
        <f t="shared" si="1"/>
        <v>30.4</v>
      </c>
      <c r="F49" s="17">
        <f t="shared" si="1"/>
        <v>45.6</v>
      </c>
      <c r="G49" s="17">
        <f t="shared" si="1"/>
        <v>61.6</v>
      </c>
      <c r="H49" s="17">
        <f t="shared" si="1"/>
        <v>75.2</v>
      </c>
      <c r="I49" s="17">
        <f t="shared" si="1"/>
        <v>84.6</v>
      </c>
      <c r="J49" s="17">
        <f t="shared" si="1"/>
        <v>91.6</v>
      </c>
      <c r="K49" s="17">
        <f t="shared" si="1"/>
        <v>96</v>
      </c>
      <c r="L49" s="17">
        <f t="shared" si="1"/>
        <v>98.8</v>
      </c>
      <c r="M49" s="17">
        <f t="shared" si="1"/>
        <v>100</v>
      </c>
      <c r="N49" s="17">
        <f t="shared" si="1"/>
        <v>100</v>
      </c>
    </row>
    <row r="50" spans="1:14">
      <c r="A50" s="6" t="s">
        <v>30</v>
      </c>
      <c r="B50" s="17">
        <f>MIN(B42:B46)</f>
        <v>1</v>
      </c>
      <c r="C50" s="17">
        <f t="shared" ref="C50:N50" si="2">MIN(C42:C46)</f>
        <v>3</v>
      </c>
      <c r="D50" s="17">
        <f t="shared" si="2"/>
        <v>8</v>
      </c>
      <c r="E50" s="17">
        <f t="shared" si="2"/>
        <v>12</v>
      </c>
      <c r="F50" s="17">
        <f t="shared" si="2"/>
        <v>30</v>
      </c>
      <c r="G50" s="17">
        <f t="shared" si="2"/>
        <v>50</v>
      </c>
      <c r="H50" s="17">
        <f t="shared" si="2"/>
        <v>66</v>
      </c>
      <c r="I50" s="17">
        <f t="shared" si="2"/>
        <v>78</v>
      </c>
      <c r="J50" s="17">
        <f t="shared" si="2"/>
        <v>87</v>
      </c>
      <c r="K50" s="17">
        <f t="shared" si="2"/>
        <v>93</v>
      </c>
      <c r="L50" s="17">
        <f t="shared" si="2"/>
        <v>97</v>
      </c>
      <c r="M50" s="17">
        <f t="shared" si="2"/>
        <v>100</v>
      </c>
      <c r="N50" s="17">
        <f t="shared" si="2"/>
        <v>100</v>
      </c>
    </row>
    <row r="51" spans="1:14">
      <c r="A51" s="6" t="s">
        <v>31</v>
      </c>
      <c r="B51" s="17">
        <f>MAX(B42:B46)</f>
        <v>4</v>
      </c>
      <c r="C51" s="17">
        <f t="shared" ref="C51:N51" si="3">MAX(C42:C46)</f>
        <v>9</v>
      </c>
      <c r="D51" s="17">
        <f t="shared" si="3"/>
        <v>24</v>
      </c>
      <c r="E51" s="17">
        <f t="shared" si="3"/>
        <v>42</v>
      </c>
      <c r="F51" s="17">
        <f t="shared" si="3"/>
        <v>61</v>
      </c>
      <c r="G51" s="17">
        <f t="shared" si="3"/>
        <v>75</v>
      </c>
      <c r="H51" s="17">
        <f t="shared" si="3"/>
        <v>84</v>
      </c>
      <c r="I51" s="17">
        <f t="shared" si="3"/>
        <v>91</v>
      </c>
      <c r="J51" s="17">
        <f t="shared" si="3"/>
        <v>96</v>
      </c>
      <c r="K51" s="17">
        <f t="shared" si="3"/>
        <v>100</v>
      </c>
      <c r="L51" s="17">
        <f t="shared" si="3"/>
        <v>100</v>
      </c>
      <c r="M51" s="17">
        <f t="shared" si="3"/>
        <v>100</v>
      </c>
      <c r="N51" s="17">
        <f t="shared" si="3"/>
        <v>100</v>
      </c>
    </row>
    <row r="52" spans="1:14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>
      <c r="A53" s="6" t="s">
        <v>32</v>
      </c>
    </row>
    <row r="54" spans="1:14">
      <c r="A54" s="6">
        <f t="shared" ref="A54:A99" si="4">A2</f>
        <v>1980</v>
      </c>
      <c r="B54" s="6">
        <f t="shared" ref="B54:B99" si="5">B2-0</f>
        <v>0</v>
      </c>
      <c r="C54" s="6">
        <f t="shared" ref="C54:N69" si="6">C2-B2</f>
        <v>0</v>
      </c>
      <c r="D54" s="6">
        <f t="shared" si="6"/>
        <v>0</v>
      </c>
      <c r="E54" s="6">
        <f t="shared" si="6"/>
        <v>15</v>
      </c>
      <c r="F54" s="6">
        <f t="shared" si="6"/>
        <v>16</v>
      </c>
      <c r="G54" s="6">
        <f t="shared" si="6"/>
        <v>18</v>
      </c>
      <c r="H54" s="6">
        <f t="shared" si="6"/>
        <v>16</v>
      </c>
      <c r="I54" s="6">
        <f t="shared" si="6"/>
        <v>16</v>
      </c>
      <c r="J54" s="6">
        <f t="shared" si="6"/>
        <v>8</v>
      </c>
      <c r="K54" s="6">
        <f t="shared" si="6"/>
        <v>4</v>
      </c>
      <c r="L54" s="6">
        <f t="shared" si="6"/>
        <v>3</v>
      </c>
      <c r="M54" s="6">
        <f t="shared" si="6"/>
        <v>4</v>
      </c>
      <c r="N54" s="6">
        <f t="shared" si="6"/>
        <v>0</v>
      </c>
    </row>
    <row r="55" spans="1:14">
      <c r="A55" s="6">
        <f t="shared" si="4"/>
        <v>1981</v>
      </c>
      <c r="B55" s="6">
        <f t="shared" si="5"/>
        <v>0</v>
      </c>
      <c r="C55" s="6">
        <f t="shared" si="6"/>
        <v>0</v>
      </c>
      <c r="D55" s="6">
        <f t="shared" si="6"/>
        <v>0</v>
      </c>
      <c r="E55" s="6">
        <f t="shared" si="6"/>
        <v>9</v>
      </c>
      <c r="F55" s="6">
        <f t="shared" si="6"/>
        <v>9</v>
      </c>
      <c r="G55" s="6">
        <f t="shared" si="6"/>
        <v>13</v>
      </c>
      <c r="H55" s="6">
        <f t="shared" si="6"/>
        <v>15</v>
      </c>
      <c r="I55" s="6">
        <f t="shared" si="6"/>
        <v>13</v>
      </c>
      <c r="J55" s="6">
        <f t="shared" si="6"/>
        <v>10</v>
      </c>
      <c r="K55" s="6">
        <f t="shared" si="6"/>
        <v>10</v>
      </c>
      <c r="L55" s="6">
        <f t="shared" si="6"/>
        <v>10</v>
      </c>
      <c r="M55" s="6">
        <f t="shared" si="6"/>
        <v>6</v>
      </c>
      <c r="N55" s="6">
        <f t="shared" si="6"/>
        <v>5</v>
      </c>
    </row>
    <row r="56" spans="1:14">
      <c r="A56" s="6">
        <f t="shared" si="4"/>
        <v>1982</v>
      </c>
      <c r="B56" s="6">
        <f t="shared" si="5"/>
        <v>0</v>
      </c>
      <c r="C56" s="6">
        <f t="shared" si="6"/>
        <v>0</v>
      </c>
      <c r="D56" s="6">
        <f t="shared" si="6"/>
        <v>8</v>
      </c>
      <c r="E56" s="6">
        <f t="shared" si="6"/>
        <v>16</v>
      </c>
      <c r="F56" s="6">
        <f t="shared" si="6"/>
        <v>15</v>
      </c>
      <c r="G56" s="6">
        <f t="shared" si="6"/>
        <v>11</v>
      </c>
      <c r="H56" s="6">
        <f t="shared" si="6"/>
        <v>10</v>
      </c>
      <c r="I56" s="6">
        <f t="shared" si="6"/>
        <v>15</v>
      </c>
      <c r="J56" s="6">
        <f t="shared" si="6"/>
        <v>8</v>
      </c>
      <c r="K56" s="6">
        <f t="shared" si="6"/>
        <v>8</v>
      </c>
      <c r="L56" s="6">
        <f t="shared" si="6"/>
        <v>4</v>
      </c>
      <c r="M56" s="6">
        <f t="shared" si="6"/>
        <v>3</v>
      </c>
      <c r="N56" s="6">
        <f t="shared" si="6"/>
        <v>2</v>
      </c>
    </row>
    <row r="57" spans="1:14">
      <c r="A57" s="6">
        <f t="shared" si="4"/>
        <v>1983</v>
      </c>
      <c r="B57" s="6">
        <f t="shared" si="5"/>
        <v>0</v>
      </c>
      <c r="C57" s="6">
        <f t="shared" si="6"/>
        <v>0</v>
      </c>
      <c r="D57" s="6">
        <f t="shared" si="6"/>
        <v>2</v>
      </c>
      <c r="E57" s="6">
        <f t="shared" si="6"/>
        <v>5</v>
      </c>
      <c r="F57" s="6">
        <f t="shared" si="6"/>
        <v>8</v>
      </c>
      <c r="G57" s="6">
        <f t="shared" si="6"/>
        <v>18</v>
      </c>
      <c r="H57" s="6">
        <f t="shared" si="6"/>
        <v>21</v>
      </c>
      <c r="I57" s="6">
        <f t="shared" si="6"/>
        <v>17</v>
      </c>
      <c r="J57" s="6">
        <f t="shared" si="6"/>
        <v>14</v>
      </c>
      <c r="K57" s="6">
        <f t="shared" si="6"/>
        <v>5</v>
      </c>
      <c r="L57" s="6">
        <f t="shared" si="6"/>
        <v>4</v>
      </c>
      <c r="M57" s="6">
        <f t="shared" si="6"/>
        <v>3</v>
      </c>
      <c r="N57" s="6">
        <f t="shared" si="6"/>
        <v>3</v>
      </c>
    </row>
    <row r="58" spans="1:14">
      <c r="A58" s="6">
        <f t="shared" si="4"/>
        <v>1984</v>
      </c>
      <c r="B58" s="6">
        <f t="shared" si="5"/>
        <v>0</v>
      </c>
      <c r="C58" s="6">
        <f t="shared" si="6"/>
        <v>0</v>
      </c>
      <c r="D58" s="6">
        <f t="shared" si="6"/>
        <v>1</v>
      </c>
      <c r="E58" s="6">
        <f t="shared" si="6"/>
        <v>3</v>
      </c>
      <c r="F58" s="6">
        <f t="shared" si="6"/>
        <v>13</v>
      </c>
      <c r="G58" s="6">
        <f t="shared" si="6"/>
        <v>17</v>
      </c>
      <c r="H58" s="6">
        <f t="shared" si="6"/>
        <v>17</v>
      </c>
      <c r="I58" s="6">
        <f t="shared" si="6"/>
        <v>23</v>
      </c>
      <c r="J58" s="6">
        <f t="shared" si="6"/>
        <v>9</v>
      </c>
      <c r="K58" s="6">
        <f t="shared" si="6"/>
        <v>6</v>
      </c>
      <c r="L58" s="6">
        <f t="shared" si="6"/>
        <v>6</v>
      </c>
      <c r="M58" s="6">
        <f t="shared" si="6"/>
        <v>3</v>
      </c>
      <c r="N58" s="6">
        <f t="shared" si="6"/>
        <v>2</v>
      </c>
    </row>
    <row r="59" spans="1:14">
      <c r="A59" s="6">
        <f t="shared" si="4"/>
        <v>1985</v>
      </c>
      <c r="B59" s="6">
        <f t="shared" si="5"/>
        <v>0</v>
      </c>
      <c r="C59" s="6">
        <f t="shared" si="6"/>
        <v>0</v>
      </c>
      <c r="D59" s="6">
        <f t="shared" si="6"/>
        <v>4</v>
      </c>
      <c r="E59" s="6">
        <f t="shared" si="6"/>
        <v>16</v>
      </c>
      <c r="F59" s="6">
        <f t="shared" si="6"/>
        <v>14</v>
      </c>
      <c r="G59" s="6">
        <f t="shared" si="6"/>
        <v>25</v>
      </c>
      <c r="H59" s="6">
        <f t="shared" si="6"/>
        <v>17</v>
      </c>
      <c r="I59" s="6">
        <f t="shared" si="6"/>
        <v>8</v>
      </c>
      <c r="J59" s="6">
        <f t="shared" si="6"/>
        <v>5</v>
      </c>
      <c r="K59" s="6">
        <f t="shared" si="6"/>
        <v>4</v>
      </c>
      <c r="L59" s="6">
        <f t="shared" si="6"/>
        <v>4</v>
      </c>
      <c r="M59" s="6">
        <f t="shared" si="6"/>
        <v>3</v>
      </c>
      <c r="N59" s="6">
        <f t="shared" si="6"/>
        <v>0</v>
      </c>
    </row>
    <row r="60" spans="1:14">
      <c r="A60" s="6">
        <f t="shared" si="4"/>
        <v>1986</v>
      </c>
      <c r="B60" s="6">
        <f t="shared" si="5"/>
        <v>0</v>
      </c>
      <c r="C60" s="6">
        <f t="shared" si="6"/>
        <v>0</v>
      </c>
      <c r="D60" s="6">
        <f t="shared" si="6"/>
        <v>4</v>
      </c>
      <c r="E60" s="6">
        <f t="shared" si="6"/>
        <v>10</v>
      </c>
      <c r="F60" s="6">
        <f t="shared" si="6"/>
        <v>12</v>
      </c>
      <c r="G60" s="6">
        <f t="shared" si="6"/>
        <v>16</v>
      </c>
      <c r="H60" s="6">
        <f t="shared" si="6"/>
        <v>14</v>
      </c>
      <c r="I60" s="6">
        <f t="shared" si="6"/>
        <v>17</v>
      </c>
      <c r="J60" s="6">
        <f t="shared" si="6"/>
        <v>8</v>
      </c>
      <c r="K60" s="6">
        <f t="shared" si="6"/>
        <v>10</v>
      </c>
      <c r="L60" s="6">
        <f t="shared" si="6"/>
        <v>5</v>
      </c>
      <c r="M60" s="6">
        <f t="shared" si="6"/>
        <v>2</v>
      </c>
      <c r="N60" s="6">
        <f t="shared" si="6"/>
        <v>2</v>
      </c>
    </row>
    <row r="61" spans="1:14">
      <c r="A61" s="6">
        <f t="shared" si="4"/>
        <v>1987</v>
      </c>
      <c r="B61" s="6">
        <f t="shared" si="5"/>
        <v>0</v>
      </c>
      <c r="C61" s="6">
        <f t="shared" si="6"/>
        <v>0</v>
      </c>
      <c r="D61" s="6">
        <f t="shared" si="6"/>
        <v>4</v>
      </c>
      <c r="E61" s="6">
        <f t="shared" si="6"/>
        <v>17</v>
      </c>
      <c r="F61" s="6">
        <f t="shared" si="6"/>
        <v>23</v>
      </c>
      <c r="G61" s="6">
        <f t="shared" si="6"/>
        <v>19</v>
      </c>
      <c r="H61" s="6">
        <f t="shared" si="6"/>
        <v>12</v>
      </c>
      <c r="I61" s="6">
        <f t="shared" si="6"/>
        <v>10</v>
      </c>
      <c r="J61" s="6">
        <f t="shared" si="6"/>
        <v>6</v>
      </c>
      <c r="K61" s="6">
        <f t="shared" si="6"/>
        <v>4</v>
      </c>
      <c r="L61" s="6">
        <f t="shared" si="6"/>
        <v>2</v>
      </c>
      <c r="M61" s="6">
        <f t="shared" si="6"/>
        <v>1</v>
      </c>
      <c r="N61" s="6">
        <f t="shared" si="6"/>
        <v>2</v>
      </c>
    </row>
    <row r="62" spans="1:14">
      <c r="A62" s="6">
        <f t="shared" si="4"/>
        <v>1988</v>
      </c>
      <c r="B62" s="6">
        <f t="shared" si="5"/>
        <v>0</v>
      </c>
      <c r="C62" s="6">
        <f t="shared" si="6"/>
        <v>2</v>
      </c>
      <c r="D62" s="6">
        <f t="shared" si="6"/>
        <v>12</v>
      </c>
      <c r="E62" s="6">
        <f t="shared" si="6"/>
        <v>25</v>
      </c>
      <c r="F62" s="6">
        <f t="shared" si="6"/>
        <v>23</v>
      </c>
      <c r="G62" s="6">
        <f t="shared" si="6"/>
        <v>12</v>
      </c>
      <c r="H62" s="6">
        <f t="shared" si="6"/>
        <v>11</v>
      </c>
      <c r="I62" s="6">
        <f t="shared" si="6"/>
        <v>5</v>
      </c>
      <c r="J62" s="6">
        <f t="shared" si="6"/>
        <v>3</v>
      </c>
      <c r="K62" s="6">
        <f t="shared" si="6"/>
        <v>2</v>
      </c>
      <c r="L62" s="6">
        <f t="shared" si="6"/>
        <v>1</v>
      </c>
      <c r="M62" s="6">
        <f t="shared" si="6"/>
        <v>2</v>
      </c>
      <c r="N62" s="6">
        <f t="shared" si="6"/>
        <v>2</v>
      </c>
    </row>
    <row r="63" spans="1:14">
      <c r="A63" s="6">
        <f t="shared" si="4"/>
        <v>1989</v>
      </c>
      <c r="B63" s="6">
        <f t="shared" si="5"/>
        <v>0</v>
      </c>
      <c r="C63" s="6">
        <f t="shared" si="6"/>
        <v>0</v>
      </c>
      <c r="D63" s="6">
        <f t="shared" si="6"/>
        <v>5</v>
      </c>
      <c r="E63" s="6">
        <f t="shared" si="6"/>
        <v>9</v>
      </c>
      <c r="F63" s="6">
        <f t="shared" si="6"/>
        <v>25</v>
      </c>
      <c r="G63" s="6">
        <f t="shared" si="6"/>
        <v>16</v>
      </c>
      <c r="H63" s="6">
        <f t="shared" si="6"/>
        <v>13</v>
      </c>
      <c r="I63" s="6">
        <f t="shared" si="6"/>
        <v>7</v>
      </c>
      <c r="J63" s="6">
        <f t="shared" si="6"/>
        <v>6</v>
      </c>
      <c r="K63" s="6">
        <f t="shared" si="6"/>
        <v>7</v>
      </c>
      <c r="L63" s="6">
        <f t="shared" si="6"/>
        <v>5</v>
      </c>
      <c r="M63" s="6">
        <f t="shared" si="6"/>
        <v>3</v>
      </c>
      <c r="N63" s="6">
        <f t="shared" si="6"/>
        <v>4</v>
      </c>
    </row>
    <row r="64" spans="1:14">
      <c r="A64" s="6">
        <f t="shared" si="4"/>
        <v>1990</v>
      </c>
      <c r="B64" s="6">
        <f t="shared" si="5"/>
        <v>0</v>
      </c>
      <c r="C64" s="6">
        <f t="shared" si="6"/>
        <v>0</v>
      </c>
      <c r="D64" s="6">
        <f t="shared" si="6"/>
        <v>5</v>
      </c>
      <c r="E64" s="6">
        <f t="shared" si="6"/>
        <v>7</v>
      </c>
      <c r="F64" s="6">
        <f t="shared" si="6"/>
        <v>5</v>
      </c>
      <c r="G64" s="6">
        <f t="shared" si="6"/>
        <v>9</v>
      </c>
      <c r="H64" s="6">
        <f t="shared" si="6"/>
        <v>22</v>
      </c>
      <c r="I64" s="6">
        <f t="shared" si="6"/>
        <v>18</v>
      </c>
      <c r="J64" s="6">
        <f t="shared" si="6"/>
        <v>13</v>
      </c>
      <c r="K64" s="6">
        <f t="shared" si="6"/>
        <v>10</v>
      </c>
      <c r="L64" s="6">
        <f t="shared" si="6"/>
        <v>6</v>
      </c>
      <c r="M64" s="6">
        <f t="shared" si="6"/>
        <v>5</v>
      </c>
      <c r="N64" s="6">
        <f t="shared" si="6"/>
        <v>0</v>
      </c>
    </row>
    <row r="65" spans="1:14">
      <c r="A65" s="6">
        <f t="shared" si="4"/>
        <v>1991</v>
      </c>
      <c r="B65" s="6">
        <f t="shared" si="5"/>
        <v>0</v>
      </c>
      <c r="C65" s="6">
        <f t="shared" si="6"/>
        <v>0</v>
      </c>
      <c r="D65" s="6">
        <f t="shared" si="6"/>
        <v>0</v>
      </c>
      <c r="E65" s="6">
        <f t="shared" si="6"/>
        <v>11</v>
      </c>
      <c r="F65" s="6">
        <f t="shared" si="6"/>
        <v>16</v>
      </c>
      <c r="G65" s="6">
        <f t="shared" si="6"/>
        <v>15</v>
      </c>
      <c r="H65" s="6">
        <f t="shared" si="6"/>
        <v>14</v>
      </c>
      <c r="I65" s="6">
        <f t="shared" si="6"/>
        <v>14</v>
      </c>
      <c r="J65" s="6">
        <f t="shared" si="6"/>
        <v>13</v>
      </c>
      <c r="K65" s="6">
        <f t="shared" si="6"/>
        <v>8</v>
      </c>
      <c r="L65" s="6">
        <f t="shared" si="6"/>
        <v>4</v>
      </c>
      <c r="M65" s="6">
        <f t="shared" si="6"/>
        <v>3</v>
      </c>
      <c r="N65" s="6">
        <f t="shared" si="6"/>
        <v>2</v>
      </c>
    </row>
    <row r="66" spans="1:14">
      <c r="A66" s="6">
        <f t="shared" si="4"/>
        <v>1992</v>
      </c>
      <c r="B66" s="6">
        <f t="shared" si="5"/>
        <v>0</v>
      </c>
      <c r="C66" s="6">
        <f t="shared" si="6"/>
        <v>0</v>
      </c>
      <c r="D66" s="6">
        <f t="shared" si="6"/>
        <v>0</v>
      </c>
      <c r="E66" s="6">
        <f t="shared" si="6"/>
        <v>19</v>
      </c>
      <c r="F66" s="6">
        <f t="shared" si="6"/>
        <v>26</v>
      </c>
      <c r="G66" s="6">
        <f t="shared" si="6"/>
        <v>23</v>
      </c>
      <c r="H66" s="6">
        <f t="shared" si="6"/>
        <v>12</v>
      </c>
      <c r="I66" s="6">
        <f t="shared" si="6"/>
        <v>5</v>
      </c>
      <c r="J66" s="6">
        <f t="shared" si="6"/>
        <v>4</v>
      </c>
      <c r="K66" s="6">
        <f t="shared" si="6"/>
        <v>3</v>
      </c>
      <c r="L66" s="6">
        <f t="shared" si="6"/>
        <v>3</v>
      </c>
      <c r="M66" s="6">
        <f t="shared" si="6"/>
        <v>5</v>
      </c>
      <c r="N66" s="6">
        <f t="shared" si="6"/>
        <v>0</v>
      </c>
    </row>
    <row r="67" spans="1:14">
      <c r="A67" s="6">
        <f t="shared" si="4"/>
        <v>1993</v>
      </c>
      <c r="B67" s="6">
        <f t="shared" si="5"/>
        <v>0</v>
      </c>
      <c r="C67" s="6">
        <f t="shared" si="6"/>
        <v>0</v>
      </c>
      <c r="D67" s="6">
        <f t="shared" si="6"/>
        <v>2</v>
      </c>
      <c r="E67" s="6">
        <f t="shared" si="6"/>
        <v>7</v>
      </c>
      <c r="F67" s="6">
        <f t="shared" si="6"/>
        <v>16</v>
      </c>
      <c r="G67" s="6">
        <f t="shared" si="6"/>
        <v>20</v>
      </c>
      <c r="H67" s="6">
        <f t="shared" si="6"/>
        <v>14</v>
      </c>
      <c r="I67" s="6">
        <f t="shared" si="6"/>
        <v>13</v>
      </c>
      <c r="J67" s="6">
        <f t="shared" si="6"/>
        <v>11</v>
      </c>
      <c r="K67" s="6">
        <f t="shared" si="6"/>
        <v>6</v>
      </c>
      <c r="L67" s="6">
        <f t="shared" si="6"/>
        <v>4</v>
      </c>
      <c r="M67" s="6">
        <f t="shared" si="6"/>
        <v>2</v>
      </c>
      <c r="N67" s="6">
        <f t="shared" si="6"/>
        <v>5</v>
      </c>
    </row>
    <row r="68" spans="1:14">
      <c r="A68" s="6">
        <f t="shared" si="4"/>
        <v>1994</v>
      </c>
      <c r="B68" s="6">
        <f t="shared" si="5"/>
        <v>0</v>
      </c>
      <c r="C68" s="6">
        <f t="shared" si="6"/>
        <v>4</v>
      </c>
      <c r="D68" s="6">
        <f t="shared" si="6"/>
        <v>7</v>
      </c>
      <c r="E68" s="6">
        <f t="shared" si="6"/>
        <v>17</v>
      </c>
      <c r="F68" s="6">
        <f t="shared" si="6"/>
        <v>30</v>
      </c>
      <c r="G68" s="6">
        <f t="shared" si="6"/>
        <v>20</v>
      </c>
      <c r="H68" s="6">
        <f t="shared" si="6"/>
        <v>10</v>
      </c>
      <c r="I68" s="6">
        <f t="shared" si="6"/>
        <v>3</v>
      </c>
      <c r="J68" s="6">
        <f t="shared" si="6"/>
        <v>3</v>
      </c>
      <c r="K68" s="6">
        <f t="shared" si="6"/>
        <v>6</v>
      </c>
      <c r="L68" s="6">
        <f t="shared" si="6"/>
        <v>0</v>
      </c>
      <c r="M68" s="6">
        <f t="shared" si="6"/>
        <v>0</v>
      </c>
      <c r="N68" s="6">
        <f t="shared" si="6"/>
        <v>0</v>
      </c>
    </row>
    <row r="69" spans="1:14">
      <c r="A69" s="6">
        <f t="shared" si="4"/>
        <v>1995</v>
      </c>
      <c r="B69" s="6">
        <f t="shared" si="5"/>
        <v>0</v>
      </c>
      <c r="C69" s="6">
        <f t="shared" si="6"/>
        <v>0</v>
      </c>
      <c r="D69" s="6">
        <f t="shared" si="6"/>
        <v>0</v>
      </c>
      <c r="E69" s="6">
        <f t="shared" si="6"/>
        <v>7</v>
      </c>
      <c r="F69" s="6">
        <f t="shared" si="6"/>
        <v>9</v>
      </c>
      <c r="G69" s="6">
        <f t="shared" si="6"/>
        <v>15</v>
      </c>
      <c r="H69" s="6">
        <f t="shared" si="6"/>
        <v>12</v>
      </c>
      <c r="I69" s="6">
        <f t="shared" si="6"/>
        <v>16</v>
      </c>
      <c r="J69" s="6">
        <f t="shared" si="6"/>
        <v>20</v>
      </c>
      <c r="K69" s="6">
        <f t="shared" si="6"/>
        <v>13</v>
      </c>
      <c r="L69" s="6">
        <f t="shared" si="6"/>
        <v>8</v>
      </c>
      <c r="M69" s="6">
        <f t="shared" si="6"/>
        <v>0</v>
      </c>
      <c r="N69" s="6">
        <f t="shared" si="6"/>
        <v>0</v>
      </c>
    </row>
    <row r="70" spans="1:14">
      <c r="A70" s="6">
        <f t="shared" si="4"/>
        <v>1996</v>
      </c>
      <c r="B70" s="6">
        <f t="shared" si="5"/>
        <v>0</v>
      </c>
      <c r="C70" s="6">
        <f t="shared" ref="C70:N85" si="7">C18-B18</f>
        <v>0</v>
      </c>
      <c r="D70" s="6">
        <f t="shared" si="7"/>
        <v>4</v>
      </c>
      <c r="E70" s="6">
        <f t="shared" si="7"/>
        <v>5</v>
      </c>
      <c r="F70" s="6">
        <f t="shared" si="7"/>
        <v>6</v>
      </c>
      <c r="G70" s="6">
        <f t="shared" si="7"/>
        <v>20</v>
      </c>
      <c r="H70" s="6">
        <f t="shared" si="7"/>
        <v>10</v>
      </c>
      <c r="I70" s="6">
        <f t="shared" si="7"/>
        <v>14</v>
      </c>
      <c r="J70" s="6">
        <f t="shared" si="7"/>
        <v>13</v>
      </c>
      <c r="K70" s="6">
        <f t="shared" si="7"/>
        <v>12</v>
      </c>
      <c r="L70" s="6">
        <f t="shared" si="7"/>
        <v>11</v>
      </c>
      <c r="M70" s="6">
        <f t="shared" si="7"/>
        <v>5</v>
      </c>
      <c r="N70" s="6">
        <f t="shared" si="7"/>
        <v>0</v>
      </c>
    </row>
    <row r="71" spans="1:14">
      <c r="A71" s="6">
        <f t="shared" si="4"/>
        <v>1997</v>
      </c>
      <c r="B71" s="6">
        <f t="shared" si="5"/>
        <v>0</v>
      </c>
      <c r="C71" s="6">
        <f t="shared" si="7"/>
        <v>0</v>
      </c>
      <c r="D71" s="6">
        <f t="shared" si="7"/>
        <v>9</v>
      </c>
      <c r="E71" s="6">
        <f t="shared" si="7"/>
        <v>11</v>
      </c>
      <c r="F71" s="6">
        <f t="shared" si="7"/>
        <v>26</v>
      </c>
      <c r="G71" s="6">
        <f t="shared" si="7"/>
        <v>24</v>
      </c>
      <c r="H71" s="6">
        <f t="shared" si="7"/>
        <v>7</v>
      </c>
      <c r="I71" s="6">
        <f t="shared" si="7"/>
        <v>7</v>
      </c>
      <c r="J71" s="6">
        <f t="shared" si="7"/>
        <v>5</v>
      </c>
      <c r="K71" s="6">
        <f t="shared" si="7"/>
        <v>3</v>
      </c>
      <c r="L71" s="6">
        <f t="shared" si="7"/>
        <v>3</v>
      </c>
      <c r="M71" s="6">
        <f t="shared" si="7"/>
        <v>5</v>
      </c>
      <c r="N71" s="6">
        <f t="shared" si="7"/>
        <v>0</v>
      </c>
    </row>
    <row r="72" spans="1:14">
      <c r="A72" s="6">
        <f t="shared" si="4"/>
        <v>1998</v>
      </c>
      <c r="B72" s="6">
        <f t="shared" si="5"/>
        <v>0</v>
      </c>
      <c r="C72" s="6">
        <f t="shared" si="7"/>
        <v>0</v>
      </c>
      <c r="D72" s="6">
        <f t="shared" si="7"/>
        <v>0</v>
      </c>
      <c r="E72" s="6">
        <f t="shared" si="7"/>
        <v>15</v>
      </c>
      <c r="F72" s="6">
        <f t="shared" si="7"/>
        <v>23</v>
      </c>
      <c r="G72" s="6">
        <f t="shared" si="7"/>
        <v>25</v>
      </c>
      <c r="H72" s="6">
        <f t="shared" si="7"/>
        <v>12</v>
      </c>
      <c r="I72" s="6">
        <f t="shared" si="7"/>
        <v>11</v>
      </c>
      <c r="J72" s="6">
        <f t="shared" si="7"/>
        <v>4</v>
      </c>
      <c r="K72" s="6">
        <f t="shared" si="7"/>
        <v>3</v>
      </c>
      <c r="L72" s="6">
        <f t="shared" si="7"/>
        <v>3</v>
      </c>
      <c r="M72" s="6">
        <f t="shared" si="7"/>
        <v>4</v>
      </c>
      <c r="N72" s="6">
        <f t="shared" si="7"/>
        <v>0</v>
      </c>
    </row>
    <row r="73" spans="1:14">
      <c r="A73" s="6">
        <f t="shared" si="4"/>
        <v>1999</v>
      </c>
      <c r="B73" s="6">
        <f t="shared" si="5"/>
        <v>0</v>
      </c>
      <c r="C73" s="6">
        <f t="shared" si="7"/>
        <v>3</v>
      </c>
      <c r="D73" s="6">
        <f t="shared" si="7"/>
        <v>9</v>
      </c>
      <c r="E73" s="6">
        <f t="shared" si="7"/>
        <v>16</v>
      </c>
      <c r="F73" s="6">
        <f t="shared" si="7"/>
        <v>16</v>
      </c>
      <c r="G73" s="6">
        <f t="shared" si="7"/>
        <v>27</v>
      </c>
      <c r="H73" s="6">
        <f t="shared" si="7"/>
        <v>13</v>
      </c>
      <c r="I73" s="6">
        <f t="shared" si="7"/>
        <v>7</v>
      </c>
      <c r="J73" s="6">
        <f t="shared" si="7"/>
        <v>3</v>
      </c>
      <c r="K73" s="6">
        <f t="shared" si="7"/>
        <v>3</v>
      </c>
      <c r="L73" s="6">
        <f t="shared" si="7"/>
        <v>3</v>
      </c>
      <c r="M73" s="6">
        <f t="shared" si="7"/>
        <v>0</v>
      </c>
      <c r="N73" s="6">
        <f t="shared" si="7"/>
        <v>0</v>
      </c>
    </row>
    <row r="74" spans="1:14">
      <c r="A74" s="6">
        <f t="shared" si="4"/>
        <v>2000</v>
      </c>
      <c r="B74" s="6">
        <f t="shared" si="5"/>
        <v>0</v>
      </c>
      <c r="C74" s="6">
        <f t="shared" si="7"/>
        <v>8</v>
      </c>
      <c r="D74" s="6">
        <f t="shared" si="7"/>
        <v>26</v>
      </c>
      <c r="E74" s="6">
        <f t="shared" si="7"/>
        <v>23</v>
      </c>
      <c r="F74" s="6">
        <f t="shared" si="7"/>
        <v>17</v>
      </c>
      <c r="G74" s="6">
        <f t="shared" si="7"/>
        <v>11</v>
      </c>
      <c r="H74" s="6">
        <f t="shared" si="7"/>
        <v>5</v>
      </c>
      <c r="I74" s="6">
        <f t="shared" si="7"/>
        <v>3</v>
      </c>
      <c r="J74" s="6">
        <f t="shared" si="7"/>
        <v>7</v>
      </c>
      <c r="K74" s="6">
        <f t="shared" si="7"/>
        <v>0</v>
      </c>
      <c r="L74" s="6">
        <f t="shared" si="7"/>
        <v>0</v>
      </c>
      <c r="M74" s="6">
        <f t="shared" si="7"/>
        <v>0</v>
      </c>
      <c r="N74" s="6">
        <f t="shared" si="7"/>
        <v>0</v>
      </c>
    </row>
    <row r="75" spans="1:14">
      <c r="A75" s="6">
        <f t="shared" si="4"/>
        <v>2001</v>
      </c>
      <c r="B75" s="6">
        <f t="shared" si="5"/>
        <v>0</v>
      </c>
      <c r="C75" s="6">
        <f t="shared" si="7"/>
        <v>0</v>
      </c>
      <c r="D75" s="6">
        <f t="shared" si="7"/>
        <v>20</v>
      </c>
      <c r="E75" s="6">
        <f t="shared" si="7"/>
        <v>17</v>
      </c>
      <c r="F75" s="6">
        <f t="shared" si="7"/>
        <v>21</v>
      </c>
      <c r="G75" s="6">
        <f t="shared" si="7"/>
        <v>12</v>
      </c>
      <c r="H75" s="6">
        <f t="shared" si="7"/>
        <v>10</v>
      </c>
      <c r="I75" s="6">
        <f t="shared" si="7"/>
        <v>6</v>
      </c>
      <c r="J75" s="6">
        <f t="shared" si="7"/>
        <v>6</v>
      </c>
      <c r="K75" s="6">
        <f t="shared" si="7"/>
        <v>4</v>
      </c>
      <c r="L75" s="6">
        <f t="shared" si="7"/>
        <v>4</v>
      </c>
      <c r="M75" s="6">
        <f t="shared" si="7"/>
        <v>0</v>
      </c>
      <c r="N75" s="6">
        <f t="shared" si="7"/>
        <v>0</v>
      </c>
    </row>
    <row r="76" spans="1:14">
      <c r="A76" s="6">
        <f t="shared" si="4"/>
        <v>2002</v>
      </c>
      <c r="B76" s="6">
        <f t="shared" si="5"/>
        <v>0</v>
      </c>
      <c r="C76" s="6">
        <f t="shared" si="7"/>
        <v>3</v>
      </c>
      <c r="D76" s="6">
        <f t="shared" si="7"/>
        <v>4</v>
      </c>
      <c r="E76" s="6">
        <f t="shared" si="7"/>
        <v>10</v>
      </c>
      <c r="F76" s="6">
        <f t="shared" si="7"/>
        <v>13</v>
      </c>
      <c r="G76" s="6">
        <f t="shared" si="7"/>
        <v>21</v>
      </c>
      <c r="H76" s="6">
        <f t="shared" si="7"/>
        <v>19</v>
      </c>
      <c r="I76" s="6">
        <f t="shared" si="7"/>
        <v>15</v>
      </c>
      <c r="J76" s="6">
        <f t="shared" si="7"/>
        <v>7</v>
      </c>
      <c r="K76" s="6">
        <f t="shared" si="7"/>
        <v>5</v>
      </c>
      <c r="L76" s="6">
        <f t="shared" si="7"/>
        <v>3</v>
      </c>
      <c r="M76" s="6">
        <f t="shared" si="7"/>
        <v>0</v>
      </c>
      <c r="N76" s="6">
        <f t="shared" si="7"/>
        <v>0</v>
      </c>
    </row>
    <row r="77" spans="1:14">
      <c r="A77" s="6">
        <f t="shared" si="4"/>
        <v>2003</v>
      </c>
      <c r="B77" s="6">
        <f t="shared" si="5"/>
        <v>0</v>
      </c>
      <c r="C77" s="6">
        <f t="shared" si="7"/>
        <v>3</v>
      </c>
      <c r="D77" s="6">
        <f t="shared" si="7"/>
        <v>8</v>
      </c>
      <c r="E77" s="6">
        <f t="shared" si="7"/>
        <v>5</v>
      </c>
      <c r="F77" s="6">
        <f t="shared" si="7"/>
        <v>9</v>
      </c>
      <c r="G77" s="6">
        <f t="shared" si="7"/>
        <v>25</v>
      </c>
      <c r="H77" s="6">
        <f t="shared" si="7"/>
        <v>24</v>
      </c>
      <c r="I77" s="6">
        <f t="shared" si="7"/>
        <v>10</v>
      </c>
      <c r="J77" s="6">
        <f t="shared" si="7"/>
        <v>5</v>
      </c>
      <c r="K77" s="6">
        <f t="shared" si="7"/>
        <v>5</v>
      </c>
      <c r="L77" s="6">
        <f t="shared" si="7"/>
        <v>2</v>
      </c>
      <c r="M77" s="6">
        <f t="shared" si="7"/>
        <v>4</v>
      </c>
      <c r="N77" s="6">
        <f t="shared" si="7"/>
        <v>0</v>
      </c>
    </row>
    <row r="78" spans="1:14">
      <c r="A78" s="6">
        <f t="shared" si="4"/>
        <v>2004</v>
      </c>
      <c r="B78" s="6">
        <f t="shared" si="5"/>
        <v>0</v>
      </c>
      <c r="C78" s="6">
        <f t="shared" si="7"/>
        <v>5</v>
      </c>
      <c r="D78" s="6">
        <f t="shared" si="7"/>
        <v>7</v>
      </c>
      <c r="E78" s="6">
        <f t="shared" si="7"/>
        <v>23</v>
      </c>
      <c r="F78" s="6">
        <f t="shared" si="7"/>
        <v>19</v>
      </c>
      <c r="G78" s="6">
        <f t="shared" si="7"/>
        <v>13</v>
      </c>
      <c r="H78" s="6">
        <f t="shared" si="7"/>
        <v>10</v>
      </c>
      <c r="I78" s="6">
        <f t="shared" si="7"/>
        <v>8</v>
      </c>
      <c r="J78" s="6">
        <f t="shared" si="7"/>
        <v>8</v>
      </c>
      <c r="K78" s="6">
        <f t="shared" si="7"/>
        <v>2</v>
      </c>
      <c r="L78" s="6">
        <f t="shared" si="7"/>
        <v>5</v>
      </c>
      <c r="M78" s="6">
        <f t="shared" si="7"/>
        <v>0</v>
      </c>
      <c r="N78" s="6">
        <f t="shared" si="7"/>
        <v>0</v>
      </c>
    </row>
    <row r="79" spans="1:14">
      <c r="A79" s="6">
        <f t="shared" si="4"/>
        <v>2005</v>
      </c>
      <c r="B79" s="6">
        <f t="shared" si="5"/>
        <v>0</v>
      </c>
      <c r="C79" s="6">
        <f t="shared" si="7"/>
        <v>8</v>
      </c>
      <c r="D79" s="6">
        <f t="shared" si="7"/>
        <v>18</v>
      </c>
      <c r="E79" s="6">
        <f t="shared" si="7"/>
        <v>20</v>
      </c>
      <c r="F79" s="6">
        <f t="shared" si="7"/>
        <v>19</v>
      </c>
      <c r="G79" s="6">
        <f t="shared" si="7"/>
        <v>16</v>
      </c>
      <c r="H79" s="6">
        <f t="shared" si="7"/>
        <v>9</v>
      </c>
      <c r="I79" s="6">
        <f t="shared" si="7"/>
        <v>4</v>
      </c>
      <c r="J79" s="6">
        <f t="shared" si="7"/>
        <v>2</v>
      </c>
      <c r="K79" s="6">
        <f t="shared" si="7"/>
        <v>4</v>
      </c>
      <c r="L79" s="6">
        <f t="shared" si="7"/>
        <v>0</v>
      </c>
      <c r="M79" s="6">
        <f t="shared" si="7"/>
        <v>0</v>
      </c>
      <c r="N79" s="6">
        <f t="shared" si="7"/>
        <v>0</v>
      </c>
    </row>
    <row r="80" spans="1:14">
      <c r="A80" s="6">
        <f t="shared" si="4"/>
        <v>2006</v>
      </c>
      <c r="B80" s="6">
        <f t="shared" si="5"/>
        <v>0</v>
      </c>
      <c r="C80" s="6">
        <f t="shared" si="7"/>
        <v>10</v>
      </c>
      <c r="D80" s="6">
        <f t="shared" si="7"/>
        <v>8</v>
      </c>
      <c r="E80" s="6">
        <f t="shared" si="7"/>
        <v>15</v>
      </c>
      <c r="F80" s="6">
        <f t="shared" si="7"/>
        <v>22</v>
      </c>
      <c r="G80" s="6">
        <f t="shared" si="7"/>
        <v>24</v>
      </c>
      <c r="H80" s="6">
        <f t="shared" si="7"/>
        <v>10</v>
      </c>
      <c r="I80" s="6">
        <f t="shared" si="7"/>
        <v>5</v>
      </c>
      <c r="J80" s="6">
        <f t="shared" si="7"/>
        <v>3</v>
      </c>
      <c r="K80" s="6">
        <f t="shared" si="7"/>
        <v>3</v>
      </c>
      <c r="L80" s="6">
        <f t="shared" si="7"/>
        <v>0</v>
      </c>
      <c r="M80" s="6">
        <f t="shared" si="7"/>
        <v>0</v>
      </c>
      <c r="N80" s="6">
        <f t="shared" si="7"/>
        <v>0</v>
      </c>
    </row>
    <row r="81" spans="1:14">
      <c r="A81" s="6">
        <f t="shared" si="4"/>
        <v>2007</v>
      </c>
      <c r="B81" s="6">
        <f t="shared" si="5"/>
        <v>2</v>
      </c>
      <c r="C81" s="6">
        <f t="shared" si="7"/>
        <v>1</v>
      </c>
      <c r="D81" s="6">
        <f t="shared" si="7"/>
        <v>7</v>
      </c>
      <c r="E81" s="6">
        <f t="shared" si="7"/>
        <v>22</v>
      </c>
      <c r="F81" s="6">
        <f t="shared" si="7"/>
        <v>27</v>
      </c>
      <c r="G81" s="6">
        <f t="shared" si="7"/>
        <v>21</v>
      </c>
      <c r="H81" s="6">
        <f t="shared" si="7"/>
        <v>8</v>
      </c>
      <c r="I81" s="6">
        <f t="shared" si="7"/>
        <v>6</v>
      </c>
      <c r="J81" s="6">
        <f t="shared" si="7"/>
        <v>2</v>
      </c>
      <c r="K81" s="6">
        <f t="shared" si="7"/>
        <v>4</v>
      </c>
      <c r="L81" s="6">
        <f t="shared" si="7"/>
        <v>0</v>
      </c>
      <c r="M81" s="6">
        <f t="shared" si="7"/>
        <v>0</v>
      </c>
      <c r="N81" s="6">
        <f t="shared" si="7"/>
        <v>0</v>
      </c>
    </row>
    <row r="82" spans="1:14">
      <c r="A82" s="6">
        <f t="shared" si="4"/>
        <v>2008</v>
      </c>
      <c r="B82" s="6">
        <f t="shared" si="5"/>
        <v>0</v>
      </c>
      <c r="C82" s="6">
        <f t="shared" si="7"/>
        <v>2</v>
      </c>
      <c r="D82" s="6">
        <f t="shared" si="7"/>
        <v>3</v>
      </c>
      <c r="E82" s="6">
        <f t="shared" si="7"/>
        <v>6</v>
      </c>
      <c r="F82" s="6">
        <f t="shared" si="7"/>
        <v>16</v>
      </c>
      <c r="G82" s="6">
        <f t="shared" si="7"/>
        <v>25</v>
      </c>
      <c r="H82" s="6">
        <f t="shared" si="7"/>
        <v>17</v>
      </c>
      <c r="I82" s="6">
        <f t="shared" si="7"/>
        <v>8</v>
      </c>
      <c r="J82" s="6">
        <f t="shared" si="7"/>
        <v>7</v>
      </c>
      <c r="K82" s="6">
        <f t="shared" si="7"/>
        <v>7</v>
      </c>
      <c r="L82" s="6">
        <f t="shared" si="7"/>
        <v>4</v>
      </c>
      <c r="M82" s="6">
        <f t="shared" si="7"/>
        <v>5</v>
      </c>
      <c r="N82" s="6">
        <f t="shared" si="7"/>
        <v>0</v>
      </c>
    </row>
    <row r="83" spans="1:14">
      <c r="A83" s="6">
        <f t="shared" si="4"/>
        <v>2009</v>
      </c>
      <c r="B83" s="6">
        <f t="shared" si="5"/>
        <v>0</v>
      </c>
      <c r="C83" s="6">
        <f t="shared" si="7"/>
        <v>3</v>
      </c>
      <c r="D83" s="6">
        <f t="shared" si="7"/>
        <v>3</v>
      </c>
      <c r="E83" s="6">
        <f t="shared" si="7"/>
        <v>8</v>
      </c>
      <c r="F83" s="6">
        <f t="shared" si="7"/>
        <v>11</v>
      </c>
      <c r="G83" s="6">
        <f t="shared" si="7"/>
        <v>23</v>
      </c>
      <c r="H83" s="6">
        <f t="shared" si="7"/>
        <v>18</v>
      </c>
      <c r="I83" s="6">
        <f t="shared" si="7"/>
        <v>12</v>
      </c>
      <c r="J83" s="6">
        <f t="shared" si="7"/>
        <v>9</v>
      </c>
      <c r="K83" s="6">
        <f t="shared" si="7"/>
        <v>4</v>
      </c>
      <c r="L83" s="6">
        <f t="shared" si="7"/>
        <v>5</v>
      </c>
      <c r="M83" s="6">
        <f t="shared" si="7"/>
        <v>4</v>
      </c>
      <c r="N83" s="6">
        <f t="shared" si="7"/>
        <v>0</v>
      </c>
    </row>
    <row r="84" spans="1:14">
      <c r="A84" s="6">
        <f t="shared" si="4"/>
        <v>2010</v>
      </c>
      <c r="B84" s="6">
        <f t="shared" si="5"/>
        <v>0</v>
      </c>
      <c r="C84" s="6">
        <f t="shared" si="7"/>
        <v>15</v>
      </c>
      <c r="D84" s="6">
        <f t="shared" si="7"/>
        <v>15</v>
      </c>
      <c r="E84" s="6">
        <f t="shared" si="7"/>
        <v>8</v>
      </c>
      <c r="F84" s="6">
        <f t="shared" si="7"/>
        <v>15</v>
      </c>
      <c r="G84" s="6">
        <f t="shared" si="7"/>
        <v>21</v>
      </c>
      <c r="H84" s="6">
        <f t="shared" si="7"/>
        <v>10</v>
      </c>
      <c r="I84" s="6">
        <f t="shared" si="7"/>
        <v>7</v>
      </c>
      <c r="J84" s="6">
        <f t="shared" si="7"/>
        <v>2</v>
      </c>
      <c r="K84" s="6">
        <f t="shared" si="7"/>
        <v>4</v>
      </c>
      <c r="L84" s="6">
        <f t="shared" si="7"/>
        <v>3</v>
      </c>
      <c r="M84" s="6">
        <f t="shared" si="7"/>
        <v>0</v>
      </c>
      <c r="N84" s="6">
        <f t="shared" si="7"/>
        <v>0</v>
      </c>
    </row>
    <row r="85" spans="1:14">
      <c r="A85" s="6">
        <f t="shared" si="4"/>
        <v>2011</v>
      </c>
      <c r="B85" s="6">
        <f t="shared" si="5"/>
        <v>0</v>
      </c>
      <c r="C85" s="6">
        <f t="shared" si="7"/>
        <v>0</v>
      </c>
      <c r="D85" s="6">
        <f t="shared" si="7"/>
        <v>7</v>
      </c>
      <c r="E85" s="6">
        <f t="shared" si="7"/>
        <v>15</v>
      </c>
      <c r="F85" s="6">
        <f t="shared" si="7"/>
        <v>19</v>
      </c>
      <c r="G85" s="6">
        <f t="shared" si="7"/>
        <v>10</v>
      </c>
      <c r="H85" s="6">
        <f t="shared" si="7"/>
        <v>17</v>
      </c>
      <c r="I85" s="6">
        <f t="shared" si="7"/>
        <v>19</v>
      </c>
      <c r="J85" s="6">
        <f t="shared" si="7"/>
        <v>7</v>
      </c>
      <c r="K85" s="6">
        <f t="shared" si="7"/>
        <v>3</v>
      </c>
      <c r="L85" s="6">
        <f t="shared" si="7"/>
        <v>3</v>
      </c>
      <c r="M85" s="6">
        <f t="shared" si="7"/>
        <v>0</v>
      </c>
      <c r="N85" s="6">
        <f t="shared" si="7"/>
        <v>0</v>
      </c>
    </row>
    <row r="86" spans="1:14">
      <c r="A86" s="6">
        <f t="shared" si="4"/>
        <v>2012</v>
      </c>
      <c r="B86" s="6">
        <f t="shared" si="5"/>
        <v>6</v>
      </c>
      <c r="C86" s="6">
        <f t="shared" ref="C86:N98" si="8">C34-B34</f>
        <v>6</v>
      </c>
      <c r="D86" s="6">
        <f t="shared" si="8"/>
        <v>12</v>
      </c>
      <c r="E86" s="6">
        <f t="shared" si="8"/>
        <v>22</v>
      </c>
      <c r="F86" s="6">
        <f t="shared" si="8"/>
        <v>30</v>
      </c>
      <c r="G86" s="6">
        <f t="shared" si="8"/>
        <v>13</v>
      </c>
      <c r="H86" s="6">
        <f t="shared" si="8"/>
        <v>5</v>
      </c>
      <c r="I86" s="6">
        <f t="shared" si="8"/>
        <v>3</v>
      </c>
      <c r="J86" s="6">
        <f t="shared" si="8"/>
        <v>3</v>
      </c>
      <c r="K86" s="6">
        <f t="shared" si="8"/>
        <v>0</v>
      </c>
      <c r="L86" s="6">
        <f t="shared" si="8"/>
        <v>0</v>
      </c>
      <c r="M86" s="6">
        <f t="shared" si="8"/>
        <v>0</v>
      </c>
      <c r="N86" s="6">
        <f t="shared" si="8"/>
        <v>0</v>
      </c>
    </row>
    <row r="87" spans="1:14">
      <c r="A87" s="6">
        <f t="shared" si="4"/>
        <v>2013</v>
      </c>
      <c r="B87" s="6">
        <f t="shared" si="5"/>
        <v>0</v>
      </c>
      <c r="C87" s="6">
        <f t="shared" si="8"/>
        <v>0</v>
      </c>
      <c r="D87" s="6">
        <f t="shared" si="8"/>
        <v>2</v>
      </c>
      <c r="E87" s="6">
        <f t="shared" si="8"/>
        <v>4</v>
      </c>
      <c r="F87" s="6">
        <f t="shared" si="8"/>
        <v>18</v>
      </c>
      <c r="G87" s="6">
        <f t="shared" si="8"/>
        <v>20</v>
      </c>
      <c r="H87" s="6">
        <f t="shared" si="8"/>
        <v>13</v>
      </c>
      <c r="I87" s="6">
        <f t="shared" si="8"/>
        <v>14</v>
      </c>
      <c r="J87" s="6">
        <f t="shared" si="8"/>
        <v>14</v>
      </c>
      <c r="K87" s="6">
        <f t="shared" si="8"/>
        <v>7</v>
      </c>
      <c r="L87" s="6">
        <f t="shared" si="8"/>
        <v>4</v>
      </c>
      <c r="M87" s="6">
        <f t="shared" si="8"/>
        <v>4</v>
      </c>
      <c r="N87" s="6">
        <f t="shared" si="8"/>
        <v>0</v>
      </c>
    </row>
    <row r="88" spans="1:14">
      <c r="A88" s="6">
        <f t="shared" si="4"/>
        <v>2014</v>
      </c>
      <c r="B88" s="6">
        <f t="shared" si="5"/>
        <v>0</v>
      </c>
      <c r="C88" s="6">
        <f t="shared" si="8"/>
        <v>3</v>
      </c>
      <c r="D88" s="6">
        <f t="shared" si="8"/>
        <v>2</v>
      </c>
      <c r="E88" s="6">
        <f t="shared" si="8"/>
        <v>15</v>
      </c>
      <c r="F88" s="6">
        <f t="shared" si="8"/>
        <v>13</v>
      </c>
      <c r="G88" s="6">
        <f t="shared" si="8"/>
        <v>26</v>
      </c>
      <c r="H88" s="6">
        <f t="shared" si="8"/>
        <v>19</v>
      </c>
      <c r="I88" s="6">
        <f t="shared" si="8"/>
        <v>9</v>
      </c>
      <c r="J88" s="6">
        <f t="shared" si="8"/>
        <v>5</v>
      </c>
      <c r="K88" s="6">
        <f t="shared" si="8"/>
        <v>3</v>
      </c>
      <c r="L88" s="6">
        <f t="shared" si="8"/>
        <v>5</v>
      </c>
      <c r="M88" s="6">
        <f t="shared" si="8"/>
        <v>0</v>
      </c>
      <c r="N88" s="6">
        <f t="shared" si="8"/>
        <v>0</v>
      </c>
    </row>
    <row r="89" spans="1:14">
      <c r="A89" s="6">
        <f t="shared" si="4"/>
        <v>2015</v>
      </c>
      <c r="B89" s="6">
        <f t="shared" si="5"/>
        <v>0</v>
      </c>
      <c r="C89" s="6">
        <f t="shared" si="8"/>
        <v>2</v>
      </c>
      <c r="D89" s="6">
        <f t="shared" si="8"/>
        <v>11</v>
      </c>
      <c r="E89" s="6">
        <f t="shared" si="8"/>
        <v>18</v>
      </c>
      <c r="F89" s="6">
        <f t="shared" si="8"/>
        <v>14</v>
      </c>
      <c r="G89" s="6">
        <f t="shared" si="8"/>
        <v>16</v>
      </c>
      <c r="H89" s="6">
        <f t="shared" si="8"/>
        <v>10</v>
      </c>
      <c r="I89" s="6">
        <f t="shared" si="8"/>
        <v>8</v>
      </c>
      <c r="J89" s="6">
        <f t="shared" si="8"/>
        <v>8</v>
      </c>
      <c r="K89" s="6">
        <f t="shared" si="8"/>
        <v>3</v>
      </c>
      <c r="L89" s="6">
        <f t="shared" si="8"/>
        <v>4</v>
      </c>
      <c r="M89" s="6">
        <f t="shared" si="8"/>
        <v>2</v>
      </c>
      <c r="N89" s="6">
        <f t="shared" si="8"/>
        <v>4</v>
      </c>
    </row>
    <row r="90" spans="1:14">
      <c r="A90" s="6">
        <f t="shared" si="4"/>
        <v>2016</v>
      </c>
      <c r="B90" s="6">
        <f t="shared" si="5"/>
        <v>3</v>
      </c>
      <c r="C90" s="6">
        <f t="shared" si="8"/>
        <v>5</v>
      </c>
      <c r="D90" s="6">
        <f t="shared" si="8"/>
        <v>15</v>
      </c>
      <c r="E90" s="6">
        <f t="shared" si="8"/>
        <v>13</v>
      </c>
      <c r="F90" s="6">
        <f t="shared" si="8"/>
        <v>20</v>
      </c>
      <c r="G90" s="6">
        <f t="shared" si="8"/>
        <v>17</v>
      </c>
      <c r="H90" s="6">
        <f t="shared" si="8"/>
        <v>10</v>
      </c>
      <c r="I90" s="6">
        <f t="shared" si="8"/>
        <v>9</v>
      </c>
      <c r="J90" s="6">
        <f t="shared" si="8"/>
        <v>4</v>
      </c>
      <c r="K90" s="6">
        <f t="shared" si="8"/>
        <v>4</v>
      </c>
      <c r="L90" s="6">
        <f t="shared" si="8"/>
        <v>0</v>
      </c>
      <c r="M90" s="6">
        <f t="shared" si="8"/>
        <v>0</v>
      </c>
      <c r="N90" s="6">
        <f t="shared" si="8"/>
        <v>0</v>
      </c>
    </row>
    <row r="91" spans="1:14">
      <c r="A91" s="6">
        <f t="shared" si="4"/>
        <v>2017</v>
      </c>
      <c r="B91" s="6">
        <f t="shared" si="5"/>
        <v>6</v>
      </c>
      <c r="C91" s="6">
        <f t="shared" si="8"/>
        <v>4</v>
      </c>
      <c r="D91" s="6">
        <f t="shared" si="8"/>
        <v>4</v>
      </c>
      <c r="E91" s="6">
        <f t="shared" si="8"/>
        <v>18</v>
      </c>
      <c r="F91" s="6">
        <f t="shared" si="8"/>
        <v>21</v>
      </c>
      <c r="G91" s="6">
        <f t="shared" si="8"/>
        <v>14</v>
      </c>
      <c r="H91" s="6">
        <f t="shared" si="8"/>
        <v>16</v>
      </c>
      <c r="I91" s="6">
        <f t="shared" si="8"/>
        <v>9</v>
      </c>
      <c r="J91" s="6">
        <f t="shared" si="8"/>
        <v>4</v>
      </c>
      <c r="K91" s="6">
        <f t="shared" si="8"/>
        <v>4</v>
      </c>
      <c r="L91" s="6">
        <f t="shared" si="8"/>
        <v>0</v>
      </c>
      <c r="M91" s="6">
        <f t="shared" si="8"/>
        <v>0</v>
      </c>
      <c r="N91" s="6">
        <f t="shared" si="8"/>
        <v>0</v>
      </c>
    </row>
    <row r="92" spans="1:14">
      <c r="A92" s="6">
        <f t="shared" si="4"/>
        <v>2018</v>
      </c>
      <c r="B92" s="6">
        <f t="shared" si="5"/>
        <v>2</v>
      </c>
      <c r="C92" s="6">
        <f t="shared" si="8"/>
        <v>3</v>
      </c>
      <c r="D92" s="6">
        <f t="shared" si="8"/>
        <v>10</v>
      </c>
      <c r="E92" s="6">
        <f t="shared" si="8"/>
        <v>20</v>
      </c>
      <c r="F92" s="6">
        <f t="shared" si="8"/>
        <v>21</v>
      </c>
      <c r="G92" s="6">
        <f t="shared" si="8"/>
        <v>21</v>
      </c>
      <c r="H92" s="6">
        <f t="shared" si="8"/>
        <v>10</v>
      </c>
      <c r="I92" s="6">
        <f t="shared" si="8"/>
        <v>6</v>
      </c>
      <c r="J92" s="6">
        <f t="shared" si="8"/>
        <v>4</v>
      </c>
      <c r="K92" s="6">
        <f t="shared" si="8"/>
        <v>3</v>
      </c>
      <c r="L92" s="6">
        <f t="shared" si="8"/>
        <v>0</v>
      </c>
      <c r="M92" s="6">
        <f t="shared" si="8"/>
        <v>0</v>
      </c>
      <c r="N92" s="6">
        <f t="shared" si="8"/>
        <v>0</v>
      </c>
    </row>
    <row r="93" spans="1:14">
      <c r="A93" s="6">
        <f t="shared" si="4"/>
        <v>2019</v>
      </c>
      <c r="B93" s="6">
        <f t="shared" si="5"/>
        <v>1</v>
      </c>
      <c r="C93" s="6">
        <f t="shared" si="8"/>
        <v>2</v>
      </c>
      <c r="D93" s="6">
        <f t="shared" si="8"/>
        <v>3</v>
      </c>
      <c r="E93" s="6">
        <f t="shared" si="8"/>
        <v>3</v>
      </c>
      <c r="F93" s="6">
        <f t="shared" si="8"/>
        <v>10</v>
      </c>
      <c r="G93" s="6">
        <f t="shared" si="8"/>
        <v>10</v>
      </c>
      <c r="H93" s="6">
        <f t="shared" si="8"/>
        <v>10</v>
      </c>
      <c r="I93" s="6">
        <f t="shared" si="8"/>
        <v>21</v>
      </c>
      <c r="J93" s="6">
        <f t="shared" si="8"/>
        <v>17</v>
      </c>
      <c r="K93" s="6">
        <f t="shared" si="8"/>
        <v>8</v>
      </c>
      <c r="L93" s="6">
        <f t="shared" si="8"/>
        <v>7</v>
      </c>
      <c r="M93" s="6">
        <f t="shared" si="8"/>
        <v>4</v>
      </c>
      <c r="N93" s="6">
        <f t="shared" si="8"/>
        <v>4</v>
      </c>
    </row>
    <row r="94" spans="1:14">
      <c r="A94" s="6">
        <f t="shared" si="4"/>
        <v>2020</v>
      </c>
      <c r="B94" s="6">
        <f t="shared" si="5"/>
        <v>2</v>
      </c>
      <c r="C94" s="6">
        <f t="shared" si="8"/>
        <v>6</v>
      </c>
      <c r="D94" s="6">
        <f t="shared" si="8"/>
        <v>15</v>
      </c>
      <c r="E94" s="6">
        <f t="shared" si="8"/>
        <v>15</v>
      </c>
      <c r="F94" s="6">
        <f t="shared" si="8"/>
        <v>15</v>
      </c>
      <c r="G94" s="6">
        <f t="shared" si="8"/>
        <v>12</v>
      </c>
      <c r="H94" s="6">
        <f t="shared" si="8"/>
        <v>10</v>
      </c>
      <c r="I94" s="6">
        <f t="shared" si="8"/>
        <v>11</v>
      </c>
      <c r="J94" s="6">
        <f t="shared" si="8"/>
        <v>7</v>
      </c>
      <c r="K94" s="6">
        <f t="shared" si="8"/>
        <v>3</v>
      </c>
      <c r="L94" s="6">
        <f t="shared" si="8"/>
        <v>4</v>
      </c>
      <c r="M94" s="6">
        <f t="shared" si="8"/>
        <v>0</v>
      </c>
      <c r="N94" s="6">
        <f t="shared" si="8"/>
        <v>0</v>
      </c>
    </row>
    <row r="95" spans="1:14">
      <c r="A95" s="6">
        <f t="shared" si="4"/>
        <v>2021</v>
      </c>
      <c r="B95" s="6">
        <f t="shared" si="5"/>
        <v>3</v>
      </c>
      <c r="C95" s="6">
        <f t="shared" si="8"/>
        <v>5</v>
      </c>
      <c r="D95" s="6">
        <f t="shared" si="8"/>
        <v>16</v>
      </c>
      <c r="E95" s="6">
        <f t="shared" si="8"/>
        <v>18</v>
      </c>
      <c r="F95" s="6">
        <f t="shared" si="8"/>
        <v>19</v>
      </c>
      <c r="G95" s="6">
        <f t="shared" si="8"/>
        <v>14</v>
      </c>
      <c r="H95" s="6">
        <f t="shared" si="8"/>
        <v>9</v>
      </c>
      <c r="I95" s="6">
        <f t="shared" si="8"/>
        <v>6</v>
      </c>
      <c r="J95" s="6">
        <f t="shared" si="8"/>
        <v>4</v>
      </c>
      <c r="K95" s="6">
        <f t="shared" si="8"/>
        <v>3</v>
      </c>
      <c r="L95" s="6">
        <f t="shared" si="8"/>
        <v>3</v>
      </c>
      <c r="M95" s="6">
        <f t="shared" si="8"/>
        <v>0</v>
      </c>
      <c r="N95" s="6">
        <f t="shared" si="8"/>
        <v>0</v>
      </c>
    </row>
    <row r="96" spans="1:14">
      <c r="A96" s="6">
        <f t="shared" si="4"/>
        <v>2022</v>
      </c>
      <c r="B96" s="6">
        <f t="shared" si="5"/>
        <v>1</v>
      </c>
      <c r="C96" s="6">
        <f t="shared" si="8"/>
        <v>2</v>
      </c>
      <c r="D96" s="6">
        <f t="shared" si="8"/>
        <v>5</v>
      </c>
      <c r="E96" s="6">
        <f t="shared" si="8"/>
        <v>4</v>
      </c>
      <c r="F96" s="6">
        <f t="shared" si="8"/>
        <v>18</v>
      </c>
      <c r="G96" s="6">
        <f t="shared" si="8"/>
        <v>20</v>
      </c>
      <c r="H96" s="6">
        <f t="shared" si="8"/>
        <v>16</v>
      </c>
      <c r="I96" s="6">
        <f t="shared" si="8"/>
        <v>12</v>
      </c>
      <c r="J96" s="6">
        <f t="shared" si="8"/>
        <v>10</v>
      </c>
      <c r="K96" s="6">
        <f t="shared" si="8"/>
        <v>6</v>
      </c>
      <c r="L96" s="6">
        <f t="shared" si="8"/>
        <v>3</v>
      </c>
      <c r="M96" s="6">
        <f t="shared" si="8"/>
        <v>3</v>
      </c>
      <c r="N96" s="6">
        <f t="shared" si="8"/>
        <v>0</v>
      </c>
    </row>
    <row r="97" spans="1:15">
      <c r="A97" s="6">
        <f t="shared" si="4"/>
        <v>2023</v>
      </c>
      <c r="B97" s="6">
        <f t="shared" si="5"/>
        <v>4</v>
      </c>
      <c r="C97" s="6">
        <f t="shared" si="8"/>
        <v>5</v>
      </c>
      <c r="D97" s="6">
        <f t="shared" si="8"/>
        <v>10</v>
      </c>
      <c r="E97" s="6">
        <f t="shared" si="8"/>
        <v>16</v>
      </c>
      <c r="F97" s="6">
        <f t="shared" si="8"/>
        <v>14</v>
      </c>
      <c r="G97" s="6">
        <f t="shared" si="8"/>
        <v>17</v>
      </c>
      <c r="H97" s="6">
        <f t="shared" si="8"/>
        <v>17</v>
      </c>
      <c r="I97" s="6">
        <f t="shared" si="8"/>
        <v>8</v>
      </c>
      <c r="J97" s="6">
        <f t="shared" si="8"/>
        <v>5</v>
      </c>
      <c r="K97" s="6">
        <f t="shared" si="8"/>
        <v>4</v>
      </c>
      <c r="L97" s="6">
        <f t="shared" si="8"/>
        <v>0</v>
      </c>
      <c r="M97" s="6">
        <f t="shared" si="8"/>
        <v>0</v>
      </c>
    </row>
    <row r="98" spans="1:15">
      <c r="A98" s="6">
        <f t="shared" si="4"/>
        <v>2024</v>
      </c>
      <c r="B98" s="6">
        <f t="shared" si="5"/>
        <v>3</v>
      </c>
      <c r="C98" s="6">
        <f t="shared" si="8"/>
        <v>5</v>
      </c>
      <c r="D98" s="6">
        <f>D46-C46</f>
        <v>10</v>
      </c>
      <c r="E98" s="6">
        <f t="shared" si="8"/>
        <v>7</v>
      </c>
      <c r="F98" s="6">
        <f t="shared" si="8"/>
        <v>10</v>
      </c>
      <c r="G98" s="6">
        <f t="shared" si="8"/>
        <v>17</v>
      </c>
      <c r="H98" s="6">
        <f t="shared" ref="H98:L99" si="9">H46-G46</f>
        <v>16</v>
      </c>
      <c r="I98" s="6">
        <f t="shared" si="9"/>
        <v>10</v>
      </c>
      <c r="J98" s="6">
        <f t="shared" si="9"/>
        <v>9</v>
      </c>
      <c r="K98" s="6">
        <f t="shared" si="9"/>
        <v>6</v>
      </c>
      <c r="L98" s="6">
        <f t="shared" si="9"/>
        <v>4</v>
      </c>
      <c r="M98" s="6">
        <f t="shared" ref="M98" si="10">M46-L46</f>
        <v>3</v>
      </c>
    </row>
    <row r="99" spans="1:15">
      <c r="A99" s="6">
        <f t="shared" si="4"/>
        <v>2025</v>
      </c>
      <c r="B99" s="6">
        <f t="shared" si="5"/>
        <v>2</v>
      </c>
      <c r="C99" s="6">
        <f t="shared" ref="C99" si="11">C47-B47</f>
        <v>6</v>
      </c>
      <c r="D99" s="6">
        <f>D47-C47</f>
        <v>10</v>
      </c>
      <c r="E99" s="6">
        <f t="shared" ref="E99" si="12">E47-D47</f>
        <v>12</v>
      </c>
      <c r="F99" s="6">
        <f t="shared" ref="F99" si="13">F47-E47</f>
        <v>18</v>
      </c>
      <c r="G99" s="6">
        <f t="shared" ref="G99" si="14">G47-F47</f>
        <v>18</v>
      </c>
      <c r="H99" s="6">
        <f t="shared" si="9"/>
        <v>10</v>
      </c>
      <c r="I99" s="6">
        <f t="shared" si="9"/>
        <v>8</v>
      </c>
      <c r="J99" s="6">
        <f t="shared" si="9"/>
        <v>6</v>
      </c>
      <c r="K99" s="6">
        <f t="shared" si="9"/>
        <v>3</v>
      </c>
      <c r="L99" s="6">
        <f t="shared" si="9"/>
        <v>3</v>
      </c>
      <c r="M99" s="6">
        <f t="shared" ref="M99" si="15">M47-L47</f>
        <v>4</v>
      </c>
    </row>
    <row r="101" spans="1:15">
      <c r="A101" s="6" t="s">
        <v>29</v>
      </c>
      <c r="B101" s="17">
        <f>AVERAGE(B94:B98)</f>
        <v>2.6</v>
      </c>
      <c r="C101" s="17">
        <f t="shared" ref="C101:M101" si="16">AVERAGE(C94:C98)</f>
        <v>4.5999999999999996</v>
      </c>
      <c r="D101" s="17">
        <f t="shared" si="16"/>
        <v>11.2</v>
      </c>
      <c r="E101" s="17">
        <f t="shared" si="16"/>
        <v>12</v>
      </c>
      <c r="F101" s="17">
        <f t="shared" si="16"/>
        <v>15.2</v>
      </c>
      <c r="G101" s="17">
        <f t="shared" si="16"/>
        <v>16</v>
      </c>
      <c r="H101" s="17">
        <f t="shared" si="16"/>
        <v>13.6</v>
      </c>
      <c r="I101" s="17">
        <f t="shared" si="16"/>
        <v>9.4</v>
      </c>
      <c r="J101" s="17">
        <f t="shared" si="16"/>
        <v>7</v>
      </c>
      <c r="K101" s="17">
        <f t="shared" si="16"/>
        <v>4.4000000000000004</v>
      </c>
      <c r="L101" s="17">
        <f t="shared" si="16"/>
        <v>2.8</v>
      </c>
      <c r="M101" s="17">
        <f t="shared" si="16"/>
        <v>1.2</v>
      </c>
      <c r="N101" s="17"/>
      <c r="O101" s="17"/>
    </row>
    <row r="102" spans="1:15">
      <c r="A102" s="6" t="s">
        <v>30</v>
      </c>
      <c r="B102" s="17">
        <f>MIN(B94:B98)</f>
        <v>1</v>
      </c>
      <c r="C102" s="17">
        <f t="shared" ref="C102:M102" si="17">MIN(C94:C98)</f>
        <v>2</v>
      </c>
      <c r="D102" s="17">
        <f t="shared" si="17"/>
        <v>5</v>
      </c>
      <c r="E102" s="17">
        <f t="shared" si="17"/>
        <v>4</v>
      </c>
      <c r="F102" s="17">
        <f t="shared" si="17"/>
        <v>10</v>
      </c>
      <c r="G102" s="17">
        <f t="shared" si="17"/>
        <v>12</v>
      </c>
      <c r="H102" s="17">
        <f t="shared" si="17"/>
        <v>9</v>
      </c>
      <c r="I102" s="17">
        <f t="shared" si="17"/>
        <v>6</v>
      </c>
      <c r="J102" s="17">
        <f t="shared" si="17"/>
        <v>4</v>
      </c>
      <c r="K102" s="17">
        <f t="shared" si="17"/>
        <v>3</v>
      </c>
      <c r="L102" s="17">
        <f t="shared" si="17"/>
        <v>0</v>
      </c>
      <c r="M102" s="17">
        <f t="shared" si="17"/>
        <v>0</v>
      </c>
      <c r="N102" s="17"/>
      <c r="O102" s="17"/>
    </row>
    <row r="103" spans="1:15">
      <c r="A103" s="6" t="s">
        <v>31</v>
      </c>
      <c r="B103" s="17">
        <f>MAX(B94:B98)</f>
        <v>4</v>
      </c>
      <c r="C103" s="17">
        <f t="shared" ref="C103:M103" si="18">MAX(C94:C98)</f>
        <v>6</v>
      </c>
      <c r="D103" s="17">
        <f t="shared" si="18"/>
        <v>16</v>
      </c>
      <c r="E103" s="17">
        <f t="shared" si="18"/>
        <v>18</v>
      </c>
      <c r="F103" s="17">
        <f t="shared" si="18"/>
        <v>19</v>
      </c>
      <c r="G103" s="17">
        <f t="shared" si="18"/>
        <v>20</v>
      </c>
      <c r="H103" s="17">
        <f t="shared" si="18"/>
        <v>17</v>
      </c>
      <c r="I103" s="17">
        <f t="shared" si="18"/>
        <v>12</v>
      </c>
      <c r="J103" s="17">
        <f t="shared" si="18"/>
        <v>10</v>
      </c>
      <c r="K103" s="17">
        <f t="shared" si="18"/>
        <v>6</v>
      </c>
      <c r="L103" s="17">
        <f t="shared" si="18"/>
        <v>4</v>
      </c>
      <c r="M103" s="17">
        <f t="shared" si="18"/>
        <v>3</v>
      </c>
      <c r="N103" s="17"/>
      <c r="O103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9DB2-A5D1-40BA-A014-9EBB11363E65}">
  <dimension ref="A1:N98"/>
  <sheetViews>
    <sheetView zoomScale="130" zoomScaleNormal="13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B77" sqref="B54:B77"/>
    </sheetView>
  </sheetViews>
  <sheetFormatPr defaultColWidth="9.140625" defaultRowHeight="11.25"/>
  <cols>
    <col min="1" max="16384" width="9.140625" style="6"/>
  </cols>
  <sheetData>
    <row r="1" spans="1:14">
      <c r="B1" s="7">
        <v>45109</v>
      </c>
      <c r="C1" s="7">
        <f>B1+7</f>
        <v>45116</v>
      </c>
      <c r="D1" s="7">
        <f t="shared" ref="D1:N1" si="0">C1+7</f>
        <v>45123</v>
      </c>
      <c r="E1" s="7">
        <f t="shared" si="0"/>
        <v>45130</v>
      </c>
      <c r="F1" s="7">
        <f t="shared" si="0"/>
        <v>45137</v>
      </c>
      <c r="G1" s="7">
        <f t="shared" si="0"/>
        <v>45144</v>
      </c>
      <c r="H1" s="7">
        <f t="shared" si="0"/>
        <v>45151</v>
      </c>
      <c r="I1" s="7">
        <f t="shared" si="0"/>
        <v>45158</v>
      </c>
      <c r="J1" s="7">
        <f t="shared" si="0"/>
        <v>45165</v>
      </c>
      <c r="K1" s="7">
        <f t="shared" si="0"/>
        <v>45172</v>
      </c>
      <c r="L1" s="7">
        <f t="shared" si="0"/>
        <v>45179</v>
      </c>
      <c r="M1" s="7">
        <f t="shared" si="0"/>
        <v>45186</v>
      </c>
      <c r="N1" s="7">
        <f t="shared" si="0"/>
        <v>45193</v>
      </c>
    </row>
    <row r="2" spans="1:14">
      <c r="A2" s="6">
        <v>1981</v>
      </c>
      <c r="B2" s="24">
        <v>0</v>
      </c>
      <c r="C2" s="24">
        <v>0</v>
      </c>
      <c r="D2" s="24">
        <v>0</v>
      </c>
      <c r="E2" s="24">
        <v>7</v>
      </c>
      <c r="F2" s="24">
        <v>17</v>
      </c>
      <c r="G2" s="24">
        <v>29</v>
      </c>
      <c r="H2" s="24">
        <v>44</v>
      </c>
      <c r="I2" s="24">
        <v>58</v>
      </c>
      <c r="J2" s="24">
        <v>72</v>
      </c>
      <c r="K2" s="24">
        <v>86</v>
      </c>
      <c r="L2" s="24">
        <v>94</v>
      </c>
      <c r="M2" s="24">
        <v>100</v>
      </c>
      <c r="N2" s="24">
        <v>100</v>
      </c>
    </row>
    <row r="3" spans="1:14">
      <c r="A3" s="6">
        <v>1982</v>
      </c>
      <c r="B3" s="24">
        <v>0</v>
      </c>
      <c r="C3" s="24">
        <v>0</v>
      </c>
      <c r="D3" s="24">
        <v>0</v>
      </c>
      <c r="E3" s="24">
        <v>14</v>
      </c>
      <c r="F3" s="24">
        <v>27</v>
      </c>
      <c r="G3" s="24">
        <v>43</v>
      </c>
      <c r="H3" s="24">
        <v>60</v>
      </c>
      <c r="I3" s="24">
        <v>73</v>
      </c>
      <c r="J3" s="24">
        <v>86</v>
      </c>
      <c r="K3" s="24">
        <v>93</v>
      </c>
      <c r="L3" s="24">
        <v>97</v>
      </c>
      <c r="M3" s="24">
        <v>100</v>
      </c>
      <c r="N3" s="24">
        <v>100</v>
      </c>
    </row>
    <row r="4" spans="1:14">
      <c r="A4" s="6">
        <v>1983</v>
      </c>
      <c r="B4" s="24">
        <v>0</v>
      </c>
      <c r="C4" s="24">
        <v>0</v>
      </c>
      <c r="D4" s="24">
        <v>0</v>
      </c>
      <c r="E4" s="24">
        <v>6</v>
      </c>
      <c r="F4" s="24">
        <v>20</v>
      </c>
      <c r="G4" s="24">
        <v>36</v>
      </c>
      <c r="H4" s="24">
        <v>53</v>
      </c>
      <c r="I4" s="24">
        <v>70</v>
      </c>
      <c r="J4" s="24">
        <v>80</v>
      </c>
      <c r="K4" s="24">
        <v>90</v>
      </c>
      <c r="L4" s="24">
        <v>95</v>
      </c>
      <c r="M4" s="24">
        <v>100</v>
      </c>
      <c r="N4" s="24">
        <v>100</v>
      </c>
    </row>
    <row r="5" spans="1:14">
      <c r="A5" s="6">
        <v>1984</v>
      </c>
      <c r="B5" s="24">
        <v>0</v>
      </c>
      <c r="C5" s="24">
        <v>0</v>
      </c>
      <c r="D5" s="24">
        <v>0</v>
      </c>
      <c r="E5" s="24">
        <v>7</v>
      </c>
      <c r="F5" s="24">
        <v>20</v>
      </c>
      <c r="G5" s="24">
        <v>37</v>
      </c>
      <c r="H5" s="24">
        <v>52</v>
      </c>
      <c r="I5" s="24">
        <v>69</v>
      </c>
      <c r="J5" s="24">
        <v>81</v>
      </c>
      <c r="K5" s="24">
        <v>91</v>
      </c>
      <c r="L5" s="24">
        <v>96</v>
      </c>
      <c r="M5" s="24">
        <v>100</v>
      </c>
      <c r="N5" s="24">
        <v>100</v>
      </c>
    </row>
    <row r="6" spans="1:14">
      <c r="A6" s="6">
        <v>1985</v>
      </c>
      <c r="B6" s="24">
        <v>0</v>
      </c>
      <c r="C6" s="24">
        <v>0</v>
      </c>
      <c r="D6" s="24">
        <v>0</v>
      </c>
      <c r="E6" s="24">
        <v>13</v>
      </c>
      <c r="F6" s="24">
        <v>26</v>
      </c>
      <c r="G6" s="24">
        <v>45</v>
      </c>
      <c r="H6" s="24">
        <v>60</v>
      </c>
      <c r="I6" s="24">
        <v>76</v>
      </c>
      <c r="J6" s="24">
        <v>85</v>
      </c>
      <c r="K6" s="24">
        <v>93</v>
      </c>
      <c r="L6" s="24">
        <v>96</v>
      </c>
      <c r="M6" s="24">
        <v>100</v>
      </c>
      <c r="N6" s="24">
        <v>100</v>
      </c>
    </row>
    <row r="7" spans="1:14">
      <c r="A7" s="6">
        <v>1986</v>
      </c>
      <c r="B7" s="24">
        <v>0</v>
      </c>
      <c r="C7" s="24">
        <v>0</v>
      </c>
      <c r="D7" s="24">
        <v>0</v>
      </c>
      <c r="E7" s="24">
        <v>13</v>
      </c>
      <c r="F7" s="24">
        <v>29</v>
      </c>
      <c r="G7" s="24">
        <v>44</v>
      </c>
      <c r="H7" s="24">
        <v>62</v>
      </c>
      <c r="I7" s="24">
        <v>76</v>
      </c>
      <c r="J7" s="24">
        <v>85</v>
      </c>
      <c r="K7" s="24">
        <v>92</v>
      </c>
      <c r="L7" s="24">
        <v>96</v>
      </c>
      <c r="M7" s="24">
        <v>100</v>
      </c>
      <c r="N7" s="24">
        <v>100</v>
      </c>
    </row>
    <row r="8" spans="1:14">
      <c r="A8" s="6">
        <v>1987</v>
      </c>
      <c r="B8" s="24">
        <v>0</v>
      </c>
      <c r="C8" s="24">
        <v>0</v>
      </c>
      <c r="D8" s="24">
        <v>0</v>
      </c>
      <c r="E8" s="24">
        <v>27</v>
      </c>
      <c r="F8" s="24">
        <v>42</v>
      </c>
      <c r="G8" s="24">
        <v>58</v>
      </c>
      <c r="H8" s="24">
        <v>74</v>
      </c>
      <c r="I8" s="24">
        <v>83</v>
      </c>
      <c r="J8" s="24">
        <v>89</v>
      </c>
      <c r="K8" s="24">
        <v>93</v>
      </c>
      <c r="L8" s="24">
        <v>97</v>
      </c>
      <c r="M8" s="24">
        <v>100</v>
      </c>
      <c r="N8" s="24">
        <v>100</v>
      </c>
    </row>
    <row r="9" spans="1:14">
      <c r="A9" s="6">
        <v>1988</v>
      </c>
      <c r="B9" s="24">
        <v>0</v>
      </c>
      <c r="C9" s="24">
        <v>0</v>
      </c>
      <c r="D9" s="24">
        <v>12</v>
      </c>
      <c r="E9" s="24">
        <v>25</v>
      </c>
      <c r="F9" s="24">
        <v>41</v>
      </c>
      <c r="G9" s="24">
        <v>62</v>
      </c>
      <c r="H9" s="24">
        <v>73</v>
      </c>
      <c r="I9" s="24">
        <v>82</v>
      </c>
      <c r="J9" s="24">
        <v>89</v>
      </c>
      <c r="K9" s="24">
        <v>94</v>
      </c>
      <c r="L9" s="24">
        <v>97</v>
      </c>
      <c r="M9" s="24">
        <v>100</v>
      </c>
      <c r="N9" s="24">
        <v>100</v>
      </c>
    </row>
    <row r="10" spans="1:14">
      <c r="A10" s="6">
        <v>1989</v>
      </c>
      <c r="B10" s="24">
        <v>0</v>
      </c>
      <c r="C10" s="24">
        <v>0</v>
      </c>
      <c r="D10" s="24">
        <v>5</v>
      </c>
      <c r="E10" s="24">
        <v>14</v>
      </c>
      <c r="F10" s="24">
        <v>29</v>
      </c>
      <c r="G10" s="24">
        <v>48</v>
      </c>
      <c r="H10" s="24">
        <v>64</v>
      </c>
      <c r="I10" s="24">
        <v>76</v>
      </c>
      <c r="J10" s="24">
        <v>85</v>
      </c>
      <c r="K10" s="24">
        <v>92</v>
      </c>
      <c r="L10" s="24">
        <v>96</v>
      </c>
      <c r="M10" s="24">
        <v>100</v>
      </c>
      <c r="N10" s="24">
        <v>100</v>
      </c>
    </row>
    <row r="11" spans="1:14">
      <c r="A11" s="6">
        <v>1990</v>
      </c>
      <c r="B11" s="24">
        <v>0</v>
      </c>
      <c r="C11" s="24">
        <v>0</v>
      </c>
      <c r="D11" s="24">
        <v>0</v>
      </c>
      <c r="E11" s="24">
        <v>6</v>
      </c>
      <c r="F11" s="24">
        <v>16</v>
      </c>
      <c r="G11" s="24">
        <v>32</v>
      </c>
      <c r="H11" s="24">
        <v>50</v>
      </c>
      <c r="I11" s="24">
        <v>68</v>
      </c>
      <c r="J11" s="24">
        <v>80</v>
      </c>
      <c r="K11" s="24">
        <v>90</v>
      </c>
      <c r="L11" s="24">
        <v>96</v>
      </c>
      <c r="M11" s="24">
        <v>100</v>
      </c>
      <c r="N11" s="24">
        <v>100</v>
      </c>
    </row>
    <row r="12" spans="1:14">
      <c r="A12" s="6">
        <v>1991</v>
      </c>
      <c r="B12" s="24">
        <v>0</v>
      </c>
      <c r="C12" s="24">
        <v>0</v>
      </c>
      <c r="D12" s="24">
        <v>0</v>
      </c>
      <c r="E12" s="24">
        <v>25</v>
      </c>
      <c r="F12" s="24">
        <v>39</v>
      </c>
      <c r="G12" s="24">
        <v>53</v>
      </c>
      <c r="H12" s="24">
        <v>68</v>
      </c>
      <c r="I12" s="24">
        <v>80</v>
      </c>
      <c r="J12" s="24">
        <v>86</v>
      </c>
      <c r="K12" s="24">
        <v>92</v>
      </c>
      <c r="L12" s="24">
        <v>100</v>
      </c>
      <c r="M12" s="24">
        <v>100</v>
      </c>
      <c r="N12" s="24">
        <v>100</v>
      </c>
    </row>
    <row r="13" spans="1:14">
      <c r="A13" s="6">
        <v>1992</v>
      </c>
      <c r="B13" s="24">
        <v>0</v>
      </c>
      <c r="C13" s="24">
        <v>0</v>
      </c>
      <c r="D13" s="24">
        <v>0</v>
      </c>
      <c r="E13" s="24">
        <v>8</v>
      </c>
      <c r="F13" s="24">
        <v>16</v>
      </c>
      <c r="G13" s="24">
        <v>32</v>
      </c>
      <c r="H13" s="24">
        <v>56</v>
      </c>
      <c r="I13" s="24">
        <v>72</v>
      </c>
      <c r="J13" s="24">
        <v>85</v>
      </c>
      <c r="K13" s="24">
        <v>93</v>
      </c>
      <c r="L13" s="24">
        <v>100</v>
      </c>
      <c r="M13" s="24">
        <v>100</v>
      </c>
      <c r="N13" s="24">
        <v>100</v>
      </c>
    </row>
    <row r="14" spans="1:14">
      <c r="A14" s="6">
        <v>1993</v>
      </c>
      <c r="B14" s="24">
        <v>0</v>
      </c>
      <c r="C14" s="24">
        <v>0</v>
      </c>
      <c r="D14" s="24">
        <v>2</v>
      </c>
      <c r="E14" s="24">
        <v>7</v>
      </c>
      <c r="F14" s="24">
        <v>18</v>
      </c>
      <c r="G14" s="24">
        <v>35</v>
      </c>
      <c r="H14" s="24">
        <v>53</v>
      </c>
      <c r="I14" s="24">
        <v>68</v>
      </c>
      <c r="J14" s="24">
        <v>85</v>
      </c>
      <c r="K14" s="24">
        <v>93</v>
      </c>
      <c r="L14" s="24">
        <v>97</v>
      </c>
      <c r="M14" s="24">
        <v>100</v>
      </c>
      <c r="N14" s="24">
        <v>100</v>
      </c>
    </row>
    <row r="15" spans="1:14">
      <c r="A15" s="6">
        <v>1994</v>
      </c>
      <c r="B15" s="24">
        <v>0</v>
      </c>
      <c r="C15" s="24">
        <v>0</v>
      </c>
      <c r="D15" s="24">
        <v>0</v>
      </c>
      <c r="E15" s="24">
        <v>25</v>
      </c>
      <c r="F15" s="24">
        <v>44</v>
      </c>
      <c r="G15" s="24">
        <v>67</v>
      </c>
      <c r="H15" s="24">
        <v>79</v>
      </c>
      <c r="I15" s="24">
        <v>88</v>
      </c>
      <c r="J15" s="24">
        <v>94</v>
      </c>
      <c r="K15" s="24">
        <v>100</v>
      </c>
      <c r="L15" s="24">
        <v>100</v>
      </c>
      <c r="M15" s="24">
        <v>100</v>
      </c>
      <c r="N15" s="24">
        <v>100</v>
      </c>
    </row>
    <row r="16" spans="1:14">
      <c r="A16" s="6">
        <v>1995</v>
      </c>
      <c r="B16" s="24">
        <v>0</v>
      </c>
      <c r="C16" s="24">
        <v>0</v>
      </c>
      <c r="D16" s="24">
        <v>0</v>
      </c>
      <c r="E16" s="24">
        <v>0</v>
      </c>
      <c r="F16" s="24">
        <v>0</v>
      </c>
      <c r="G16" s="24">
        <v>35</v>
      </c>
      <c r="H16" s="24">
        <v>54</v>
      </c>
      <c r="I16" s="24">
        <v>74</v>
      </c>
      <c r="J16" s="24">
        <v>87</v>
      </c>
      <c r="K16" s="24">
        <v>95</v>
      </c>
      <c r="L16" s="24">
        <v>100</v>
      </c>
      <c r="M16" s="24">
        <v>100</v>
      </c>
      <c r="N16" s="24">
        <v>100</v>
      </c>
    </row>
    <row r="17" spans="1:14">
      <c r="A17" s="6">
        <v>1996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63</v>
      </c>
      <c r="J17" s="24">
        <v>80</v>
      </c>
      <c r="K17" s="24">
        <v>91</v>
      </c>
      <c r="L17" s="24">
        <v>100</v>
      </c>
      <c r="M17" s="24">
        <v>100</v>
      </c>
      <c r="N17" s="24">
        <v>100</v>
      </c>
    </row>
    <row r="18" spans="1:14">
      <c r="A18" s="6">
        <v>1997</v>
      </c>
      <c r="B18" s="24">
        <v>0</v>
      </c>
      <c r="C18" s="24">
        <v>0</v>
      </c>
      <c r="D18" s="24">
        <v>0</v>
      </c>
      <c r="E18" s="24">
        <v>0</v>
      </c>
      <c r="F18" s="24">
        <v>18</v>
      </c>
      <c r="G18" s="24">
        <v>38</v>
      </c>
      <c r="H18" s="24">
        <v>62</v>
      </c>
      <c r="I18" s="24">
        <v>79</v>
      </c>
      <c r="J18" s="24">
        <v>90</v>
      </c>
      <c r="K18" s="24">
        <v>96</v>
      </c>
      <c r="L18" s="24">
        <v>100</v>
      </c>
      <c r="M18" s="24">
        <v>100</v>
      </c>
      <c r="N18" s="24">
        <v>100</v>
      </c>
    </row>
    <row r="19" spans="1:14">
      <c r="A19" s="6">
        <v>1998</v>
      </c>
      <c r="B19" s="24">
        <v>0</v>
      </c>
      <c r="C19" s="24">
        <v>0</v>
      </c>
      <c r="D19" s="24">
        <v>5</v>
      </c>
      <c r="E19" s="24">
        <v>16</v>
      </c>
      <c r="F19" s="24">
        <v>30</v>
      </c>
      <c r="G19" s="24">
        <v>48</v>
      </c>
      <c r="H19" s="24">
        <v>68</v>
      </c>
      <c r="I19" s="24">
        <v>81</v>
      </c>
      <c r="J19" s="24">
        <v>89</v>
      </c>
      <c r="K19" s="24">
        <v>94</v>
      </c>
      <c r="L19" s="24">
        <v>98</v>
      </c>
      <c r="M19" s="24">
        <v>100</v>
      </c>
      <c r="N19" s="24">
        <v>100</v>
      </c>
    </row>
    <row r="20" spans="1:14">
      <c r="A20" s="6">
        <v>1999</v>
      </c>
      <c r="B20" s="24">
        <v>0</v>
      </c>
      <c r="C20" s="24">
        <v>5</v>
      </c>
      <c r="D20" s="24">
        <v>12</v>
      </c>
      <c r="E20" s="24">
        <v>27</v>
      </c>
      <c r="F20" s="24">
        <v>46</v>
      </c>
      <c r="G20" s="24">
        <v>65</v>
      </c>
      <c r="H20" s="24">
        <v>80</v>
      </c>
      <c r="I20" s="24">
        <v>90</v>
      </c>
      <c r="J20" s="24">
        <v>94</v>
      </c>
      <c r="K20" s="24">
        <v>100</v>
      </c>
      <c r="L20" s="24">
        <v>100</v>
      </c>
      <c r="M20" s="24">
        <v>100</v>
      </c>
      <c r="N20" s="24">
        <v>100</v>
      </c>
    </row>
    <row r="21" spans="1:14">
      <c r="A21" s="6">
        <v>2000</v>
      </c>
      <c r="B21" s="24">
        <v>0</v>
      </c>
      <c r="C21" s="24">
        <v>5</v>
      </c>
      <c r="D21" s="24">
        <v>15</v>
      </c>
      <c r="E21" s="24">
        <v>30</v>
      </c>
      <c r="F21" s="24">
        <v>51</v>
      </c>
      <c r="G21" s="24">
        <v>69</v>
      </c>
      <c r="H21" s="24">
        <v>82</v>
      </c>
      <c r="I21" s="24">
        <v>91</v>
      </c>
      <c r="J21" s="24">
        <v>95</v>
      </c>
      <c r="K21" s="24">
        <v>100</v>
      </c>
      <c r="L21" s="24">
        <v>100</v>
      </c>
      <c r="M21" s="24">
        <v>100</v>
      </c>
      <c r="N21" s="24">
        <v>100</v>
      </c>
    </row>
    <row r="22" spans="1:14">
      <c r="A22" s="6">
        <v>2001</v>
      </c>
      <c r="B22" s="24">
        <v>0</v>
      </c>
      <c r="C22" s="24">
        <v>0</v>
      </c>
      <c r="D22" s="24">
        <v>9</v>
      </c>
      <c r="E22" s="24">
        <v>21</v>
      </c>
      <c r="F22" s="24">
        <v>38</v>
      </c>
      <c r="G22" s="24">
        <v>57</v>
      </c>
      <c r="H22" s="24">
        <v>74</v>
      </c>
      <c r="I22" s="24">
        <v>87</v>
      </c>
      <c r="J22" s="24">
        <v>94</v>
      </c>
      <c r="K22" s="24">
        <v>98</v>
      </c>
      <c r="L22" s="24">
        <v>100</v>
      </c>
      <c r="M22" s="24">
        <v>100</v>
      </c>
      <c r="N22" s="24">
        <v>100</v>
      </c>
    </row>
    <row r="23" spans="1:14">
      <c r="A23" s="6">
        <v>2002</v>
      </c>
      <c r="B23" s="24">
        <v>0</v>
      </c>
      <c r="C23" s="24">
        <v>0</v>
      </c>
      <c r="D23" s="24">
        <v>6</v>
      </c>
      <c r="E23" s="24">
        <v>16</v>
      </c>
      <c r="F23" s="24">
        <v>34</v>
      </c>
      <c r="G23" s="24">
        <v>53</v>
      </c>
      <c r="H23" s="24">
        <v>71</v>
      </c>
      <c r="I23" s="24">
        <v>85</v>
      </c>
      <c r="J23" s="24">
        <v>93</v>
      </c>
      <c r="K23" s="24">
        <v>97</v>
      </c>
      <c r="L23" s="24">
        <v>100</v>
      </c>
      <c r="M23" s="24">
        <v>100</v>
      </c>
      <c r="N23" s="24">
        <v>100</v>
      </c>
    </row>
    <row r="24" spans="1:14">
      <c r="A24" s="6">
        <v>2003</v>
      </c>
      <c r="B24" s="24">
        <v>0</v>
      </c>
      <c r="C24" s="24">
        <v>0</v>
      </c>
      <c r="D24" s="24">
        <v>3</v>
      </c>
      <c r="E24" s="24">
        <v>10</v>
      </c>
      <c r="F24" s="24">
        <v>21</v>
      </c>
      <c r="G24" s="24">
        <v>40</v>
      </c>
      <c r="H24" s="24">
        <v>62</v>
      </c>
      <c r="I24" s="24">
        <v>79</v>
      </c>
      <c r="J24" s="24">
        <v>91</v>
      </c>
      <c r="K24" s="24">
        <v>96</v>
      </c>
      <c r="L24" s="24">
        <v>100</v>
      </c>
      <c r="M24" s="24">
        <v>100</v>
      </c>
      <c r="N24" s="24">
        <v>100</v>
      </c>
    </row>
    <row r="25" spans="1:14">
      <c r="A25" s="6">
        <v>2004</v>
      </c>
      <c r="B25" s="24">
        <v>0</v>
      </c>
      <c r="C25" s="24">
        <v>0</v>
      </c>
      <c r="D25" s="24">
        <v>6</v>
      </c>
      <c r="E25" s="24">
        <v>16</v>
      </c>
      <c r="F25" s="24">
        <v>32</v>
      </c>
      <c r="G25" s="24">
        <v>49</v>
      </c>
      <c r="H25" s="24">
        <v>69</v>
      </c>
      <c r="I25" s="24">
        <v>81</v>
      </c>
      <c r="J25" s="24">
        <v>91</v>
      </c>
      <c r="K25" s="24">
        <v>95</v>
      </c>
      <c r="L25" s="24">
        <v>100</v>
      </c>
      <c r="M25" s="24">
        <v>100</v>
      </c>
      <c r="N25" s="24">
        <v>100</v>
      </c>
    </row>
    <row r="26" spans="1:14">
      <c r="A26" s="6">
        <v>2005</v>
      </c>
      <c r="B26" s="24">
        <v>0</v>
      </c>
      <c r="C26" s="24">
        <v>6</v>
      </c>
      <c r="D26" s="24">
        <v>16</v>
      </c>
      <c r="E26" s="24">
        <v>36</v>
      </c>
      <c r="F26" s="24">
        <v>55</v>
      </c>
      <c r="G26" s="24">
        <v>76</v>
      </c>
      <c r="H26" s="24">
        <v>89</v>
      </c>
      <c r="I26" s="24">
        <v>94</v>
      </c>
      <c r="J26" s="24">
        <v>97</v>
      </c>
      <c r="K26" s="24">
        <v>100</v>
      </c>
      <c r="L26" s="24">
        <v>100</v>
      </c>
      <c r="M26" s="24">
        <v>100</v>
      </c>
      <c r="N26" s="24">
        <v>100</v>
      </c>
    </row>
    <row r="27" spans="1:14">
      <c r="A27" s="6">
        <v>2006</v>
      </c>
      <c r="B27" s="24">
        <v>0</v>
      </c>
      <c r="C27" s="24">
        <v>7</v>
      </c>
      <c r="D27" s="24">
        <v>16</v>
      </c>
      <c r="E27" s="24">
        <v>32</v>
      </c>
      <c r="F27" s="24">
        <v>53</v>
      </c>
      <c r="G27" s="24">
        <v>72</v>
      </c>
      <c r="H27" s="24">
        <v>85</v>
      </c>
      <c r="I27" s="24">
        <v>93</v>
      </c>
      <c r="J27" s="24">
        <v>96</v>
      </c>
      <c r="K27" s="24">
        <v>100</v>
      </c>
      <c r="L27" s="24">
        <v>100</v>
      </c>
      <c r="M27" s="24">
        <v>100</v>
      </c>
      <c r="N27" s="24">
        <v>100</v>
      </c>
    </row>
    <row r="28" spans="1:14">
      <c r="A28" s="6">
        <v>2007</v>
      </c>
      <c r="B28" s="24">
        <v>0</v>
      </c>
      <c r="C28" s="24">
        <v>0</v>
      </c>
      <c r="D28" s="24">
        <v>14</v>
      </c>
      <c r="E28" s="24">
        <v>30</v>
      </c>
      <c r="F28" s="24">
        <v>51</v>
      </c>
      <c r="G28" s="24">
        <v>69</v>
      </c>
      <c r="H28" s="24">
        <v>84</v>
      </c>
      <c r="I28" s="24">
        <v>92</v>
      </c>
      <c r="J28" s="24">
        <v>96</v>
      </c>
      <c r="K28" s="24">
        <v>100</v>
      </c>
      <c r="L28" s="24">
        <v>100</v>
      </c>
      <c r="M28" s="24">
        <v>100</v>
      </c>
      <c r="N28" s="24">
        <v>100</v>
      </c>
    </row>
    <row r="29" spans="1:14">
      <c r="A29" s="6">
        <v>2008</v>
      </c>
      <c r="B29" s="24">
        <v>0</v>
      </c>
      <c r="C29" s="24">
        <v>0</v>
      </c>
      <c r="D29" s="24">
        <v>0</v>
      </c>
      <c r="E29" s="24">
        <v>0</v>
      </c>
      <c r="F29" s="24">
        <v>21</v>
      </c>
      <c r="G29" s="24">
        <v>37</v>
      </c>
      <c r="H29" s="24">
        <v>60</v>
      </c>
      <c r="I29" s="24">
        <v>75</v>
      </c>
      <c r="J29" s="24">
        <v>88</v>
      </c>
      <c r="K29" s="24">
        <v>94</v>
      </c>
      <c r="L29" s="24">
        <v>97</v>
      </c>
      <c r="M29" s="24">
        <v>100</v>
      </c>
      <c r="N29" s="24">
        <v>100</v>
      </c>
    </row>
    <row r="30" spans="1:14">
      <c r="A30" s="6">
        <v>2009</v>
      </c>
      <c r="B30" s="24">
        <v>0</v>
      </c>
      <c r="C30" s="24">
        <v>0</v>
      </c>
      <c r="D30" s="24">
        <v>0</v>
      </c>
      <c r="E30" s="24">
        <v>0</v>
      </c>
      <c r="F30" s="24">
        <v>20</v>
      </c>
      <c r="G30" s="24">
        <v>36</v>
      </c>
      <c r="H30" s="24">
        <v>55</v>
      </c>
      <c r="I30" s="24">
        <v>72</v>
      </c>
      <c r="J30" s="24">
        <v>85</v>
      </c>
      <c r="K30" s="24">
        <v>93</v>
      </c>
      <c r="L30" s="24">
        <v>97</v>
      </c>
      <c r="M30" s="24">
        <v>100</v>
      </c>
      <c r="N30" s="24">
        <v>100</v>
      </c>
    </row>
    <row r="31" spans="1:14">
      <c r="A31" s="6">
        <v>2010</v>
      </c>
      <c r="B31" s="24">
        <v>0</v>
      </c>
      <c r="C31" s="24">
        <v>8</v>
      </c>
      <c r="D31" s="24">
        <v>18</v>
      </c>
      <c r="E31" s="24">
        <v>35</v>
      </c>
      <c r="F31" s="24">
        <v>53</v>
      </c>
      <c r="G31" s="24">
        <v>71</v>
      </c>
      <c r="H31" s="24">
        <v>84</v>
      </c>
      <c r="I31" s="24">
        <v>91</v>
      </c>
      <c r="J31" s="24">
        <v>96</v>
      </c>
      <c r="K31" s="24">
        <v>100</v>
      </c>
      <c r="L31" s="24">
        <v>100</v>
      </c>
      <c r="M31" s="24">
        <v>100</v>
      </c>
      <c r="N31" s="24">
        <v>100</v>
      </c>
    </row>
    <row r="32" spans="1:14">
      <c r="A32" s="6">
        <v>2011</v>
      </c>
      <c r="B32" s="24">
        <v>0</v>
      </c>
      <c r="C32" s="24">
        <v>0</v>
      </c>
      <c r="D32" s="24">
        <v>0</v>
      </c>
      <c r="E32" s="24">
        <v>16</v>
      </c>
      <c r="F32" s="24">
        <v>34</v>
      </c>
      <c r="G32" s="24">
        <v>51</v>
      </c>
      <c r="H32" s="24">
        <v>70</v>
      </c>
      <c r="I32" s="24">
        <v>83</v>
      </c>
      <c r="J32" s="24">
        <v>93</v>
      </c>
      <c r="K32" s="24">
        <v>97</v>
      </c>
      <c r="L32" s="24">
        <v>100</v>
      </c>
      <c r="M32" s="24">
        <v>100</v>
      </c>
      <c r="N32" s="24">
        <v>100</v>
      </c>
    </row>
    <row r="33" spans="1:14">
      <c r="A33" s="6">
        <v>2012</v>
      </c>
      <c r="B33" s="24">
        <v>0</v>
      </c>
      <c r="C33" s="24">
        <v>0</v>
      </c>
      <c r="D33" s="24">
        <v>16</v>
      </c>
      <c r="E33" s="24">
        <v>36</v>
      </c>
      <c r="F33" s="24">
        <v>55</v>
      </c>
      <c r="G33" s="24">
        <v>71</v>
      </c>
      <c r="H33" s="24">
        <v>83</v>
      </c>
      <c r="I33" s="24">
        <v>91</v>
      </c>
      <c r="J33" s="24">
        <v>96</v>
      </c>
      <c r="K33" s="24">
        <v>100</v>
      </c>
      <c r="L33" s="24">
        <v>100</v>
      </c>
      <c r="M33" s="24">
        <v>100</v>
      </c>
      <c r="N33" s="24">
        <v>100</v>
      </c>
    </row>
    <row r="34" spans="1:14">
      <c r="A34" s="6">
        <v>2013</v>
      </c>
      <c r="B34" s="24">
        <v>0</v>
      </c>
      <c r="C34" s="24">
        <v>0</v>
      </c>
      <c r="D34" s="24">
        <v>0</v>
      </c>
      <c r="E34" s="24">
        <v>8</v>
      </c>
      <c r="F34" s="24">
        <v>20</v>
      </c>
      <c r="G34" s="24">
        <v>39</v>
      </c>
      <c r="H34" s="24">
        <v>58</v>
      </c>
      <c r="I34" s="24">
        <v>72</v>
      </c>
      <c r="J34" s="24">
        <v>84</v>
      </c>
      <c r="K34" s="24">
        <v>92</v>
      </c>
      <c r="L34" s="24">
        <v>97</v>
      </c>
      <c r="M34" s="24">
        <v>100</v>
      </c>
      <c r="N34" s="24">
        <v>100</v>
      </c>
    </row>
    <row r="35" spans="1:14">
      <c r="A35" s="6">
        <v>2014</v>
      </c>
      <c r="B35" s="24">
        <v>0</v>
      </c>
      <c r="C35" s="24">
        <v>0</v>
      </c>
      <c r="D35" s="24">
        <v>0</v>
      </c>
      <c r="E35" s="24">
        <v>19</v>
      </c>
      <c r="F35" s="24">
        <v>38</v>
      </c>
      <c r="G35" s="24">
        <v>57</v>
      </c>
      <c r="H35" s="24">
        <v>72</v>
      </c>
      <c r="I35" s="24">
        <v>83</v>
      </c>
      <c r="J35" s="24">
        <v>90</v>
      </c>
      <c r="K35" s="24">
        <v>95</v>
      </c>
      <c r="L35" s="24">
        <v>100</v>
      </c>
      <c r="M35" s="24">
        <v>100</v>
      </c>
      <c r="N35" s="24">
        <v>100</v>
      </c>
    </row>
    <row r="36" spans="1:14">
      <c r="A36" s="6">
        <v>2015</v>
      </c>
      <c r="B36" s="24">
        <v>0</v>
      </c>
      <c r="C36" s="24">
        <v>0</v>
      </c>
      <c r="D36" s="24">
        <v>6</v>
      </c>
      <c r="E36" s="24">
        <v>17</v>
      </c>
      <c r="F36" s="24">
        <v>34</v>
      </c>
      <c r="G36" s="24">
        <v>54</v>
      </c>
      <c r="H36" s="24">
        <v>69</v>
      </c>
      <c r="I36" s="24">
        <v>79</v>
      </c>
      <c r="J36" s="24">
        <v>87</v>
      </c>
      <c r="K36" s="24">
        <v>93</v>
      </c>
      <c r="L36" s="24">
        <v>96</v>
      </c>
      <c r="M36" s="24">
        <v>100</v>
      </c>
      <c r="N36" s="24">
        <v>100</v>
      </c>
    </row>
    <row r="37" spans="1:14">
      <c r="A37" s="6">
        <v>2016</v>
      </c>
      <c r="B37" s="24">
        <v>0</v>
      </c>
      <c r="C37" s="24">
        <v>7</v>
      </c>
      <c r="D37" s="24">
        <v>18</v>
      </c>
      <c r="E37" s="24">
        <v>35</v>
      </c>
      <c r="F37" s="24">
        <v>54</v>
      </c>
      <c r="G37" s="24">
        <v>69</v>
      </c>
      <c r="H37" s="24">
        <v>80</v>
      </c>
      <c r="I37" s="24">
        <v>89</v>
      </c>
      <c r="J37" s="24">
        <v>94</v>
      </c>
      <c r="K37" s="24">
        <v>97</v>
      </c>
      <c r="L37" s="24">
        <v>100</v>
      </c>
      <c r="M37" s="24">
        <v>100</v>
      </c>
      <c r="N37" s="24">
        <v>100</v>
      </c>
    </row>
    <row r="38" spans="1:14">
      <c r="A38" s="6">
        <v>2017</v>
      </c>
      <c r="B38" s="24">
        <v>0</v>
      </c>
      <c r="C38" s="24">
        <v>7</v>
      </c>
      <c r="D38" s="24">
        <v>16</v>
      </c>
      <c r="E38" s="24">
        <v>29</v>
      </c>
      <c r="F38" s="24">
        <v>48</v>
      </c>
      <c r="G38" s="24">
        <v>65</v>
      </c>
      <c r="H38" s="24">
        <v>79</v>
      </c>
      <c r="I38" s="24">
        <v>87</v>
      </c>
      <c r="J38" s="24">
        <v>93</v>
      </c>
      <c r="K38" s="24">
        <v>97</v>
      </c>
      <c r="L38" s="24">
        <v>100</v>
      </c>
      <c r="M38" s="24">
        <v>100</v>
      </c>
      <c r="N38" s="24">
        <v>100</v>
      </c>
    </row>
    <row r="39" spans="1:14">
      <c r="A39" s="6">
        <v>2018</v>
      </c>
      <c r="B39" s="24">
        <v>0</v>
      </c>
      <c r="C39" s="24">
        <v>11</v>
      </c>
      <c r="D39" s="24">
        <v>26</v>
      </c>
      <c r="E39" s="24">
        <v>44</v>
      </c>
      <c r="F39" s="24">
        <v>60</v>
      </c>
      <c r="G39" s="24">
        <v>75</v>
      </c>
      <c r="H39" s="24">
        <v>84</v>
      </c>
      <c r="I39" s="24">
        <v>91</v>
      </c>
      <c r="J39" s="24">
        <v>95</v>
      </c>
      <c r="K39" s="24">
        <v>100</v>
      </c>
      <c r="L39" s="24">
        <v>100</v>
      </c>
      <c r="M39" s="24">
        <v>100</v>
      </c>
      <c r="N39" s="24">
        <v>100</v>
      </c>
    </row>
    <row r="40" spans="1:14">
      <c r="A40" s="6">
        <v>2019</v>
      </c>
      <c r="B40" s="24">
        <v>0</v>
      </c>
      <c r="C40" s="24">
        <v>0</v>
      </c>
      <c r="D40" s="24">
        <v>0</v>
      </c>
      <c r="E40" s="24">
        <v>7</v>
      </c>
      <c r="F40" s="24">
        <v>21</v>
      </c>
      <c r="G40" s="24">
        <v>37</v>
      </c>
      <c r="H40" s="24">
        <v>54</v>
      </c>
      <c r="I40" s="24">
        <v>68</v>
      </c>
      <c r="J40" s="24">
        <v>79</v>
      </c>
      <c r="K40" s="24">
        <v>86</v>
      </c>
      <c r="L40" s="24">
        <v>92</v>
      </c>
      <c r="M40" s="24">
        <v>95</v>
      </c>
      <c r="N40" s="24">
        <v>100</v>
      </c>
    </row>
    <row r="41" spans="1:14">
      <c r="A41" s="6">
        <v>2020</v>
      </c>
      <c r="B41" s="24">
        <v>0</v>
      </c>
      <c r="C41" s="24">
        <v>2</v>
      </c>
      <c r="D41" s="24">
        <v>11</v>
      </c>
      <c r="E41" s="24">
        <v>25</v>
      </c>
      <c r="F41" s="24">
        <v>43</v>
      </c>
      <c r="G41" s="24">
        <v>59</v>
      </c>
      <c r="H41" s="24">
        <v>75</v>
      </c>
      <c r="I41" s="24">
        <v>84</v>
      </c>
      <c r="J41" s="24">
        <v>92</v>
      </c>
      <c r="K41" s="24">
        <v>95</v>
      </c>
      <c r="L41" s="24">
        <v>100</v>
      </c>
      <c r="M41" s="24">
        <v>100</v>
      </c>
      <c r="N41" s="24">
        <v>100</v>
      </c>
    </row>
    <row r="42" spans="1:14">
      <c r="A42" s="6">
        <v>2021</v>
      </c>
      <c r="B42" s="24">
        <v>3</v>
      </c>
      <c r="C42" s="24">
        <v>10</v>
      </c>
      <c r="D42" s="24">
        <v>23</v>
      </c>
      <c r="E42" s="24">
        <v>42</v>
      </c>
      <c r="F42" s="24">
        <v>58</v>
      </c>
      <c r="G42" s="24">
        <v>72</v>
      </c>
      <c r="H42" s="24">
        <v>81</v>
      </c>
      <c r="I42" s="24">
        <v>88</v>
      </c>
      <c r="J42" s="24">
        <v>93</v>
      </c>
      <c r="K42" s="24">
        <v>96</v>
      </c>
      <c r="L42" s="24">
        <v>100</v>
      </c>
      <c r="M42" s="24">
        <v>100</v>
      </c>
      <c r="N42" s="24">
        <v>100</v>
      </c>
    </row>
    <row r="43" spans="1:14">
      <c r="A43" s="6">
        <v>2022</v>
      </c>
      <c r="B43" s="24">
        <v>3</v>
      </c>
      <c r="C43" s="24">
        <v>6</v>
      </c>
      <c r="D43" s="24">
        <v>14</v>
      </c>
      <c r="E43" s="24">
        <v>26</v>
      </c>
      <c r="F43" s="24">
        <v>44</v>
      </c>
      <c r="G43" s="24">
        <v>61</v>
      </c>
      <c r="H43" s="24">
        <v>74</v>
      </c>
      <c r="I43" s="24">
        <v>84</v>
      </c>
      <c r="J43" s="24">
        <v>91</v>
      </c>
      <c r="K43" s="24">
        <v>94</v>
      </c>
      <c r="L43" s="24">
        <v>97</v>
      </c>
      <c r="M43" s="24">
        <v>100</v>
      </c>
      <c r="N43" s="24">
        <v>100</v>
      </c>
    </row>
    <row r="44" spans="1:14">
      <c r="A44" s="6">
        <v>2023</v>
      </c>
      <c r="B44" s="24">
        <v>4</v>
      </c>
      <c r="C44" s="24">
        <v>10</v>
      </c>
      <c r="D44" s="24">
        <v>20</v>
      </c>
      <c r="E44" s="24">
        <v>35</v>
      </c>
      <c r="F44" s="24">
        <v>50</v>
      </c>
      <c r="G44" s="24">
        <v>66</v>
      </c>
      <c r="H44" s="24">
        <v>78</v>
      </c>
      <c r="I44" s="24">
        <v>86</v>
      </c>
      <c r="J44" s="24">
        <v>91</v>
      </c>
      <c r="K44" s="24">
        <v>95</v>
      </c>
      <c r="L44" s="24">
        <v>100</v>
      </c>
      <c r="M44" s="24">
        <v>100</v>
      </c>
      <c r="N44" s="24">
        <v>100</v>
      </c>
    </row>
    <row r="45" spans="1:14">
      <c r="A45" s="6">
        <v>2024</v>
      </c>
      <c r="B45" s="24">
        <v>3</v>
      </c>
      <c r="C45" s="24">
        <v>9</v>
      </c>
      <c r="D45" s="24">
        <v>18</v>
      </c>
      <c r="E45" s="24">
        <v>29</v>
      </c>
      <c r="F45" s="24">
        <v>44</v>
      </c>
      <c r="G45" s="24">
        <v>59</v>
      </c>
      <c r="H45" s="24">
        <v>72</v>
      </c>
      <c r="I45" s="24">
        <v>81</v>
      </c>
      <c r="J45" s="24">
        <v>89</v>
      </c>
      <c r="K45" s="24">
        <v>94</v>
      </c>
      <c r="L45" s="24">
        <v>97</v>
      </c>
      <c r="M45" s="24">
        <v>100</v>
      </c>
      <c r="N45" s="24">
        <v>100</v>
      </c>
    </row>
    <row r="46" spans="1:14">
      <c r="A46" s="6">
        <v>2025</v>
      </c>
      <c r="B46" s="24">
        <v>3</v>
      </c>
      <c r="C46" s="24">
        <v>8</v>
      </c>
      <c r="D46" s="24">
        <v>15</v>
      </c>
      <c r="E46" s="24">
        <v>26</v>
      </c>
      <c r="F46" s="24"/>
      <c r="G46" s="24"/>
      <c r="H46" s="24"/>
      <c r="I46" s="24"/>
      <c r="J46" s="24"/>
      <c r="K46" s="24"/>
      <c r="L46" s="24"/>
      <c r="M46" s="24"/>
      <c r="N46" s="24"/>
    </row>
    <row r="47" spans="1:14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9" spans="1:14">
      <c r="A49" s="6" t="s">
        <v>33</v>
      </c>
      <c r="B49" s="24">
        <f>AVERAGE(B41:B45)</f>
        <v>2.6</v>
      </c>
      <c r="C49" s="24">
        <f t="shared" ref="C49:N49" si="1">AVERAGE(C41:C45)</f>
        <v>7.4</v>
      </c>
      <c r="D49" s="24">
        <f t="shared" si="1"/>
        <v>17.2</v>
      </c>
      <c r="E49" s="24">
        <f t="shared" si="1"/>
        <v>31.4</v>
      </c>
      <c r="F49" s="24">
        <f t="shared" si="1"/>
        <v>47.8</v>
      </c>
      <c r="G49" s="24">
        <f t="shared" si="1"/>
        <v>63.4</v>
      </c>
      <c r="H49" s="24">
        <f t="shared" si="1"/>
        <v>76</v>
      </c>
      <c r="I49" s="24">
        <f t="shared" si="1"/>
        <v>84.6</v>
      </c>
      <c r="J49" s="24">
        <f t="shared" si="1"/>
        <v>91.2</v>
      </c>
      <c r="K49" s="24">
        <f t="shared" si="1"/>
        <v>94.8</v>
      </c>
      <c r="L49" s="24">
        <f t="shared" si="1"/>
        <v>98.8</v>
      </c>
      <c r="M49" s="24">
        <f t="shared" si="1"/>
        <v>100</v>
      </c>
      <c r="N49" s="24">
        <f t="shared" si="1"/>
        <v>100</v>
      </c>
    </row>
    <row r="50" spans="1:14">
      <c r="A50" s="6" t="s">
        <v>21</v>
      </c>
      <c r="B50" s="24">
        <f>MAX(B41:B45)</f>
        <v>4</v>
      </c>
      <c r="C50" s="24">
        <f t="shared" ref="C50:N50" si="2">MAX(C41:C45)</f>
        <v>10</v>
      </c>
      <c r="D50" s="24">
        <f t="shared" si="2"/>
        <v>23</v>
      </c>
      <c r="E50" s="24">
        <f t="shared" si="2"/>
        <v>42</v>
      </c>
      <c r="F50" s="24">
        <f t="shared" si="2"/>
        <v>58</v>
      </c>
      <c r="G50" s="24">
        <f t="shared" si="2"/>
        <v>72</v>
      </c>
      <c r="H50" s="24">
        <f t="shared" si="2"/>
        <v>81</v>
      </c>
      <c r="I50" s="24">
        <f t="shared" si="2"/>
        <v>88</v>
      </c>
      <c r="J50" s="24">
        <f t="shared" si="2"/>
        <v>93</v>
      </c>
      <c r="K50" s="24">
        <f t="shared" si="2"/>
        <v>96</v>
      </c>
      <c r="L50" s="24">
        <f t="shared" si="2"/>
        <v>100</v>
      </c>
      <c r="M50" s="24">
        <f t="shared" si="2"/>
        <v>100</v>
      </c>
      <c r="N50" s="24">
        <f t="shared" si="2"/>
        <v>100</v>
      </c>
    </row>
    <row r="51" spans="1:14">
      <c r="A51" s="6" t="s">
        <v>23</v>
      </c>
      <c r="B51" s="24">
        <f>MIN(B41:B45)</f>
        <v>0</v>
      </c>
      <c r="C51" s="24">
        <f t="shared" ref="C51:N51" si="3">MIN(C41:C45)</f>
        <v>2</v>
      </c>
      <c r="D51" s="24">
        <f t="shared" si="3"/>
        <v>11</v>
      </c>
      <c r="E51" s="24">
        <f t="shared" si="3"/>
        <v>25</v>
      </c>
      <c r="F51" s="24">
        <f t="shared" si="3"/>
        <v>43</v>
      </c>
      <c r="G51" s="24">
        <f t="shared" si="3"/>
        <v>59</v>
      </c>
      <c r="H51" s="24">
        <f t="shared" si="3"/>
        <v>72</v>
      </c>
      <c r="I51" s="24">
        <f t="shared" si="3"/>
        <v>81</v>
      </c>
      <c r="J51" s="24">
        <f t="shared" si="3"/>
        <v>89</v>
      </c>
      <c r="K51" s="24">
        <f t="shared" si="3"/>
        <v>94</v>
      </c>
      <c r="L51" s="24">
        <f t="shared" si="3"/>
        <v>97</v>
      </c>
      <c r="M51" s="24">
        <f t="shared" si="3"/>
        <v>100</v>
      </c>
      <c r="N51" s="24">
        <f t="shared" si="3"/>
        <v>100</v>
      </c>
    </row>
    <row r="53" spans="1:14">
      <c r="B53" s="7">
        <f>B1</f>
        <v>45109</v>
      </c>
      <c r="C53" s="7">
        <f t="shared" ref="C53:N53" si="4">C1</f>
        <v>45116</v>
      </c>
      <c r="D53" s="7">
        <f t="shared" si="4"/>
        <v>45123</v>
      </c>
      <c r="E53" s="7">
        <f t="shared" si="4"/>
        <v>45130</v>
      </c>
      <c r="F53" s="7">
        <f t="shared" si="4"/>
        <v>45137</v>
      </c>
      <c r="G53" s="7">
        <f t="shared" si="4"/>
        <v>45144</v>
      </c>
      <c r="H53" s="7">
        <f t="shared" si="4"/>
        <v>45151</v>
      </c>
      <c r="I53" s="7">
        <f t="shared" si="4"/>
        <v>45158</v>
      </c>
      <c r="J53" s="7">
        <f t="shared" si="4"/>
        <v>45165</v>
      </c>
      <c r="K53" s="7">
        <f t="shared" si="4"/>
        <v>45172</v>
      </c>
      <c r="L53" s="7">
        <f t="shared" si="4"/>
        <v>45179</v>
      </c>
      <c r="M53" s="7">
        <f t="shared" si="4"/>
        <v>45186</v>
      </c>
      <c r="N53" s="7">
        <f t="shared" si="4"/>
        <v>45193</v>
      </c>
    </row>
    <row r="54" spans="1:14">
      <c r="A54" s="6">
        <f>A2</f>
        <v>1981</v>
      </c>
      <c r="B54" s="24">
        <f t="shared" ref="B54:B76" si="5">B2-0</f>
        <v>0</v>
      </c>
      <c r="C54" s="6">
        <f>C2-B2</f>
        <v>0</v>
      </c>
      <c r="D54" s="6">
        <f t="shared" ref="D54:N54" si="6">D2-C2</f>
        <v>0</v>
      </c>
      <c r="E54" s="6">
        <f t="shared" si="6"/>
        <v>7</v>
      </c>
      <c r="F54" s="6">
        <f t="shared" si="6"/>
        <v>10</v>
      </c>
      <c r="G54" s="6">
        <f t="shared" si="6"/>
        <v>12</v>
      </c>
      <c r="H54" s="6">
        <f t="shared" si="6"/>
        <v>15</v>
      </c>
      <c r="I54" s="6">
        <f t="shared" si="6"/>
        <v>14</v>
      </c>
      <c r="J54" s="6">
        <f t="shared" si="6"/>
        <v>14</v>
      </c>
      <c r="K54" s="6">
        <f t="shared" si="6"/>
        <v>14</v>
      </c>
      <c r="L54" s="6">
        <f t="shared" si="6"/>
        <v>8</v>
      </c>
      <c r="M54" s="6">
        <f t="shared" si="6"/>
        <v>6</v>
      </c>
      <c r="N54" s="6">
        <f t="shared" si="6"/>
        <v>0</v>
      </c>
    </row>
    <row r="55" spans="1:14">
      <c r="A55" s="6">
        <f t="shared" ref="A55:A98" si="7">A3</f>
        <v>1982</v>
      </c>
      <c r="B55" s="24">
        <f t="shared" si="5"/>
        <v>0</v>
      </c>
      <c r="C55" s="6">
        <f t="shared" ref="C55:N70" si="8">C3-B3</f>
        <v>0</v>
      </c>
      <c r="D55" s="6">
        <f t="shared" si="8"/>
        <v>0</v>
      </c>
      <c r="E55" s="6">
        <f t="shared" si="8"/>
        <v>14</v>
      </c>
      <c r="F55" s="6">
        <f t="shared" si="8"/>
        <v>13</v>
      </c>
      <c r="G55" s="6">
        <f t="shared" si="8"/>
        <v>16</v>
      </c>
      <c r="H55" s="6">
        <f t="shared" si="8"/>
        <v>17</v>
      </c>
      <c r="I55" s="6">
        <f t="shared" si="8"/>
        <v>13</v>
      </c>
      <c r="J55" s="6">
        <f t="shared" si="8"/>
        <v>13</v>
      </c>
      <c r="K55" s="6">
        <f t="shared" si="8"/>
        <v>7</v>
      </c>
      <c r="L55" s="6">
        <f t="shared" si="8"/>
        <v>4</v>
      </c>
      <c r="M55" s="6">
        <f t="shared" si="8"/>
        <v>3</v>
      </c>
      <c r="N55" s="6">
        <f t="shared" si="8"/>
        <v>0</v>
      </c>
    </row>
    <row r="56" spans="1:14">
      <c r="A56" s="6">
        <f t="shared" si="7"/>
        <v>1983</v>
      </c>
      <c r="B56" s="24">
        <f t="shared" si="5"/>
        <v>0</v>
      </c>
      <c r="C56" s="6">
        <f t="shared" si="8"/>
        <v>0</v>
      </c>
      <c r="D56" s="6">
        <f t="shared" si="8"/>
        <v>0</v>
      </c>
      <c r="E56" s="6">
        <f t="shared" si="8"/>
        <v>6</v>
      </c>
      <c r="F56" s="6">
        <f t="shared" si="8"/>
        <v>14</v>
      </c>
      <c r="G56" s="6">
        <f t="shared" si="8"/>
        <v>16</v>
      </c>
      <c r="H56" s="6">
        <f t="shared" si="8"/>
        <v>17</v>
      </c>
      <c r="I56" s="6">
        <f t="shared" si="8"/>
        <v>17</v>
      </c>
      <c r="J56" s="6">
        <f t="shared" si="8"/>
        <v>10</v>
      </c>
      <c r="K56" s="6">
        <f t="shared" si="8"/>
        <v>10</v>
      </c>
      <c r="L56" s="6">
        <f t="shared" si="8"/>
        <v>5</v>
      </c>
      <c r="M56" s="6">
        <f t="shared" si="8"/>
        <v>5</v>
      </c>
      <c r="N56" s="6">
        <f t="shared" si="8"/>
        <v>0</v>
      </c>
    </row>
    <row r="57" spans="1:14">
      <c r="A57" s="6">
        <f t="shared" si="7"/>
        <v>1984</v>
      </c>
      <c r="B57" s="24">
        <f t="shared" si="5"/>
        <v>0</v>
      </c>
      <c r="C57" s="6">
        <f t="shared" si="8"/>
        <v>0</v>
      </c>
      <c r="D57" s="6">
        <f t="shared" si="8"/>
        <v>0</v>
      </c>
      <c r="E57" s="6">
        <f t="shared" si="8"/>
        <v>7</v>
      </c>
      <c r="F57" s="6">
        <f t="shared" si="8"/>
        <v>13</v>
      </c>
      <c r="G57" s="6">
        <f t="shared" si="8"/>
        <v>17</v>
      </c>
      <c r="H57" s="6">
        <f t="shared" si="8"/>
        <v>15</v>
      </c>
      <c r="I57" s="6">
        <f t="shared" si="8"/>
        <v>17</v>
      </c>
      <c r="J57" s="6">
        <f t="shared" si="8"/>
        <v>12</v>
      </c>
      <c r="K57" s="6">
        <f t="shared" si="8"/>
        <v>10</v>
      </c>
      <c r="L57" s="6">
        <f t="shared" si="8"/>
        <v>5</v>
      </c>
      <c r="M57" s="6">
        <f t="shared" si="8"/>
        <v>4</v>
      </c>
      <c r="N57" s="6">
        <f t="shared" si="8"/>
        <v>0</v>
      </c>
    </row>
    <row r="58" spans="1:14">
      <c r="A58" s="6">
        <f t="shared" si="7"/>
        <v>1985</v>
      </c>
      <c r="B58" s="24">
        <f t="shared" si="5"/>
        <v>0</v>
      </c>
      <c r="C58" s="6">
        <f t="shared" si="8"/>
        <v>0</v>
      </c>
      <c r="D58" s="6">
        <f t="shared" si="8"/>
        <v>0</v>
      </c>
      <c r="E58" s="6">
        <f t="shared" si="8"/>
        <v>13</v>
      </c>
      <c r="F58" s="6">
        <f t="shared" si="8"/>
        <v>13</v>
      </c>
      <c r="G58" s="6">
        <f t="shared" si="8"/>
        <v>19</v>
      </c>
      <c r="H58" s="6">
        <f t="shared" si="8"/>
        <v>15</v>
      </c>
      <c r="I58" s="6">
        <f t="shared" si="8"/>
        <v>16</v>
      </c>
      <c r="J58" s="6">
        <f t="shared" si="8"/>
        <v>9</v>
      </c>
      <c r="K58" s="6">
        <f t="shared" si="8"/>
        <v>8</v>
      </c>
      <c r="L58" s="6">
        <f t="shared" si="8"/>
        <v>3</v>
      </c>
      <c r="M58" s="6">
        <f t="shared" si="8"/>
        <v>4</v>
      </c>
      <c r="N58" s="6">
        <f t="shared" si="8"/>
        <v>0</v>
      </c>
    </row>
    <row r="59" spans="1:14">
      <c r="A59" s="6">
        <f t="shared" si="7"/>
        <v>1986</v>
      </c>
      <c r="B59" s="24">
        <f t="shared" si="5"/>
        <v>0</v>
      </c>
      <c r="C59" s="6">
        <f t="shared" si="8"/>
        <v>0</v>
      </c>
      <c r="D59" s="6">
        <f t="shared" si="8"/>
        <v>0</v>
      </c>
      <c r="E59" s="6">
        <f t="shared" si="8"/>
        <v>13</v>
      </c>
      <c r="F59" s="6">
        <f t="shared" si="8"/>
        <v>16</v>
      </c>
      <c r="G59" s="6">
        <f t="shared" si="8"/>
        <v>15</v>
      </c>
      <c r="H59" s="6">
        <f t="shared" si="8"/>
        <v>18</v>
      </c>
      <c r="I59" s="6">
        <f t="shared" si="8"/>
        <v>14</v>
      </c>
      <c r="J59" s="6">
        <f t="shared" si="8"/>
        <v>9</v>
      </c>
      <c r="K59" s="6">
        <f t="shared" si="8"/>
        <v>7</v>
      </c>
      <c r="L59" s="6">
        <f t="shared" si="8"/>
        <v>4</v>
      </c>
      <c r="M59" s="6">
        <f t="shared" si="8"/>
        <v>4</v>
      </c>
      <c r="N59" s="6">
        <f t="shared" si="8"/>
        <v>0</v>
      </c>
    </row>
    <row r="60" spans="1:14">
      <c r="A60" s="6">
        <f t="shared" si="7"/>
        <v>1987</v>
      </c>
      <c r="B60" s="24">
        <f t="shared" si="5"/>
        <v>0</v>
      </c>
      <c r="C60" s="6">
        <f t="shared" si="8"/>
        <v>0</v>
      </c>
      <c r="D60" s="6">
        <f t="shared" si="8"/>
        <v>0</v>
      </c>
      <c r="E60" s="6">
        <f t="shared" si="8"/>
        <v>27</v>
      </c>
      <c r="F60" s="6">
        <f t="shared" si="8"/>
        <v>15</v>
      </c>
      <c r="G60" s="6">
        <f t="shared" si="8"/>
        <v>16</v>
      </c>
      <c r="H60" s="6">
        <f t="shared" si="8"/>
        <v>16</v>
      </c>
      <c r="I60" s="6">
        <f t="shared" si="8"/>
        <v>9</v>
      </c>
      <c r="J60" s="6">
        <f t="shared" si="8"/>
        <v>6</v>
      </c>
      <c r="K60" s="6">
        <f t="shared" si="8"/>
        <v>4</v>
      </c>
      <c r="L60" s="6">
        <f t="shared" si="8"/>
        <v>4</v>
      </c>
      <c r="M60" s="6">
        <f t="shared" si="8"/>
        <v>3</v>
      </c>
      <c r="N60" s="6">
        <f t="shared" si="8"/>
        <v>0</v>
      </c>
    </row>
    <row r="61" spans="1:14">
      <c r="A61" s="6">
        <f t="shared" si="7"/>
        <v>1988</v>
      </c>
      <c r="B61" s="24">
        <f t="shared" si="5"/>
        <v>0</v>
      </c>
      <c r="C61" s="6">
        <f t="shared" si="8"/>
        <v>0</v>
      </c>
      <c r="D61" s="6">
        <f t="shared" si="8"/>
        <v>12</v>
      </c>
      <c r="E61" s="6">
        <f t="shared" si="8"/>
        <v>13</v>
      </c>
      <c r="F61" s="6">
        <f t="shared" si="8"/>
        <v>16</v>
      </c>
      <c r="G61" s="6">
        <f t="shared" si="8"/>
        <v>21</v>
      </c>
      <c r="H61" s="6">
        <f t="shared" si="8"/>
        <v>11</v>
      </c>
      <c r="I61" s="6">
        <f t="shared" si="8"/>
        <v>9</v>
      </c>
      <c r="J61" s="6">
        <f t="shared" si="8"/>
        <v>7</v>
      </c>
      <c r="K61" s="6">
        <f t="shared" si="8"/>
        <v>5</v>
      </c>
      <c r="L61" s="6">
        <f t="shared" si="8"/>
        <v>3</v>
      </c>
      <c r="M61" s="6">
        <f t="shared" si="8"/>
        <v>3</v>
      </c>
      <c r="N61" s="6">
        <f t="shared" si="8"/>
        <v>0</v>
      </c>
    </row>
    <row r="62" spans="1:14">
      <c r="A62" s="6">
        <f t="shared" si="7"/>
        <v>1989</v>
      </c>
      <c r="B62" s="24">
        <f t="shared" si="5"/>
        <v>0</v>
      </c>
      <c r="C62" s="6">
        <f t="shared" si="8"/>
        <v>0</v>
      </c>
      <c r="D62" s="6">
        <f t="shared" si="8"/>
        <v>5</v>
      </c>
      <c r="E62" s="6">
        <f t="shared" si="8"/>
        <v>9</v>
      </c>
      <c r="F62" s="6">
        <f t="shared" si="8"/>
        <v>15</v>
      </c>
      <c r="G62" s="6">
        <f t="shared" si="8"/>
        <v>19</v>
      </c>
      <c r="H62" s="6">
        <f t="shared" si="8"/>
        <v>16</v>
      </c>
      <c r="I62" s="6">
        <f t="shared" si="8"/>
        <v>12</v>
      </c>
      <c r="J62" s="6">
        <f t="shared" si="8"/>
        <v>9</v>
      </c>
      <c r="K62" s="6">
        <f t="shared" si="8"/>
        <v>7</v>
      </c>
      <c r="L62" s="6">
        <f t="shared" si="8"/>
        <v>4</v>
      </c>
      <c r="M62" s="6">
        <f t="shared" si="8"/>
        <v>4</v>
      </c>
      <c r="N62" s="6">
        <f t="shared" si="8"/>
        <v>0</v>
      </c>
    </row>
    <row r="63" spans="1:14">
      <c r="A63" s="6">
        <f t="shared" si="7"/>
        <v>1990</v>
      </c>
      <c r="B63" s="24">
        <f t="shared" si="5"/>
        <v>0</v>
      </c>
      <c r="C63" s="6">
        <f t="shared" si="8"/>
        <v>0</v>
      </c>
      <c r="D63" s="6">
        <f t="shared" si="8"/>
        <v>0</v>
      </c>
      <c r="E63" s="6">
        <f t="shared" si="8"/>
        <v>6</v>
      </c>
      <c r="F63" s="6">
        <f t="shared" si="8"/>
        <v>10</v>
      </c>
      <c r="G63" s="6">
        <f t="shared" si="8"/>
        <v>16</v>
      </c>
      <c r="H63" s="6">
        <f t="shared" si="8"/>
        <v>18</v>
      </c>
      <c r="I63" s="6">
        <f t="shared" si="8"/>
        <v>18</v>
      </c>
      <c r="J63" s="6">
        <f t="shared" si="8"/>
        <v>12</v>
      </c>
      <c r="K63" s="6">
        <f t="shared" si="8"/>
        <v>10</v>
      </c>
      <c r="L63" s="6">
        <f t="shared" si="8"/>
        <v>6</v>
      </c>
      <c r="M63" s="6">
        <f t="shared" si="8"/>
        <v>4</v>
      </c>
      <c r="N63" s="6">
        <f t="shared" si="8"/>
        <v>0</v>
      </c>
    </row>
    <row r="64" spans="1:14">
      <c r="A64" s="6">
        <f t="shared" si="7"/>
        <v>1991</v>
      </c>
      <c r="B64" s="24">
        <f t="shared" si="5"/>
        <v>0</v>
      </c>
      <c r="C64" s="6">
        <f t="shared" si="8"/>
        <v>0</v>
      </c>
      <c r="D64" s="6">
        <f t="shared" si="8"/>
        <v>0</v>
      </c>
      <c r="E64" s="6">
        <f t="shared" si="8"/>
        <v>25</v>
      </c>
      <c r="F64" s="6">
        <f t="shared" si="8"/>
        <v>14</v>
      </c>
      <c r="G64" s="6">
        <f t="shared" si="8"/>
        <v>14</v>
      </c>
      <c r="H64" s="6">
        <f t="shared" si="8"/>
        <v>15</v>
      </c>
      <c r="I64" s="6">
        <f t="shared" si="8"/>
        <v>12</v>
      </c>
      <c r="J64" s="6">
        <f t="shared" si="8"/>
        <v>6</v>
      </c>
      <c r="K64" s="6">
        <f t="shared" si="8"/>
        <v>6</v>
      </c>
      <c r="L64" s="6">
        <f t="shared" si="8"/>
        <v>8</v>
      </c>
      <c r="M64" s="6">
        <f t="shared" si="8"/>
        <v>0</v>
      </c>
      <c r="N64" s="6">
        <f t="shared" si="8"/>
        <v>0</v>
      </c>
    </row>
    <row r="65" spans="1:14">
      <c r="A65" s="6">
        <f t="shared" si="7"/>
        <v>1992</v>
      </c>
      <c r="B65" s="24">
        <f t="shared" si="5"/>
        <v>0</v>
      </c>
      <c r="C65" s="6">
        <f t="shared" si="8"/>
        <v>0</v>
      </c>
      <c r="D65" s="6">
        <f t="shared" si="8"/>
        <v>0</v>
      </c>
      <c r="E65" s="6">
        <f t="shared" si="8"/>
        <v>8</v>
      </c>
      <c r="F65" s="6">
        <f t="shared" si="8"/>
        <v>8</v>
      </c>
      <c r="G65" s="6">
        <f t="shared" si="8"/>
        <v>16</v>
      </c>
      <c r="H65" s="6">
        <f t="shared" si="8"/>
        <v>24</v>
      </c>
      <c r="I65" s="6">
        <f t="shared" si="8"/>
        <v>16</v>
      </c>
      <c r="J65" s="6">
        <f t="shared" si="8"/>
        <v>13</v>
      </c>
      <c r="K65" s="6">
        <f t="shared" si="8"/>
        <v>8</v>
      </c>
      <c r="L65" s="6">
        <f t="shared" si="8"/>
        <v>7</v>
      </c>
      <c r="M65" s="6">
        <f t="shared" si="8"/>
        <v>0</v>
      </c>
      <c r="N65" s="6">
        <f t="shared" si="8"/>
        <v>0</v>
      </c>
    </row>
    <row r="66" spans="1:14">
      <c r="A66" s="6">
        <f t="shared" si="7"/>
        <v>1993</v>
      </c>
      <c r="B66" s="24">
        <f t="shared" si="5"/>
        <v>0</v>
      </c>
      <c r="C66" s="6">
        <f t="shared" si="8"/>
        <v>0</v>
      </c>
      <c r="D66" s="6">
        <f t="shared" si="8"/>
        <v>2</v>
      </c>
      <c r="E66" s="6">
        <f t="shared" si="8"/>
        <v>5</v>
      </c>
      <c r="F66" s="6">
        <f t="shared" si="8"/>
        <v>11</v>
      </c>
      <c r="G66" s="6">
        <f t="shared" si="8"/>
        <v>17</v>
      </c>
      <c r="H66" s="6">
        <f t="shared" si="8"/>
        <v>18</v>
      </c>
      <c r="I66" s="6">
        <f t="shared" si="8"/>
        <v>15</v>
      </c>
      <c r="J66" s="6">
        <f t="shared" si="8"/>
        <v>17</v>
      </c>
      <c r="K66" s="6">
        <f t="shared" si="8"/>
        <v>8</v>
      </c>
      <c r="L66" s="6">
        <f t="shared" si="8"/>
        <v>4</v>
      </c>
      <c r="M66" s="6">
        <f t="shared" si="8"/>
        <v>3</v>
      </c>
      <c r="N66" s="6">
        <f t="shared" si="8"/>
        <v>0</v>
      </c>
    </row>
    <row r="67" spans="1:14">
      <c r="A67" s="6">
        <f t="shared" si="7"/>
        <v>1994</v>
      </c>
      <c r="B67" s="24">
        <f t="shared" si="5"/>
        <v>0</v>
      </c>
      <c r="C67" s="6">
        <f t="shared" si="8"/>
        <v>0</v>
      </c>
      <c r="D67" s="6">
        <f t="shared" si="8"/>
        <v>0</v>
      </c>
      <c r="E67" s="6">
        <f t="shared" si="8"/>
        <v>25</v>
      </c>
      <c r="F67" s="6">
        <f t="shared" si="8"/>
        <v>19</v>
      </c>
      <c r="G67" s="6">
        <f t="shared" si="8"/>
        <v>23</v>
      </c>
      <c r="H67" s="6">
        <f t="shared" si="8"/>
        <v>12</v>
      </c>
      <c r="I67" s="6">
        <f t="shared" si="8"/>
        <v>9</v>
      </c>
      <c r="J67" s="6">
        <f t="shared" si="8"/>
        <v>6</v>
      </c>
      <c r="K67" s="6">
        <f t="shared" si="8"/>
        <v>6</v>
      </c>
      <c r="L67" s="6">
        <f t="shared" si="8"/>
        <v>0</v>
      </c>
      <c r="M67" s="6">
        <f t="shared" si="8"/>
        <v>0</v>
      </c>
      <c r="N67" s="6">
        <f t="shared" si="8"/>
        <v>0</v>
      </c>
    </row>
    <row r="68" spans="1:14">
      <c r="A68" s="6">
        <f t="shared" si="7"/>
        <v>1995</v>
      </c>
      <c r="B68" s="24">
        <f t="shared" si="5"/>
        <v>0</v>
      </c>
      <c r="C68" s="6">
        <f t="shared" si="8"/>
        <v>0</v>
      </c>
      <c r="D68" s="6">
        <f t="shared" si="8"/>
        <v>0</v>
      </c>
      <c r="E68" s="6">
        <f t="shared" si="8"/>
        <v>0</v>
      </c>
      <c r="F68" s="6">
        <f t="shared" si="8"/>
        <v>0</v>
      </c>
      <c r="G68" s="6">
        <f t="shared" si="8"/>
        <v>35</v>
      </c>
      <c r="H68" s="6">
        <f t="shared" si="8"/>
        <v>19</v>
      </c>
      <c r="I68" s="6">
        <f t="shared" si="8"/>
        <v>20</v>
      </c>
      <c r="J68" s="6">
        <f t="shared" si="8"/>
        <v>13</v>
      </c>
      <c r="K68" s="6">
        <f t="shared" si="8"/>
        <v>8</v>
      </c>
      <c r="L68" s="6">
        <f t="shared" si="8"/>
        <v>5</v>
      </c>
      <c r="M68" s="6">
        <f t="shared" si="8"/>
        <v>0</v>
      </c>
      <c r="N68" s="6">
        <f t="shared" si="8"/>
        <v>0</v>
      </c>
    </row>
    <row r="69" spans="1:14">
      <c r="A69" s="6">
        <f t="shared" si="7"/>
        <v>1996</v>
      </c>
      <c r="B69" s="24">
        <f t="shared" si="5"/>
        <v>0</v>
      </c>
      <c r="C69" s="6">
        <f t="shared" si="8"/>
        <v>0</v>
      </c>
      <c r="D69" s="6">
        <f t="shared" si="8"/>
        <v>0</v>
      </c>
      <c r="E69" s="6">
        <f t="shared" si="8"/>
        <v>0</v>
      </c>
      <c r="F69" s="6">
        <f t="shared" si="8"/>
        <v>0</v>
      </c>
      <c r="G69" s="6">
        <f t="shared" si="8"/>
        <v>0</v>
      </c>
      <c r="H69" s="6">
        <f t="shared" si="8"/>
        <v>0</v>
      </c>
      <c r="I69" s="6">
        <f t="shared" si="8"/>
        <v>63</v>
      </c>
      <c r="J69" s="6">
        <f t="shared" si="8"/>
        <v>17</v>
      </c>
      <c r="K69" s="6">
        <f t="shared" si="8"/>
        <v>11</v>
      </c>
      <c r="L69" s="6">
        <f t="shared" si="8"/>
        <v>9</v>
      </c>
      <c r="M69" s="6">
        <f t="shared" si="8"/>
        <v>0</v>
      </c>
      <c r="N69" s="6">
        <f t="shared" si="8"/>
        <v>0</v>
      </c>
    </row>
    <row r="70" spans="1:14">
      <c r="A70" s="6">
        <f t="shared" si="7"/>
        <v>1997</v>
      </c>
      <c r="B70" s="24">
        <f t="shared" si="5"/>
        <v>0</v>
      </c>
      <c r="C70" s="6">
        <f t="shared" si="8"/>
        <v>0</v>
      </c>
      <c r="D70" s="6">
        <f t="shared" si="8"/>
        <v>0</v>
      </c>
      <c r="E70" s="6">
        <f t="shared" si="8"/>
        <v>0</v>
      </c>
      <c r="F70" s="6">
        <f t="shared" si="8"/>
        <v>18</v>
      </c>
      <c r="G70" s="6">
        <f t="shared" si="8"/>
        <v>20</v>
      </c>
      <c r="H70" s="6">
        <f t="shared" si="8"/>
        <v>24</v>
      </c>
      <c r="I70" s="6">
        <f t="shared" si="8"/>
        <v>17</v>
      </c>
      <c r="J70" s="6">
        <f t="shared" si="8"/>
        <v>11</v>
      </c>
      <c r="K70" s="6">
        <f t="shared" si="8"/>
        <v>6</v>
      </c>
      <c r="L70" s="6">
        <f t="shared" si="8"/>
        <v>4</v>
      </c>
      <c r="M70" s="6">
        <f t="shared" si="8"/>
        <v>0</v>
      </c>
      <c r="N70" s="6">
        <f t="shared" si="8"/>
        <v>0</v>
      </c>
    </row>
    <row r="71" spans="1:14">
      <c r="A71" s="6">
        <f t="shared" si="7"/>
        <v>1998</v>
      </c>
      <c r="B71" s="24">
        <f t="shared" si="5"/>
        <v>0</v>
      </c>
      <c r="C71" s="6">
        <f t="shared" ref="C71:N86" si="9">C19-B19</f>
        <v>0</v>
      </c>
      <c r="D71" s="6">
        <f t="shared" si="9"/>
        <v>5</v>
      </c>
      <c r="E71" s="6">
        <f t="shared" si="9"/>
        <v>11</v>
      </c>
      <c r="F71" s="6">
        <f t="shared" si="9"/>
        <v>14</v>
      </c>
      <c r="G71" s="6">
        <f t="shared" si="9"/>
        <v>18</v>
      </c>
      <c r="H71" s="6">
        <f t="shared" si="9"/>
        <v>20</v>
      </c>
      <c r="I71" s="6">
        <f t="shared" si="9"/>
        <v>13</v>
      </c>
      <c r="J71" s="6">
        <f t="shared" si="9"/>
        <v>8</v>
      </c>
      <c r="K71" s="6">
        <f t="shared" si="9"/>
        <v>5</v>
      </c>
      <c r="L71" s="6">
        <f t="shared" si="9"/>
        <v>4</v>
      </c>
      <c r="M71" s="6">
        <f t="shared" si="9"/>
        <v>2</v>
      </c>
      <c r="N71" s="6">
        <f t="shared" si="9"/>
        <v>0</v>
      </c>
    </row>
    <row r="72" spans="1:14">
      <c r="A72" s="6">
        <f t="shared" si="7"/>
        <v>1999</v>
      </c>
      <c r="B72" s="24">
        <f t="shared" si="5"/>
        <v>0</v>
      </c>
      <c r="C72" s="6">
        <f t="shared" si="9"/>
        <v>5</v>
      </c>
      <c r="D72" s="6">
        <f t="shared" si="9"/>
        <v>7</v>
      </c>
      <c r="E72" s="6">
        <f t="shared" si="9"/>
        <v>15</v>
      </c>
      <c r="F72" s="6">
        <f t="shared" si="9"/>
        <v>19</v>
      </c>
      <c r="G72" s="6">
        <f t="shared" si="9"/>
        <v>19</v>
      </c>
      <c r="H72" s="6">
        <f t="shared" si="9"/>
        <v>15</v>
      </c>
      <c r="I72" s="6">
        <f t="shared" si="9"/>
        <v>10</v>
      </c>
      <c r="J72" s="6">
        <f t="shared" si="9"/>
        <v>4</v>
      </c>
      <c r="K72" s="6">
        <f t="shared" si="9"/>
        <v>6</v>
      </c>
      <c r="L72" s="6">
        <f t="shared" si="9"/>
        <v>0</v>
      </c>
      <c r="M72" s="6">
        <f t="shared" si="9"/>
        <v>0</v>
      </c>
      <c r="N72" s="6">
        <f t="shared" si="9"/>
        <v>0</v>
      </c>
    </row>
    <row r="73" spans="1:14">
      <c r="A73" s="6">
        <f t="shared" si="7"/>
        <v>2000</v>
      </c>
      <c r="B73" s="24">
        <f t="shared" si="5"/>
        <v>0</v>
      </c>
      <c r="C73" s="6">
        <f t="shared" si="9"/>
        <v>5</v>
      </c>
      <c r="D73" s="6">
        <f t="shared" si="9"/>
        <v>10</v>
      </c>
      <c r="E73" s="6">
        <f t="shared" si="9"/>
        <v>15</v>
      </c>
      <c r="F73" s="6">
        <f t="shared" si="9"/>
        <v>21</v>
      </c>
      <c r="G73" s="6">
        <f t="shared" si="9"/>
        <v>18</v>
      </c>
      <c r="H73" s="6">
        <f t="shared" si="9"/>
        <v>13</v>
      </c>
      <c r="I73" s="6">
        <f t="shared" si="9"/>
        <v>9</v>
      </c>
      <c r="J73" s="6">
        <f t="shared" si="9"/>
        <v>4</v>
      </c>
      <c r="K73" s="6">
        <f t="shared" si="9"/>
        <v>5</v>
      </c>
      <c r="L73" s="6">
        <f t="shared" si="9"/>
        <v>0</v>
      </c>
      <c r="M73" s="6">
        <f t="shared" si="9"/>
        <v>0</v>
      </c>
      <c r="N73" s="6">
        <f t="shared" si="9"/>
        <v>0</v>
      </c>
    </row>
    <row r="74" spans="1:14">
      <c r="A74" s="6">
        <f t="shared" si="7"/>
        <v>2001</v>
      </c>
      <c r="B74" s="24">
        <f t="shared" si="5"/>
        <v>0</v>
      </c>
      <c r="C74" s="6">
        <f t="shared" si="9"/>
        <v>0</v>
      </c>
      <c r="D74" s="6">
        <f t="shared" si="9"/>
        <v>9</v>
      </c>
      <c r="E74" s="6">
        <f t="shared" si="9"/>
        <v>12</v>
      </c>
      <c r="F74" s="6">
        <f t="shared" si="9"/>
        <v>17</v>
      </c>
      <c r="G74" s="6">
        <f t="shared" si="9"/>
        <v>19</v>
      </c>
      <c r="H74" s="6">
        <f t="shared" si="9"/>
        <v>17</v>
      </c>
      <c r="I74" s="6">
        <f t="shared" si="9"/>
        <v>13</v>
      </c>
      <c r="J74" s="6">
        <f t="shared" si="9"/>
        <v>7</v>
      </c>
      <c r="K74" s="6">
        <f t="shared" si="9"/>
        <v>4</v>
      </c>
      <c r="L74" s="6">
        <f t="shared" si="9"/>
        <v>2</v>
      </c>
      <c r="M74" s="6">
        <f t="shared" si="9"/>
        <v>0</v>
      </c>
      <c r="N74" s="6">
        <f t="shared" si="9"/>
        <v>0</v>
      </c>
    </row>
    <row r="75" spans="1:14">
      <c r="A75" s="6">
        <f t="shared" si="7"/>
        <v>2002</v>
      </c>
      <c r="B75" s="24">
        <f t="shared" si="5"/>
        <v>0</v>
      </c>
      <c r="C75" s="6">
        <f t="shared" si="9"/>
        <v>0</v>
      </c>
      <c r="D75" s="6">
        <f t="shared" si="9"/>
        <v>6</v>
      </c>
      <c r="E75" s="6">
        <f t="shared" si="9"/>
        <v>10</v>
      </c>
      <c r="F75" s="6">
        <f t="shared" si="9"/>
        <v>18</v>
      </c>
      <c r="G75" s="6">
        <f t="shared" si="9"/>
        <v>19</v>
      </c>
      <c r="H75" s="6">
        <f t="shared" si="9"/>
        <v>18</v>
      </c>
      <c r="I75" s="6">
        <f t="shared" si="9"/>
        <v>14</v>
      </c>
      <c r="J75" s="6">
        <f t="shared" si="9"/>
        <v>8</v>
      </c>
      <c r="K75" s="6">
        <f t="shared" si="9"/>
        <v>4</v>
      </c>
      <c r="L75" s="6">
        <f t="shared" si="9"/>
        <v>3</v>
      </c>
      <c r="M75" s="6">
        <f t="shared" si="9"/>
        <v>0</v>
      </c>
      <c r="N75" s="6">
        <f t="shared" si="9"/>
        <v>0</v>
      </c>
    </row>
    <row r="76" spans="1:14">
      <c r="A76" s="6">
        <f t="shared" si="7"/>
        <v>2003</v>
      </c>
      <c r="B76" s="24">
        <f t="shared" si="5"/>
        <v>0</v>
      </c>
      <c r="C76" s="6">
        <f t="shared" si="9"/>
        <v>0</v>
      </c>
      <c r="D76" s="6">
        <f t="shared" si="9"/>
        <v>3</v>
      </c>
      <c r="E76" s="6">
        <f t="shared" si="9"/>
        <v>7</v>
      </c>
      <c r="F76" s="6">
        <f t="shared" si="9"/>
        <v>11</v>
      </c>
      <c r="G76" s="6">
        <f t="shared" si="9"/>
        <v>19</v>
      </c>
      <c r="H76" s="6">
        <f t="shared" si="9"/>
        <v>22</v>
      </c>
      <c r="I76" s="6">
        <f t="shared" si="9"/>
        <v>17</v>
      </c>
      <c r="J76" s="6">
        <f t="shared" si="9"/>
        <v>12</v>
      </c>
      <c r="K76" s="6">
        <f t="shared" si="9"/>
        <v>5</v>
      </c>
      <c r="L76" s="6">
        <f t="shared" si="9"/>
        <v>4</v>
      </c>
      <c r="M76" s="6">
        <f t="shared" si="9"/>
        <v>0</v>
      </c>
      <c r="N76" s="6">
        <f t="shared" si="9"/>
        <v>0</v>
      </c>
    </row>
    <row r="77" spans="1:14">
      <c r="A77" s="6">
        <f t="shared" si="7"/>
        <v>2004</v>
      </c>
      <c r="B77" s="24">
        <f t="shared" ref="B77:B97" si="10">B25-0</f>
        <v>0</v>
      </c>
      <c r="C77" s="6">
        <f t="shared" si="9"/>
        <v>0</v>
      </c>
      <c r="D77" s="6">
        <f t="shared" si="9"/>
        <v>6</v>
      </c>
      <c r="E77" s="6">
        <f t="shared" si="9"/>
        <v>10</v>
      </c>
      <c r="F77" s="6">
        <f t="shared" si="9"/>
        <v>16</v>
      </c>
      <c r="G77" s="6">
        <f t="shared" si="9"/>
        <v>17</v>
      </c>
      <c r="H77" s="6">
        <f t="shared" si="9"/>
        <v>20</v>
      </c>
      <c r="I77" s="6">
        <f t="shared" si="9"/>
        <v>12</v>
      </c>
      <c r="J77" s="6">
        <f t="shared" si="9"/>
        <v>10</v>
      </c>
      <c r="K77" s="6">
        <f t="shared" si="9"/>
        <v>4</v>
      </c>
      <c r="L77" s="6">
        <f t="shared" si="9"/>
        <v>5</v>
      </c>
      <c r="M77" s="6">
        <f t="shared" si="9"/>
        <v>0</v>
      </c>
      <c r="N77" s="6">
        <f t="shared" si="9"/>
        <v>0</v>
      </c>
    </row>
    <row r="78" spans="1:14">
      <c r="A78" s="6">
        <f t="shared" si="7"/>
        <v>2005</v>
      </c>
      <c r="B78" s="24">
        <f t="shared" si="10"/>
        <v>0</v>
      </c>
      <c r="C78" s="6">
        <f t="shared" si="9"/>
        <v>6</v>
      </c>
      <c r="D78" s="6">
        <f t="shared" si="9"/>
        <v>10</v>
      </c>
      <c r="E78" s="6">
        <f t="shared" si="9"/>
        <v>20</v>
      </c>
      <c r="F78" s="6">
        <f t="shared" si="9"/>
        <v>19</v>
      </c>
      <c r="G78" s="6">
        <f t="shared" si="9"/>
        <v>21</v>
      </c>
      <c r="H78" s="6">
        <f t="shared" si="9"/>
        <v>13</v>
      </c>
      <c r="I78" s="6">
        <f t="shared" si="9"/>
        <v>5</v>
      </c>
      <c r="J78" s="6">
        <f t="shared" si="9"/>
        <v>3</v>
      </c>
      <c r="K78" s="6">
        <f t="shared" si="9"/>
        <v>3</v>
      </c>
      <c r="L78" s="6">
        <f t="shared" si="9"/>
        <v>0</v>
      </c>
      <c r="M78" s="6">
        <f t="shared" si="9"/>
        <v>0</v>
      </c>
      <c r="N78" s="6">
        <f t="shared" si="9"/>
        <v>0</v>
      </c>
    </row>
    <row r="79" spans="1:14">
      <c r="A79" s="6">
        <f t="shared" si="7"/>
        <v>2006</v>
      </c>
      <c r="B79" s="24">
        <f t="shared" si="10"/>
        <v>0</v>
      </c>
      <c r="C79" s="6">
        <f t="shared" si="9"/>
        <v>7</v>
      </c>
      <c r="D79" s="6">
        <f t="shared" si="9"/>
        <v>9</v>
      </c>
      <c r="E79" s="6">
        <f t="shared" si="9"/>
        <v>16</v>
      </c>
      <c r="F79" s="6">
        <f t="shared" si="9"/>
        <v>21</v>
      </c>
      <c r="G79" s="6">
        <f t="shared" si="9"/>
        <v>19</v>
      </c>
      <c r="H79" s="6">
        <f t="shared" si="9"/>
        <v>13</v>
      </c>
      <c r="I79" s="6">
        <f t="shared" si="9"/>
        <v>8</v>
      </c>
      <c r="J79" s="6">
        <f t="shared" si="9"/>
        <v>3</v>
      </c>
      <c r="K79" s="6">
        <f t="shared" si="9"/>
        <v>4</v>
      </c>
      <c r="L79" s="6">
        <f t="shared" si="9"/>
        <v>0</v>
      </c>
      <c r="M79" s="6">
        <f t="shared" si="9"/>
        <v>0</v>
      </c>
      <c r="N79" s="6">
        <f t="shared" si="9"/>
        <v>0</v>
      </c>
    </row>
    <row r="80" spans="1:14">
      <c r="A80" s="6">
        <f t="shared" si="7"/>
        <v>2007</v>
      </c>
      <c r="B80" s="24">
        <f t="shared" si="10"/>
        <v>0</v>
      </c>
      <c r="C80" s="6">
        <f t="shared" si="9"/>
        <v>0</v>
      </c>
      <c r="D80" s="6">
        <f t="shared" si="9"/>
        <v>14</v>
      </c>
      <c r="E80" s="6">
        <f t="shared" si="9"/>
        <v>16</v>
      </c>
      <c r="F80" s="6">
        <f t="shared" si="9"/>
        <v>21</v>
      </c>
      <c r="G80" s="6">
        <f t="shared" si="9"/>
        <v>18</v>
      </c>
      <c r="H80" s="6">
        <f t="shared" si="9"/>
        <v>15</v>
      </c>
      <c r="I80" s="6">
        <f t="shared" si="9"/>
        <v>8</v>
      </c>
      <c r="J80" s="6">
        <f t="shared" si="9"/>
        <v>4</v>
      </c>
      <c r="K80" s="6">
        <f t="shared" si="9"/>
        <v>4</v>
      </c>
      <c r="L80" s="6">
        <f t="shared" si="9"/>
        <v>0</v>
      </c>
      <c r="M80" s="6">
        <f t="shared" si="9"/>
        <v>0</v>
      </c>
      <c r="N80" s="6">
        <f t="shared" si="9"/>
        <v>0</v>
      </c>
    </row>
    <row r="81" spans="1:14">
      <c r="A81" s="6">
        <f t="shared" si="7"/>
        <v>2008</v>
      </c>
      <c r="B81" s="24">
        <f t="shared" si="10"/>
        <v>0</v>
      </c>
      <c r="C81" s="6">
        <f t="shared" si="9"/>
        <v>0</v>
      </c>
      <c r="D81" s="6">
        <f t="shared" si="9"/>
        <v>0</v>
      </c>
      <c r="E81" s="6">
        <f t="shared" si="9"/>
        <v>0</v>
      </c>
      <c r="F81" s="6">
        <f t="shared" si="9"/>
        <v>21</v>
      </c>
      <c r="G81" s="6">
        <f t="shared" si="9"/>
        <v>16</v>
      </c>
      <c r="H81" s="6">
        <f t="shared" si="9"/>
        <v>23</v>
      </c>
      <c r="I81" s="6">
        <f t="shared" si="9"/>
        <v>15</v>
      </c>
      <c r="J81" s="6">
        <f t="shared" si="9"/>
        <v>13</v>
      </c>
      <c r="K81" s="6">
        <f t="shared" si="9"/>
        <v>6</v>
      </c>
      <c r="L81" s="6">
        <f t="shared" si="9"/>
        <v>3</v>
      </c>
      <c r="M81" s="6">
        <f t="shared" si="9"/>
        <v>3</v>
      </c>
      <c r="N81" s="6">
        <f t="shared" si="9"/>
        <v>0</v>
      </c>
    </row>
    <row r="82" spans="1:14">
      <c r="A82" s="6">
        <f t="shared" si="7"/>
        <v>2009</v>
      </c>
      <c r="B82" s="24">
        <f t="shared" si="10"/>
        <v>0</v>
      </c>
      <c r="C82" s="6">
        <f t="shared" si="9"/>
        <v>0</v>
      </c>
      <c r="D82" s="6">
        <f t="shared" si="9"/>
        <v>0</v>
      </c>
      <c r="E82" s="6">
        <f t="shared" si="9"/>
        <v>0</v>
      </c>
      <c r="F82" s="6">
        <f t="shared" si="9"/>
        <v>20</v>
      </c>
      <c r="G82" s="6">
        <f t="shared" si="9"/>
        <v>16</v>
      </c>
      <c r="H82" s="6">
        <f t="shared" si="9"/>
        <v>19</v>
      </c>
      <c r="I82" s="6">
        <f t="shared" si="9"/>
        <v>17</v>
      </c>
      <c r="J82" s="6">
        <f t="shared" si="9"/>
        <v>13</v>
      </c>
      <c r="K82" s="6">
        <f t="shared" si="9"/>
        <v>8</v>
      </c>
      <c r="L82" s="6">
        <f t="shared" si="9"/>
        <v>4</v>
      </c>
      <c r="M82" s="6">
        <f t="shared" si="9"/>
        <v>3</v>
      </c>
      <c r="N82" s="6">
        <f t="shared" si="9"/>
        <v>0</v>
      </c>
    </row>
    <row r="83" spans="1:14">
      <c r="A83" s="6">
        <f t="shared" si="7"/>
        <v>2010</v>
      </c>
      <c r="B83" s="24">
        <f t="shared" si="10"/>
        <v>0</v>
      </c>
      <c r="C83" s="6">
        <f t="shared" si="9"/>
        <v>8</v>
      </c>
      <c r="D83" s="6">
        <f t="shared" si="9"/>
        <v>10</v>
      </c>
      <c r="E83" s="6">
        <f t="shared" si="9"/>
        <v>17</v>
      </c>
      <c r="F83" s="6">
        <f t="shared" si="9"/>
        <v>18</v>
      </c>
      <c r="G83" s="6">
        <f t="shared" si="9"/>
        <v>18</v>
      </c>
      <c r="H83" s="6">
        <f t="shared" si="9"/>
        <v>13</v>
      </c>
      <c r="I83" s="6">
        <f t="shared" si="9"/>
        <v>7</v>
      </c>
      <c r="J83" s="6">
        <f t="shared" si="9"/>
        <v>5</v>
      </c>
      <c r="K83" s="6">
        <f t="shared" si="9"/>
        <v>4</v>
      </c>
      <c r="L83" s="6">
        <f t="shared" si="9"/>
        <v>0</v>
      </c>
      <c r="M83" s="6">
        <f t="shared" si="9"/>
        <v>0</v>
      </c>
      <c r="N83" s="6">
        <f t="shared" si="9"/>
        <v>0</v>
      </c>
    </row>
    <row r="84" spans="1:14">
      <c r="A84" s="6">
        <f t="shared" si="7"/>
        <v>2011</v>
      </c>
      <c r="B84" s="24">
        <f t="shared" si="10"/>
        <v>0</v>
      </c>
      <c r="C84" s="6">
        <f t="shared" si="9"/>
        <v>0</v>
      </c>
      <c r="D84" s="6">
        <f t="shared" si="9"/>
        <v>0</v>
      </c>
      <c r="E84" s="6">
        <f t="shared" si="9"/>
        <v>16</v>
      </c>
      <c r="F84" s="6">
        <f t="shared" si="9"/>
        <v>18</v>
      </c>
      <c r="G84" s="6">
        <f t="shared" si="9"/>
        <v>17</v>
      </c>
      <c r="H84" s="6">
        <f t="shared" si="9"/>
        <v>19</v>
      </c>
      <c r="I84" s="6">
        <f t="shared" si="9"/>
        <v>13</v>
      </c>
      <c r="J84" s="6">
        <f t="shared" si="9"/>
        <v>10</v>
      </c>
      <c r="K84" s="6">
        <f t="shared" si="9"/>
        <v>4</v>
      </c>
      <c r="L84" s="6">
        <f t="shared" si="9"/>
        <v>3</v>
      </c>
      <c r="M84" s="6">
        <f t="shared" si="9"/>
        <v>0</v>
      </c>
      <c r="N84" s="6">
        <f t="shared" si="9"/>
        <v>0</v>
      </c>
    </row>
    <row r="85" spans="1:14">
      <c r="A85" s="6">
        <f t="shared" si="7"/>
        <v>2012</v>
      </c>
      <c r="B85" s="24">
        <f t="shared" si="10"/>
        <v>0</v>
      </c>
      <c r="C85" s="6">
        <f t="shared" si="9"/>
        <v>0</v>
      </c>
      <c r="D85" s="6">
        <f t="shared" si="9"/>
        <v>16</v>
      </c>
      <c r="E85" s="6">
        <f t="shared" si="9"/>
        <v>20</v>
      </c>
      <c r="F85" s="6">
        <f t="shared" si="9"/>
        <v>19</v>
      </c>
      <c r="G85" s="6">
        <f t="shared" si="9"/>
        <v>16</v>
      </c>
      <c r="H85" s="6">
        <f t="shared" si="9"/>
        <v>12</v>
      </c>
      <c r="I85" s="6">
        <f t="shared" si="9"/>
        <v>8</v>
      </c>
      <c r="J85" s="6">
        <f t="shared" si="9"/>
        <v>5</v>
      </c>
      <c r="K85" s="6">
        <f t="shared" si="9"/>
        <v>4</v>
      </c>
      <c r="L85" s="6">
        <f t="shared" si="9"/>
        <v>0</v>
      </c>
      <c r="M85" s="6">
        <f t="shared" si="9"/>
        <v>0</v>
      </c>
      <c r="N85" s="6">
        <f t="shared" si="9"/>
        <v>0</v>
      </c>
    </row>
    <row r="86" spans="1:14">
      <c r="A86" s="6">
        <f t="shared" si="7"/>
        <v>2013</v>
      </c>
      <c r="B86" s="24">
        <f t="shared" si="10"/>
        <v>0</v>
      </c>
      <c r="C86" s="6">
        <f t="shared" si="9"/>
        <v>0</v>
      </c>
      <c r="D86" s="6">
        <f t="shared" si="9"/>
        <v>0</v>
      </c>
      <c r="E86" s="6">
        <f t="shared" si="9"/>
        <v>8</v>
      </c>
      <c r="F86" s="6">
        <f t="shared" si="9"/>
        <v>12</v>
      </c>
      <c r="G86" s="6">
        <f t="shared" si="9"/>
        <v>19</v>
      </c>
      <c r="H86" s="6">
        <f t="shared" si="9"/>
        <v>19</v>
      </c>
      <c r="I86" s="6">
        <f t="shared" si="9"/>
        <v>14</v>
      </c>
      <c r="J86" s="6">
        <f t="shared" si="9"/>
        <v>12</v>
      </c>
      <c r="K86" s="6">
        <f t="shared" si="9"/>
        <v>8</v>
      </c>
      <c r="L86" s="6">
        <f t="shared" si="9"/>
        <v>5</v>
      </c>
      <c r="M86" s="6">
        <f t="shared" si="9"/>
        <v>3</v>
      </c>
      <c r="N86" s="6">
        <f t="shared" si="9"/>
        <v>0</v>
      </c>
    </row>
    <row r="87" spans="1:14">
      <c r="A87" s="6">
        <f t="shared" si="7"/>
        <v>2014</v>
      </c>
      <c r="B87" s="24">
        <f t="shared" si="10"/>
        <v>0</v>
      </c>
      <c r="C87" s="6">
        <f t="shared" ref="C87:N96" si="11">C35-B35</f>
        <v>0</v>
      </c>
      <c r="D87" s="6">
        <f t="shared" si="11"/>
        <v>0</v>
      </c>
      <c r="E87" s="6">
        <f t="shared" si="11"/>
        <v>19</v>
      </c>
      <c r="F87" s="6">
        <f t="shared" si="11"/>
        <v>19</v>
      </c>
      <c r="G87" s="6">
        <f t="shared" si="11"/>
        <v>19</v>
      </c>
      <c r="H87" s="6">
        <f t="shared" si="11"/>
        <v>15</v>
      </c>
      <c r="I87" s="6">
        <f t="shared" si="11"/>
        <v>11</v>
      </c>
      <c r="J87" s="6">
        <f t="shared" si="11"/>
        <v>7</v>
      </c>
      <c r="K87" s="6">
        <f t="shared" si="11"/>
        <v>5</v>
      </c>
      <c r="L87" s="6">
        <f t="shared" si="11"/>
        <v>5</v>
      </c>
      <c r="M87" s="6">
        <f t="shared" si="11"/>
        <v>0</v>
      </c>
      <c r="N87" s="6">
        <f t="shared" si="11"/>
        <v>0</v>
      </c>
    </row>
    <row r="88" spans="1:14">
      <c r="A88" s="6">
        <f t="shared" si="7"/>
        <v>2015</v>
      </c>
      <c r="B88" s="24">
        <f t="shared" si="10"/>
        <v>0</v>
      </c>
      <c r="C88" s="6">
        <f t="shared" si="11"/>
        <v>0</v>
      </c>
      <c r="D88" s="6">
        <f t="shared" si="11"/>
        <v>6</v>
      </c>
      <c r="E88" s="6">
        <f t="shared" si="11"/>
        <v>11</v>
      </c>
      <c r="F88" s="6">
        <f t="shared" si="11"/>
        <v>17</v>
      </c>
      <c r="G88" s="6">
        <f t="shared" si="11"/>
        <v>20</v>
      </c>
      <c r="H88" s="6">
        <f t="shared" si="11"/>
        <v>15</v>
      </c>
      <c r="I88" s="6">
        <f t="shared" si="11"/>
        <v>10</v>
      </c>
      <c r="J88" s="6">
        <f t="shared" si="11"/>
        <v>8</v>
      </c>
      <c r="K88" s="6">
        <f t="shared" si="11"/>
        <v>6</v>
      </c>
      <c r="L88" s="6">
        <f t="shared" si="11"/>
        <v>3</v>
      </c>
      <c r="M88" s="6">
        <f t="shared" si="11"/>
        <v>4</v>
      </c>
      <c r="N88" s="6">
        <f t="shared" si="11"/>
        <v>0</v>
      </c>
    </row>
    <row r="89" spans="1:14">
      <c r="A89" s="6">
        <f t="shared" si="7"/>
        <v>2016</v>
      </c>
      <c r="B89" s="24">
        <f t="shared" si="10"/>
        <v>0</v>
      </c>
      <c r="C89" s="6">
        <f t="shared" si="11"/>
        <v>7</v>
      </c>
      <c r="D89" s="6">
        <f t="shared" si="11"/>
        <v>11</v>
      </c>
      <c r="E89" s="6">
        <f t="shared" si="11"/>
        <v>17</v>
      </c>
      <c r="F89" s="6">
        <f t="shared" si="11"/>
        <v>19</v>
      </c>
      <c r="G89" s="6">
        <f t="shared" si="11"/>
        <v>15</v>
      </c>
      <c r="H89" s="6">
        <f t="shared" si="11"/>
        <v>11</v>
      </c>
      <c r="I89" s="6">
        <f t="shared" si="11"/>
        <v>9</v>
      </c>
      <c r="J89" s="6">
        <f t="shared" si="11"/>
        <v>5</v>
      </c>
      <c r="K89" s="6">
        <f t="shared" si="11"/>
        <v>3</v>
      </c>
      <c r="L89" s="6">
        <f t="shared" si="11"/>
        <v>3</v>
      </c>
      <c r="M89" s="6">
        <f t="shared" si="11"/>
        <v>0</v>
      </c>
      <c r="N89" s="6">
        <f t="shared" si="11"/>
        <v>0</v>
      </c>
    </row>
    <row r="90" spans="1:14">
      <c r="A90" s="6">
        <f t="shared" si="7"/>
        <v>2017</v>
      </c>
      <c r="B90" s="24">
        <f t="shared" si="10"/>
        <v>0</v>
      </c>
      <c r="C90" s="6">
        <f t="shared" si="11"/>
        <v>7</v>
      </c>
      <c r="D90" s="6">
        <f t="shared" si="11"/>
        <v>9</v>
      </c>
      <c r="E90" s="6">
        <f t="shared" si="11"/>
        <v>13</v>
      </c>
      <c r="F90" s="6">
        <f t="shared" si="11"/>
        <v>19</v>
      </c>
      <c r="G90" s="6">
        <f t="shared" si="11"/>
        <v>17</v>
      </c>
      <c r="H90" s="6">
        <f t="shared" si="11"/>
        <v>14</v>
      </c>
      <c r="I90" s="6">
        <f t="shared" si="11"/>
        <v>8</v>
      </c>
      <c r="J90" s="6">
        <f t="shared" si="11"/>
        <v>6</v>
      </c>
      <c r="K90" s="6">
        <f t="shared" si="11"/>
        <v>4</v>
      </c>
      <c r="L90" s="6">
        <f t="shared" si="11"/>
        <v>3</v>
      </c>
      <c r="M90" s="6">
        <f t="shared" si="11"/>
        <v>0</v>
      </c>
      <c r="N90" s="6">
        <f t="shared" si="11"/>
        <v>0</v>
      </c>
    </row>
    <row r="91" spans="1:14">
      <c r="A91" s="6">
        <f t="shared" si="7"/>
        <v>2018</v>
      </c>
      <c r="B91" s="24">
        <f t="shared" si="10"/>
        <v>0</v>
      </c>
      <c r="C91" s="6">
        <f t="shared" si="11"/>
        <v>11</v>
      </c>
      <c r="D91" s="6">
        <f t="shared" si="11"/>
        <v>15</v>
      </c>
      <c r="E91" s="6">
        <f t="shared" si="11"/>
        <v>18</v>
      </c>
      <c r="F91" s="6">
        <f t="shared" si="11"/>
        <v>16</v>
      </c>
      <c r="G91" s="6">
        <f t="shared" si="11"/>
        <v>15</v>
      </c>
      <c r="H91" s="6">
        <f t="shared" si="11"/>
        <v>9</v>
      </c>
      <c r="I91" s="6">
        <f t="shared" si="11"/>
        <v>7</v>
      </c>
      <c r="J91" s="6">
        <f t="shared" si="11"/>
        <v>4</v>
      </c>
      <c r="K91" s="6">
        <f t="shared" si="11"/>
        <v>5</v>
      </c>
      <c r="L91" s="6">
        <f t="shared" si="11"/>
        <v>0</v>
      </c>
      <c r="M91" s="6">
        <f t="shared" si="11"/>
        <v>0</v>
      </c>
      <c r="N91" s="6">
        <f t="shared" si="11"/>
        <v>0</v>
      </c>
    </row>
    <row r="92" spans="1:14">
      <c r="A92" s="6">
        <f t="shared" si="7"/>
        <v>2019</v>
      </c>
      <c r="B92" s="24">
        <f t="shared" si="10"/>
        <v>0</v>
      </c>
      <c r="C92" s="6">
        <f t="shared" si="11"/>
        <v>0</v>
      </c>
      <c r="D92" s="6">
        <f t="shared" si="11"/>
        <v>0</v>
      </c>
      <c r="E92" s="6">
        <f t="shared" si="11"/>
        <v>7</v>
      </c>
      <c r="F92" s="6">
        <f t="shared" si="11"/>
        <v>14</v>
      </c>
      <c r="G92" s="6">
        <f t="shared" si="11"/>
        <v>16</v>
      </c>
      <c r="H92" s="6">
        <f t="shared" si="11"/>
        <v>17</v>
      </c>
      <c r="I92" s="6">
        <f t="shared" si="11"/>
        <v>14</v>
      </c>
      <c r="J92" s="6">
        <f t="shared" si="11"/>
        <v>11</v>
      </c>
      <c r="K92" s="6">
        <f t="shared" si="11"/>
        <v>7</v>
      </c>
      <c r="L92" s="6">
        <f t="shared" si="11"/>
        <v>6</v>
      </c>
      <c r="M92" s="6">
        <f t="shared" si="11"/>
        <v>3</v>
      </c>
      <c r="N92" s="6">
        <f t="shared" si="11"/>
        <v>5</v>
      </c>
    </row>
    <row r="93" spans="1:14">
      <c r="A93" s="6">
        <f t="shared" si="7"/>
        <v>2020</v>
      </c>
      <c r="B93" s="24">
        <f t="shared" si="10"/>
        <v>0</v>
      </c>
      <c r="C93" s="6">
        <f t="shared" si="11"/>
        <v>2</v>
      </c>
      <c r="D93" s="6">
        <f t="shared" si="11"/>
        <v>9</v>
      </c>
      <c r="E93" s="6">
        <f t="shared" si="11"/>
        <v>14</v>
      </c>
      <c r="F93" s="6">
        <f t="shared" si="11"/>
        <v>18</v>
      </c>
      <c r="G93" s="6">
        <f t="shared" si="11"/>
        <v>16</v>
      </c>
      <c r="H93" s="6">
        <f t="shared" si="11"/>
        <v>16</v>
      </c>
      <c r="I93" s="6">
        <f t="shared" si="11"/>
        <v>9</v>
      </c>
      <c r="J93" s="6">
        <f t="shared" si="11"/>
        <v>8</v>
      </c>
      <c r="K93" s="6">
        <f t="shared" si="11"/>
        <v>3</v>
      </c>
      <c r="L93" s="6">
        <f t="shared" si="11"/>
        <v>5</v>
      </c>
      <c r="M93" s="6">
        <f t="shared" si="11"/>
        <v>0</v>
      </c>
      <c r="N93" s="6">
        <f t="shared" si="11"/>
        <v>0</v>
      </c>
    </row>
    <row r="94" spans="1:14">
      <c r="A94" s="6">
        <f>A42</f>
        <v>2021</v>
      </c>
      <c r="B94" s="24">
        <f t="shared" si="10"/>
        <v>3</v>
      </c>
      <c r="C94" s="6">
        <f>C42-B42</f>
        <v>7</v>
      </c>
      <c r="D94" s="6">
        <f t="shared" si="11"/>
        <v>13</v>
      </c>
      <c r="E94" s="6">
        <f t="shared" si="11"/>
        <v>19</v>
      </c>
      <c r="F94" s="6">
        <f t="shared" si="11"/>
        <v>16</v>
      </c>
      <c r="G94" s="6">
        <f t="shared" si="11"/>
        <v>14</v>
      </c>
      <c r="H94" s="6">
        <f t="shared" si="11"/>
        <v>9</v>
      </c>
      <c r="I94" s="6">
        <f t="shared" si="11"/>
        <v>7</v>
      </c>
      <c r="J94" s="6">
        <f t="shared" si="11"/>
        <v>5</v>
      </c>
      <c r="K94" s="6">
        <f t="shared" si="11"/>
        <v>3</v>
      </c>
      <c r="L94" s="6">
        <f t="shared" si="11"/>
        <v>4</v>
      </c>
      <c r="M94" s="6">
        <f t="shared" si="11"/>
        <v>0</v>
      </c>
      <c r="N94" s="6">
        <f t="shared" si="11"/>
        <v>0</v>
      </c>
    </row>
    <row r="95" spans="1:14">
      <c r="A95" s="6">
        <f t="shared" si="7"/>
        <v>2022</v>
      </c>
      <c r="B95" s="24">
        <f t="shared" si="10"/>
        <v>3</v>
      </c>
      <c r="C95" s="6">
        <f t="shared" si="11"/>
        <v>3</v>
      </c>
      <c r="D95" s="6">
        <f t="shared" si="11"/>
        <v>8</v>
      </c>
      <c r="E95" s="6">
        <f t="shared" si="11"/>
        <v>12</v>
      </c>
      <c r="F95" s="6">
        <f t="shared" si="11"/>
        <v>18</v>
      </c>
      <c r="G95" s="6">
        <f t="shared" si="11"/>
        <v>17</v>
      </c>
      <c r="H95" s="6">
        <f t="shared" si="11"/>
        <v>13</v>
      </c>
      <c r="I95" s="6">
        <f t="shared" si="11"/>
        <v>10</v>
      </c>
      <c r="J95" s="6">
        <f t="shared" si="11"/>
        <v>7</v>
      </c>
      <c r="K95" s="6">
        <f t="shared" si="11"/>
        <v>3</v>
      </c>
      <c r="L95" s="6">
        <f t="shared" si="11"/>
        <v>3</v>
      </c>
      <c r="M95" s="6">
        <f t="shared" si="11"/>
        <v>3</v>
      </c>
      <c r="N95" s="6">
        <f t="shared" si="11"/>
        <v>0</v>
      </c>
    </row>
    <row r="96" spans="1:14">
      <c r="A96" s="6">
        <f t="shared" si="7"/>
        <v>2023</v>
      </c>
      <c r="B96" s="24">
        <f t="shared" si="10"/>
        <v>4</v>
      </c>
      <c r="C96" s="6">
        <f t="shared" si="11"/>
        <v>6</v>
      </c>
      <c r="D96" s="6">
        <f t="shared" si="11"/>
        <v>10</v>
      </c>
      <c r="E96" s="6">
        <f t="shared" si="11"/>
        <v>15</v>
      </c>
      <c r="F96" s="6">
        <f t="shared" si="11"/>
        <v>15</v>
      </c>
      <c r="G96" s="6">
        <f t="shared" si="11"/>
        <v>16</v>
      </c>
      <c r="H96" s="6">
        <f t="shared" si="11"/>
        <v>12</v>
      </c>
      <c r="I96" s="6">
        <f t="shared" si="11"/>
        <v>8</v>
      </c>
      <c r="J96" s="6">
        <f t="shared" si="11"/>
        <v>5</v>
      </c>
      <c r="K96" s="6">
        <f t="shared" si="11"/>
        <v>4</v>
      </c>
      <c r="L96" s="6">
        <f t="shared" si="11"/>
        <v>5</v>
      </c>
      <c r="M96" s="6">
        <f t="shared" si="11"/>
        <v>0</v>
      </c>
      <c r="N96" s="6">
        <f t="shared" si="11"/>
        <v>0</v>
      </c>
    </row>
    <row r="97" spans="1:14">
      <c r="A97" s="6">
        <f t="shared" si="7"/>
        <v>2024</v>
      </c>
      <c r="B97" s="24">
        <f t="shared" si="10"/>
        <v>3</v>
      </c>
      <c r="C97" s="6">
        <f t="shared" ref="C97:C98" si="12">C45-B45</f>
        <v>6</v>
      </c>
      <c r="D97" s="6">
        <f t="shared" ref="D97:D98" si="13">D45-C45</f>
        <v>9</v>
      </c>
      <c r="E97" s="6">
        <f t="shared" ref="E97:E98" si="14">E45-D45</f>
        <v>11</v>
      </c>
      <c r="F97" s="6">
        <f t="shared" ref="F97" si="15">F45-E45</f>
        <v>15</v>
      </c>
      <c r="G97" s="6">
        <f t="shared" ref="G97" si="16">G45-F45</f>
        <v>15</v>
      </c>
      <c r="H97" s="6">
        <f t="shared" ref="H97" si="17">H45-G45</f>
        <v>13</v>
      </c>
      <c r="I97" s="6">
        <f t="shared" ref="I97" si="18">I45-H45</f>
        <v>9</v>
      </c>
      <c r="J97" s="6">
        <f t="shared" ref="J97" si="19">J45-I45</f>
        <v>8</v>
      </c>
      <c r="K97" s="6">
        <f t="shared" ref="K97" si="20">K45-J45</f>
        <v>5</v>
      </c>
      <c r="L97" s="6">
        <f t="shared" ref="L97" si="21">L45-K45</f>
        <v>3</v>
      </c>
      <c r="M97" s="6">
        <f t="shared" ref="M97" si="22">M45-L45</f>
        <v>3</v>
      </c>
      <c r="N97" s="6">
        <f t="shared" ref="N97" si="23">N45-M45</f>
        <v>0</v>
      </c>
    </row>
    <row r="98" spans="1:14">
      <c r="A98" s="6">
        <f t="shared" si="7"/>
        <v>2025</v>
      </c>
      <c r="B98" s="24">
        <f>B46-0</f>
        <v>3</v>
      </c>
      <c r="C98" s="6">
        <f t="shared" si="12"/>
        <v>5</v>
      </c>
      <c r="D98" s="6">
        <f t="shared" si="13"/>
        <v>7</v>
      </c>
      <c r="E98" s="6">
        <f t="shared" si="14"/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0FA9-34C2-4311-9B78-C63C5DE1B6E2}">
  <dimension ref="A1:R58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N24" sqref="N24:O26"/>
    </sheetView>
  </sheetViews>
  <sheetFormatPr defaultColWidth="9.140625" defaultRowHeight="12.75"/>
  <cols>
    <col min="1" max="4" width="9.28515625" style="1" bestFit="1" customWidth="1"/>
    <col min="5" max="6" width="9.85546875" style="1" bestFit="1" customWidth="1"/>
    <col min="7" max="7" width="10.85546875" style="1" bestFit="1" customWidth="1"/>
    <col min="8" max="9" width="9.85546875" style="1" bestFit="1" customWidth="1"/>
    <col min="10" max="10" width="9.28515625" style="1" bestFit="1" customWidth="1"/>
    <col min="11" max="13" width="9.85546875" style="1" bestFit="1" customWidth="1"/>
    <col min="14" max="14" width="9.28515625" style="1" bestFit="1" customWidth="1"/>
    <col min="15" max="16384" width="9.140625" style="1"/>
  </cols>
  <sheetData>
    <row r="1" spans="1:18">
      <c r="B1" s="2">
        <v>45179</v>
      </c>
      <c r="C1" s="2">
        <f>B1+7</f>
        <v>45186</v>
      </c>
      <c r="D1" s="2">
        <f t="shared" ref="D1:O1" si="0">C1+7</f>
        <v>45193</v>
      </c>
      <c r="E1" s="2">
        <f t="shared" si="0"/>
        <v>45200</v>
      </c>
      <c r="F1" s="2">
        <f t="shared" si="0"/>
        <v>45207</v>
      </c>
      <c r="G1" s="2">
        <f t="shared" si="0"/>
        <v>45214</v>
      </c>
      <c r="H1" s="2">
        <f t="shared" si="0"/>
        <v>45221</v>
      </c>
      <c r="I1" s="2">
        <f t="shared" si="0"/>
        <v>45228</v>
      </c>
      <c r="J1" s="2">
        <f t="shared" si="0"/>
        <v>45235</v>
      </c>
      <c r="K1" s="2">
        <f t="shared" si="0"/>
        <v>45242</v>
      </c>
      <c r="L1" s="2">
        <f t="shared" si="0"/>
        <v>45249</v>
      </c>
      <c r="M1" s="2">
        <f t="shared" si="0"/>
        <v>45256</v>
      </c>
      <c r="N1" s="2">
        <f t="shared" si="0"/>
        <v>45263</v>
      </c>
      <c r="O1" s="2">
        <f t="shared" si="0"/>
        <v>45270</v>
      </c>
      <c r="P1" s="2"/>
      <c r="Q1" s="2"/>
      <c r="R1" s="2"/>
    </row>
    <row r="2" spans="1:18">
      <c r="A2" s="1">
        <v>2000</v>
      </c>
      <c r="B2" s="3">
        <v>2</v>
      </c>
      <c r="C2" s="3">
        <v>7</v>
      </c>
      <c r="D2" s="3">
        <v>20</v>
      </c>
      <c r="E2" s="3">
        <v>37</v>
      </c>
      <c r="F2" s="3">
        <v>58</v>
      </c>
      <c r="G2" s="3">
        <v>74</v>
      </c>
      <c r="H2" s="3">
        <v>84</v>
      </c>
      <c r="I2" s="3">
        <v>91</v>
      </c>
      <c r="J2" s="3">
        <v>95</v>
      </c>
      <c r="K2" s="3">
        <v>100</v>
      </c>
      <c r="L2" s="3">
        <v>100</v>
      </c>
      <c r="M2" s="3">
        <v>100</v>
      </c>
      <c r="N2" s="3">
        <v>100</v>
      </c>
      <c r="O2" s="3">
        <v>100</v>
      </c>
    </row>
    <row r="3" spans="1:18">
      <c r="A3" s="1">
        <v>2001</v>
      </c>
      <c r="B3" s="3">
        <v>0</v>
      </c>
      <c r="C3" s="3">
        <v>3</v>
      </c>
      <c r="D3" s="3">
        <v>6</v>
      </c>
      <c r="E3" s="3">
        <v>16</v>
      </c>
      <c r="F3" s="3">
        <v>40</v>
      </c>
      <c r="G3" s="3">
        <v>57</v>
      </c>
      <c r="H3" s="3">
        <v>70</v>
      </c>
      <c r="I3" s="3">
        <v>81</v>
      </c>
      <c r="J3" s="3">
        <v>90</v>
      </c>
      <c r="K3" s="3">
        <v>96</v>
      </c>
      <c r="L3" s="3">
        <v>100</v>
      </c>
      <c r="M3" s="3">
        <v>100</v>
      </c>
      <c r="N3" s="3">
        <v>100</v>
      </c>
      <c r="O3" s="3">
        <v>100</v>
      </c>
    </row>
    <row r="4" spans="1:18">
      <c r="A4" s="1">
        <v>2002</v>
      </c>
      <c r="B4" s="3">
        <v>0</v>
      </c>
      <c r="C4" s="3">
        <v>0</v>
      </c>
      <c r="D4" s="3">
        <v>6</v>
      </c>
      <c r="E4" s="3">
        <v>17</v>
      </c>
      <c r="F4" s="3">
        <v>31</v>
      </c>
      <c r="G4" s="3">
        <v>53</v>
      </c>
      <c r="H4" s="3">
        <v>74</v>
      </c>
      <c r="I4" s="3">
        <v>84</v>
      </c>
      <c r="J4" s="3">
        <v>87</v>
      </c>
      <c r="K4" s="3">
        <v>91</v>
      </c>
      <c r="L4" s="3">
        <v>94</v>
      </c>
      <c r="M4" s="3">
        <v>97</v>
      </c>
      <c r="N4" s="3">
        <v>100</v>
      </c>
      <c r="O4" s="3">
        <v>100</v>
      </c>
    </row>
    <row r="5" spans="1:18">
      <c r="A5" s="1">
        <v>2003</v>
      </c>
      <c r="B5" s="3">
        <v>0</v>
      </c>
      <c r="C5" s="3">
        <v>0</v>
      </c>
      <c r="D5" s="3">
        <v>6</v>
      </c>
      <c r="E5" s="3">
        <v>17</v>
      </c>
      <c r="F5" s="3">
        <v>37</v>
      </c>
      <c r="G5" s="3">
        <v>60</v>
      </c>
      <c r="H5" s="3">
        <v>74</v>
      </c>
      <c r="I5" s="3">
        <v>85</v>
      </c>
      <c r="J5" s="3">
        <v>91</v>
      </c>
      <c r="K5" s="3">
        <v>95</v>
      </c>
      <c r="L5" s="3">
        <v>100</v>
      </c>
      <c r="M5" s="3">
        <v>100</v>
      </c>
      <c r="N5" s="3">
        <v>100</v>
      </c>
      <c r="O5" s="3">
        <v>100</v>
      </c>
    </row>
    <row r="6" spans="1:18">
      <c r="A6" s="1">
        <v>2004</v>
      </c>
      <c r="B6" s="3">
        <v>0</v>
      </c>
      <c r="C6" s="3">
        <v>0</v>
      </c>
      <c r="D6" s="3">
        <v>8</v>
      </c>
      <c r="E6" s="3">
        <v>18</v>
      </c>
      <c r="F6" s="3">
        <v>36</v>
      </c>
      <c r="G6" s="3">
        <v>58</v>
      </c>
      <c r="H6" s="3">
        <v>71</v>
      </c>
      <c r="I6" s="3">
        <v>80</v>
      </c>
      <c r="J6" s="3">
        <v>84</v>
      </c>
      <c r="K6" s="3">
        <v>87</v>
      </c>
      <c r="L6" s="3">
        <v>93</v>
      </c>
      <c r="M6" s="3">
        <v>95</v>
      </c>
      <c r="N6" s="3">
        <v>100</v>
      </c>
      <c r="O6" s="3">
        <v>100</v>
      </c>
    </row>
    <row r="7" spans="1:18">
      <c r="A7" s="1">
        <v>2005</v>
      </c>
      <c r="B7" s="3">
        <v>0</v>
      </c>
      <c r="C7" s="3">
        <v>8</v>
      </c>
      <c r="D7" s="3">
        <v>19</v>
      </c>
      <c r="E7" s="3">
        <v>36</v>
      </c>
      <c r="F7" s="3">
        <v>60</v>
      </c>
      <c r="G7" s="3">
        <v>76</v>
      </c>
      <c r="H7" s="3">
        <v>87</v>
      </c>
      <c r="I7" s="3">
        <v>92</v>
      </c>
      <c r="J7" s="3">
        <v>96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</row>
    <row r="8" spans="1:18">
      <c r="A8" s="1">
        <v>2006</v>
      </c>
      <c r="B8" s="3">
        <v>0</v>
      </c>
      <c r="C8" s="3">
        <v>6</v>
      </c>
      <c r="D8" s="3">
        <v>9</v>
      </c>
      <c r="E8" s="3">
        <v>19</v>
      </c>
      <c r="F8" s="3">
        <v>47</v>
      </c>
      <c r="G8" s="3">
        <v>69</v>
      </c>
      <c r="H8" s="3">
        <v>76</v>
      </c>
      <c r="I8" s="3">
        <v>83</v>
      </c>
      <c r="J8" s="3">
        <v>90</v>
      </c>
      <c r="K8" s="3">
        <v>94</v>
      </c>
      <c r="L8" s="3">
        <v>96</v>
      </c>
      <c r="M8" s="3">
        <v>100</v>
      </c>
      <c r="N8" s="3">
        <v>100</v>
      </c>
      <c r="O8" s="3">
        <v>100</v>
      </c>
    </row>
    <row r="9" spans="1:18">
      <c r="A9" s="1">
        <v>2007</v>
      </c>
      <c r="B9" s="3">
        <v>0</v>
      </c>
      <c r="C9" s="3">
        <v>4</v>
      </c>
      <c r="D9" s="3">
        <v>12</v>
      </c>
      <c r="E9" s="3">
        <v>29</v>
      </c>
      <c r="F9" s="3">
        <v>50</v>
      </c>
      <c r="G9" s="3">
        <v>66</v>
      </c>
      <c r="H9" s="3">
        <v>75</v>
      </c>
      <c r="I9" s="3">
        <v>84</v>
      </c>
      <c r="J9" s="3">
        <v>92</v>
      </c>
      <c r="K9" s="3">
        <v>97</v>
      </c>
      <c r="L9" s="3">
        <v>100</v>
      </c>
      <c r="M9" s="3">
        <v>100</v>
      </c>
      <c r="N9" s="3">
        <v>100</v>
      </c>
      <c r="O9" s="3">
        <v>100</v>
      </c>
    </row>
    <row r="10" spans="1:18">
      <c r="A10" s="1">
        <v>2008</v>
      </c>
      <c r="B10" s="3">
        <v>0</v>
      </c>
      <c r="C10" s="3">
        <v>0</v>
      </c>
      <c r="D10" s="3">
        <v>3</v>
      </c>
      <c r="E10" s="3">
        <v>9</v>
      </c>
      <c r="F10" s="3">
        <v>31</v>
      </c>
      <c r="G10" s="3">
        <v>51</v>
      </c>
      <c r="H10" s="3">
        <v>67</v>
      </c>
      <c r="I10" s="3">
        <v>76</v>
      </c>
      <c r="J10" s="3">
        <v>86</v>
      </c>
      <c r="K10" s="3">
        <v>93</v>
      </c>
      <c r="L10" s="3">
        <v>95</v>
      </c>
      <c r="M10" s="3">
        <v>100</v>
      </c>
      <c r="N10" s="3">
        <v>100</v>
      </c>
      <c r="O10" s="3">
        <v>100</v>
      </c>
    </row>
    <row r="11" spans="1:18">
      <c r="A11" s="1">
        <v>2009</v>
      </c>
      <c r="B11" s="3">
        <v>0</v>
      </c>
      <c r="C11" s="3">
        <v>0</v>
      </c>
      <c r="D11" s="3">
        <v>0</v>
      </c>
      <c r="E11" s="3">
        <v>5</v>
      </c>
      <c r="F11" s="3">
        <v>15</v>
      </c>
      <c r="G11" s="3">
        <v>23</v>
      </c>
      <c r="H11" s="3">
        <v>30</v>
      </c>
      <c r="I11" s="3">
        <v>44</v>
      </c>
      <c r="J11" s="3">
        <v>51</v>
      </c>
      <c r="K11" s="3">
        <v>75</v>
      </c>
      <c r="L11" s="3">
        <v>89</v>
      </c>
      <c r="M11" s="3">
        <v>94</v>
      </c>
      <c r="N11" s="3">
        <v>96</v>
      </c>
      <c r="O11" s="3">
        <v>100</v>
      </c>
    </row>
    <row r="12" spans="1:18">
      <c r="A12" s="1">
        <v>2010</v>
      </c>
      <c r="B12" s="3">
        <v>0</v>
      </c>
      <c r="C12" s="3">
        <v>8</v>
      </c>
      <c r="D12" s="3">
        <v>17</v>
      </c>
      <c r="E12" s="3">
        <v>37</v>
      </c>
      <c r="F12" s="3">
        <v>67</v>
      </c>
      <c r="G12" s="3">
        <v>83</v>
      </c>
      <c r="H12" s="3">
        <v>91</v>
      </c>
      <c r="I12" s="3">
        <v>96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</row>
    <row r="13" spans="1:18">
      <c r="A13" s="1">
        <v>2011</v>
      </c>
      <c r="B13" s="3">
        <v>0</v>
      </c>
      <c r="C13" s="3">
        <v>0</v>
      </c>
      <c r="D13" s="3">
        <v>5</v>
      </c>
      <c r="E13" s="3">
        <v>19</v>
      </c>
      <c r="F13" s="3">
        <v>51</v>
      </c>
      <c r="G13" s="3">
        <v>69</v>
      </c>
      <c r="H13" s="3">
        <v>80</v>
      </c>
      <c r="I13" s="3">
        <v>87</v>
      </c>
      <c r="J13" s="3">
        <v>92</v>
      </c>
      <c r="K13" s="3">
        <v>96</v>
      </c>
      <c r="L13" s="3">
        <v>100</v>
      </c>
      <c r="M13" s="3">
        <v>100</v>
      </c>
      <c r="N13" s="3">
        <v>100</v>
      </c>
      <c r="O13" s="3">
        <v>100</v>
      </c>
    </row>
    <row r="14" spans="1:18">
      <c r="A14" s="1">
        <v>2012</v>
      </c>
      <c r="B14" s="3">
        <v>4</v>
      </c>
      <c r="C14" s="3">
        <v>10</v>
      </c>
      <c r="D14" s="3">
        <v>22</v>
      </c>
      <c r="E14" s="3">
        <v>41</v>
      </c>
      <c r="F14" s="3">
        <v>58</v>
      </c>
      <c r="G14" s="3">
        <v>71</v>
      </c>
      <c r="H14" s="3">
        <v>80</v>
      </c>
      <c r="I14" s="3">
        <v>87</v>
      </c>
      <c r="J14" s="3">
        <v>93</v>
      </c>
      <c r="K14" s="3">
        <v>96</v>
      </c>
      <c r="L14" s="3">
        <v>100</v>
      </c>
      <c r="M14" s="3">
        <v>100</v>
      </c>
      <c r="N14" s="3">
        <v>100</v>
      </c>
      <c r="O14" s="3">
        <v>100</v>
      </c>
    </row>
    <row r="15" spans="1:18">
      <c r="A15" s="1">
        <v>2013</v>
      </c>
      <c r="B15" s="3">
        <v>0</v>
      </c>
      <c r="C15" s="3">
        <v>0</v>
      </c>
      <c r="D15" s="3">
        <v>3</v>
      </c>
      <c r="E15" s="3">
        <v>11</v>
      </c>
      <c r="F15" s="4">
        <f>AVERAGE(F14/E14,F13/E13,F12/E12,F11/E11,F10/E10,F9/E9,F8/E8,F7/E7,F6/E6,F5/E5)*E15*1.15</f>
        <v>28.329750045334709</v>
      </c>
      <c r="G15" s="4">
        <f>AVERAGE(G14/F14,G13/F13,G12/F12,G11/F11,G10/F10,G9/F9,G8/F8,G7/F7,G6/F6,G5/F5)*F15*1.15</f>
        <v>46.529188964359818</v>
      </c>
      <c r="H15" s="3">
        <v>63</v>
      </c>
      <c r="I15" s="3">
        <v>77</v>
      </c>
      <c r="J15" s="3">
        <v>86</v>
      </c>
      <c r="K15" s="3">
        <v>91</v>
      </c>
      <c r="L15" s="3">
        <v>100</v>
      </c>
      <c r="M15" s="3">
        <v>100</v>
      </c>
      <c r="N15" s="3">
        <v>100</v>
      </c>
      <c r="O15" s="3">
        <v>100</v>
      </c>
    </row>
    <row r="16" spans="1:18">
      <c r="A16" s="1">
        <v>2014</v>
      </c>
      <c r="B16" s="3">
        <v>0</v>
      </c>
      <c r="C16" s="3">
        <v>0</v>
      </c>
      <c r="D16" s="3">
        <v>3</v>
      </c>
      <c r="E16" s="3">
        <v>10</v>
      </c>
      <c r="F16" s="3">
        <v>20</v>
      </c>
      <c r="G16" s="3">
        <v>40</v>
      </c>
      <c r="H16" s="3">
        <v>53</v>
      </c>
      <c r="I16" s="3">
        <v>70</v>
      </c>
      <c r="J16" s="3">
        <v>83</v>
      </c>
      <c r="K16" s="3">
        <v>90</v>
      </c>
      <c r="L16" s="3">
        <v>94</v>
      </c>
      <c r="M16" s="3">
        <v>97</v>
      </c>
      <c r="N16" s="3">
        <v>100</v>
      </c>
      <c r="O16" s="3">
        <v>100</v>
      </c>
    </row>
    <row r="17" spans="1:15">
      <c r="A17" s="1">
        <v>2015</v>
      </c>
      <c r="B17" s="3">
        <v>0</v>
      </c>
      <c r="C17" s="3">
        <v>0</v>
      </c>
      <c r="D17" s="3">
        <v>7</v>
      </c>
      <c r="E17" s="3">
        <v>21</v>
      </c>
      <c r="F17" s="3">
        <v>42</v>
      </c>
      <c r="G17" s="3">
        <v>62</v>
      </c>
      <c r="H17" s="3">
        <v>77</v>
      </c>
      <c r="I17" s="3">
        <v>87</v>
      </c>
      <c r="J17" s="3">
        <v>92</v>
      </c>
      <c r="K17" s="3">
        <v>95</v>
      </c>
      <c r="L17" s="3">
        <v>100</v>
      </c>
      <c r="M17" s="3">
        <v>100</v>
      </c>
      <c r="N17" s="3">
        <v>100</v>
      </c>
      <c r="O17" s="3">
        <v>100</v>
      </c>
    </row>
    <row r="18" spans="1:15">
      <c r="A18" s="1">
        <v>2016</v>
      </c>
      <c r="B18" s="3">
        <v>0</v>
      </c>
      <c r="C18" s="3">
        <v>4</v>
      </c>
      <c r="D18" s="3">
        <v>10</v>
      </c>
      <c r="E18" s="3">
        <v>26</v>
      </c>
      <c r="F18" s="3">
        <v>44</v>
      </c>
      <c r="G18" s="3">
        <v>62</v>
      </c>
      <c r="H18" s="3">
        <v>76</v>
      </c>
      <c r="I18" s="3">
        <v>87</v>
      </c>
      <c r="J18" s="3">
        <v>93</v>
      </c>
      <c r="K18" s="3">
        <v>97</v>
      </c>
      <c r="L18" s="3">
        <v>100</v>
      </c>
      <c r="M18" s="3">
        <v>100</v>
      </c>
      <c r="N18" s="3">
        <v>100</v>
      </c>
      <c r="O18" s="3">
        <v>100</v>
      </c>
    </row>
    <row r="19" spans="1:15">
      <c r="A19" s="1">
        <v>2017</v>
      </c>
      <c r="B19" s="3">
        <v>0</v>
      </c>
      <c r="C19" s="3">
        <v>4</v>
      </c>
      <c r="D19" s="3">
        <v>10</v>
      </c>
      <c r="E19" s="3">
        <v>22</v>
      </c>
      <c r="F19" s="3">
        <v>36</v>
      </c>
      <c r="G19" s="3">
        <v>49</v>
      </c>
      <c r="H19" s="3">
        <v>70</v>
      </c>
      <c r="I19" s="3">
        <v>83</v>
      </c>
      <c r="J19" s="3">
        <v>90</v>
      </c>
      <c r="K19" s="3">
        <v>93</v>
      </c>
      <c r="L19" s="3">
        <v>96</v>
      </c>
      <c r="M19" s="3">
        <v>100</v>
      </c>
      <c r="N19" s="3">
        <v>100</v>
      </c>
      <c r="O19" s="3">
        <v>100</v>
      </c>
    </row>
    <row r="20" spans="1:15">
      <c r="A20" s="1">
        <v>2018</v>
      </c>
      <c r="B20" s="3">
        <v>0</v>
      </c>
      <c r="C20" s="3">
        <v>6</v>
      </c>
      <c r="D20" s="3">
        <v>14</v>
      </c>
      <c r="E20" s="3">
        <v>23</v>
      </c>
      <c r="F20" s="3">
        <v>32</v>
      </c>
      <c r="G20" s="3">
        <v>38</v>
      </c>
      <c r="H20" s="3">
        <v>53</v>
      </c>
      <c r="I20" s="3">
        <v>72</v>
      </c>
      <c r="J20" s="3">
        <v>83</v>
      </c>
      <c r="K20" s="3">
        <v>88</v>
      </c>
      <c r="L20" s="3">
        <v>91</v>
      </c>
      <c r="M20" s="3">
        <v>94</v>
      </c>
      <c r="N20" s="3">
        <v>100</v>
      </c>
      <c r="O20" s="3">
        <v>100</v>
      </c>
    </row>
    <row r="21" spans="1:15">
      <c r="A21" s="1">
        <v>2019</v>
      </c>
      <c r="B21" s="3">
        <v>0</v>
      </c>
      <c r="C21" s="3">
        <v>0</v>
      </c>
      <c r="D21" s="3">
        <v>0</v>
      </c>
      <c r="E21" s="3">
        <v>7</v>
      </c>
      <c r="F21" s="3">
        <v>14</v>
      </c>
      <c r="G21" s="3">
        <v>26</v>
      </c>
      <c r="H21" s="3">
        <v>46</v>
      </c>
      <c r="I21" s="3">
        <v>62</v>
      </c>
      <c r="J21" s="3">
        <v>75</v>
      </c>
      <c r="K21" s="3">
        <v>85</v>
      </c>
      <c r="L21" s="3">
        <v>91</v>
      </c>
      <c r="M21" s="3">
        <v>94</v>
      </c>
      <c r="N21" s="3">
        <v>96</v>
      </c>
      <c r="O21" s="3">
        <v>100</v>
      </c>
    </row>
    <row r="22" spans="1:15">
      <c r="A22" s="1">
        <v>2020</v>
      </c>
      <c r="B22" s="3">
        <v>0</v>
      </c>
      <c r="C22" s="3">
        <v>0</v>
      </c>
      <c r="D22" s="3">
        <v>6</v>
      </c>
      <c r="E22" s="3">
        <v>20</v>
      </c>
      <c r="F22" s="3">
        <v>38</v>
      </c>
      <c r="G22" s="3">
        <v>61</v>
      </c>
      <c r="H22" s="3">
        <v>75</v>
      </c>
      <c r="I22" s="3">
        <v>83</v>
      </c>
      <c r="J22" s="3">
        <v>87</v>
      </c>
      <c r="K22" s="3">
        <v>92</v>
      </c>
      <c r="L22" s="3">
        <v>96</v>
      </c>
      <c r="M22" s="3">
        <v>100</v>
      </c>
      <c r="N22" s="3">
        <v>100</v>
      </c>
      <c r="O22" s="3">
        <v>100</v>
      </c>
    </row>
    <row r="23" spans="1:15">
      <c r="A23" s="1">
        <v>2021</v>
      </c>
      <c r="B23" s="3">
        <v>0</v>
      </c>
      <c r="C23" s="3">
        <v>6</v>
      </c>
      <c r="D23" s="3">
        <v>16</v>
      </c>
      <c r="E23" s="3">
        <v>34</v>
      </c>
      <c r="F23" s="3">
        <v>49</v>
      </c>
      <c r="G23" s="3">
        <v>60</v>
      </c>
      <c r="H23" s="3">
        <v>73</v>
      </c>
      <c r="I23" s="3">
        <v>79</v>
      </c>
      <c r="J23" s="3">
        <v>87</v>
      </c>
      <c r="K23" s="3">
        <v>92</v>
      </c>
      <c r="L23" s="3">
        <v>95</v>
      </c>
      <c r="M23" s="3">
        <v>100</v>
      </c>
      <c r="N23" s="3">
        <v>100</v>
      </c>
      <c r="O23" s="3">
        <v>100</v>
      </c>
    </row>
    <row r="24" spans="1:15">
      <c r="A24" s="1">
        <v>2022</v>
      </c>
      <c r="B24" s="3">
        <v>0</v>
      </c>
      <c r="C24" s="3">
        <v>3</v>
      </c>
      <c r="D24" s="3">
        <v>8</v>
      </c>
      <c r="E24" s="3">
        <v>22</v>
      </c>
      <c r="F24" s="3">
        <v>44</v>
      </c>
      <c r="G24" s="3">
        <v>63</v>
      </c>
      <c r="H24" s="3">
        <v>80</v>
      </c>
      <c r="I24" s="3">
        <v>88</v>
      </c>
      <c r="J24" s="3">
        <v>94</v>
      </c>
      <c r="K24" s="3">
        <v>96</v>
      </c>
      <c r="L24" s="3">
        <v>100</v>
      </c>
      <c r="M24" s="3">
        <v>100</v>
      </c>
      <c r="N24" s="3">
        <v>100</v>
      </c>
      <c r="O24" s="3">
        <v>100</v>
      </c>
    </row>
    <row r="25" spans="1:15" ht="12.95" customHeight="1">
      <c r="A25" s="1">
        <v>2023</v>
      </c>
      <c r="B25" s="3">
        <v>0</v>
      </c>
      <c r="C25" s="3">
        <v>5</v>
      </c>
      <c r="D25" s="3">
        <v>12</v>
      </c>
      <c r="E25" s="3">
        <v>23</v>
      </c>
      <c r="F25" s="3">
        <v>43</v>
      </c>
      <c r="G25" s="3">
        <v>62</v>
      </c>
      <c r="H25" s="3">
        <v>76</v>
      </c>
      <c r="I25" s="3">
        <v>85</v>
      </c>
      <c r="J25" s="3">
        <v>91</v>
      </c>
      <c r="K25" s="3">
        <v>95</v>
      </c>
      <c r="L25" s="3">
        <v>100</v>
      </c>
      <c r="M25" s="3">
        <v>100</v>
      </c>
      <c r="N25" s="3">
        <v>100</v>
      </c>
      <c r="O25" s="3">
        <v>100</v>
      </c>
    </row>
    <row r="26" spans="1:15" ht="12.95" customHeight="1">
      <c r="A26" s="1">
        <v>2024</v>
      </c>
      <c r="B26" s="3">
        <v>0</v>
      </c>
      <c r="C26" s="3">
        <v>6</v>
      </c>
      <c r="D26" s="3">
        <v>13</v>
      </c>
      <c r="E26" s="3">
        <v>26</v>
      </c>
      <c r="F26" s="3">
        <v>47</v>
      </c>
      <c r="G26" s="3">
        <v>67</v>
      </c>
      <c r="H26" s="3">
        <v>81</v>
      </c>
      <c r="I26" s="3">
        <v>89</v>
      </c>
      <c r="J26" s="3">
        <v>94</v>
      </c>
      <c r="K26" s="3">
        <v>96</v>
      </c>
      <c r="L26" s="3">
        <v>100</v>
      </c>
      <c r="M26" s="3">
        <v>100</v>
      </c>
      <c r="N26" s="3">
        <v>100</v>
      </c>
      <c r="O26" s="3">
        <v>100</v>
      </c>
    </row>
    <row r="28" spans="1:15">
      <c r="A28" s="1" t="s">
        <v>34</v>
      </c>
      <c r="B28" s="3"/>
      <c r="C28" s="3"/>
      <c r="D28" s="3"/>
      <c r="E28" s="3"/>
      <c r="F28" s="3">
        <f>E25+(F30-E30)</f>
        <v>37.200000000000003</v>
      </c>
      <c r="G28" s="3">
        <f>F28+(G30-F30)</f>
        <v>51.400000000000006</v>
      </c>
      <c r="H28" s="3">
        <f t="shared" ref="H28:J28" si="1">G28+(H30-G30)</f>
        <v>67.200000000000017</v>
      </c>
      <c r="I28" s="3">
        <f>H25+(I30-H30)</f>
        <v>87.399999999999991</v>
      </c>
      <c r="J28" s="3">
        <f t="shared" si="1"/>
        <v>95.8</v>
      </c>
      <c r="K28" s="3">
        <v>100</v>
      </c>
      <c r="L28" s="3">
        <v>100</v>
      </c>
      <c r="M28" s="3">
        <v>100</v>
      </c>
      <c r="N28" s="3">
        <v>100</v>
      </c>
      <c r="O28" s="3"/>
    </row>
    <row r="29" spans="1:15">
      <c r="A29" s="5" t="s">
        <v>35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1" t="s">
        <v>20</v>
      </c>
      <c r="B30" s="3">
        <f>AVERAGE(B20:B24)</f>
        <v>0</v>
      </c>
      <c r="C30" s="3">
        <f t="shared" ref="C30:O30" si="2">AVERAGE(C20:C24)</f>
        <v>3</v>
      </c>
      <c r="D30" s="3">
        <f t="shared" si="2"/>
        <v>8.8000000000000007</v>
      </c>
      <c r="E30" s="3">
        <f t="shared" si="2"/>
        <v>21.2</v>
      </c>
      <c r="F30" s="3">
        <f t="shared" si="2"/>
        <v>35.4</v>
      </c>
      <c r="G30" s="3">
        <f t="shared" si="2"/>
        <v>49.6</v>
      </c>
      <c r="H30" s="3">
        <f t="shared" si="2"/>
        <v>65.400000000000006</v>
      </c>
      <c r="I30" s="3">
        <f>AVERAGE(I20:I24)</f>
        <v>76.8</v>
      </c>
      <c r="J30" s="3">
        <f t="shared" si="2"/>
        <v>85.2</v>
      </c>
      <c r="K30" s="3">
        <f t="shared" si="2"/>
        <v>90.6</v>
      </c>
      <c r="L30" s="3">
        <f t="shared" si="2"/>
        <v>94.6</v>
      </c>
      <c r="M30" s="3">
        <f t="shared" si="2"/>
        <v>97.6</v>
      </c>
      <c r="N30" s="3">
        <f t="shared" si="2"/>
        <v>99.2</v>
      </c>
      <c r="O30" s="3">
        <f t="shared" si="2"/>
        <v>100</v>
      </c>
    </row>
    <row r="31" spans="1:15">
      <c r="A31" s="1" t="s">
        <v>22</v>
      </c>
      <c r="B31" s="3">
        <f>MAX(B20:B24)</f>
        <v>0</v>
      </c>
      <c r="C31" s="3">
        <f t="shared" ref="C31:O31" si="3">MAX(C20:C24)</f>
        <v>6</v>
      </c>
      <c r="D31" s="3">
        <f t="shared" si="3"/>
        <v>16</v>
      </c>
      <c r="E31" s="3">
        <f t="shared" si="3"/>
        <v>34</v>
      </c>
      <c r="F31" s="3">
        <f t="shared" si="3"/>
        <v>49</v>
      </c>
      <c r="G31" s="3">
        <f t="shared" si="3"/>
        <v>63</v>
      </c>
      <c r="H31" s="3">
        <f t="shared" si="3"/>
        <v>80</v>
      </c>
      <c r="I31" s="3">
        <f t="shared" si="3"/>
        <v>88</v>
      </c>
      <c r="J31" s="3">
        <f t="shared" si="3"/>
        <v>94</v>
      </c>
      <c r="K31" s="3">
        <f t="shared" si="3"/>
        <v>96</v>
      </c>
      <c r="L31" s="3">
        <f t="shared" si="3"/>
        <v>100</v>
      </c>
      <c r="M31" s="3">
        <f t="shared" si="3"/>
        <v>100</v>
      </c>
      <c r="N31" s="3">
        <f t="shared" si="3"/>
        <v>100</v>
      </c>
      <c r="O31" s="3">
        <f t="shared" si="3"/>
        <v>100</v>
      </c>
    </row>
    <row r="32" spans="1:15">
      <c r="A32" s="1" t="s">
        <v>23</v>
      </c>
      <c r="B32" s="3">
        <f>MIN(B20:B24)</f>
        <v>0</v>
      </c>
      <c r="C32" s="3">
        <f t="shared" ref="C32:O32" si="4">MIN(C20:C24)</f>
        <v>0</v>
      </c>
      <c r="D32" s="3">
        <f t="shared" si="4"/>
        <v>0</v>
      </c>
      <c r="E32" s="3">
        <f t="shared" si="4"/>
        <v>7</v>
      </c>
      <c r="F32" s="3">
        <f t="shared" si="4"/>
        <v>14</v>
      </c>
      <c r="G32" s="3">
        <f t="shared" si="4"/>
        <v>26</v>
      </c>
      <c r="H32" s="3">
        <f t="shared" si="4"/>
        <v>46</v>
      </c>
      <c r="I32" s="3">
        <f t="shared" si="4"/>
        <v>62</v>
      </c>
      <c r="J32" s="3">
        <f t="shared" si="4"/>
        <v>75</v>
      </c>
      <c r="K32" s="3">
        <f t="shared" si="4"/>
        <v>85</v>
      </c>
      <c r="L32" s="3">
        <f t="shared" si="4"/>
        <v>91</v>
      </c>
      <c r="M32" s="3">
        <f t="shared" si="4"/>
        <v>94</v>
      </c>
      <c r="N32" s="3">
        <f t="shared" si="4"/>
        <v>96</v>
      </c>
      <c r="O32" s="3">
        <f t="shared" si="4"/>
        <v>100</v>
      </c>
    </row>
    <row r="33" spans="1:1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1">
        <v>2000</v>
      </c>
      <c r="B35" s="3">
        <f t="shared" ref="B35:B58" si="5">B2-0</f>
        <v>2</v>
      </c>
      <c r="C35" s="3">
        <f>C2-B2</f>
        <v>5</v>
      </c>
      <c r="D35" s="3">
        <f t="shared" ref="D35:O35" si="6">D2-C2</f>
        <v>13</v>
      </c>
      <c r="E35" s="3">
        <f t="shared" si="6"/>
        <v>17</v>
      </c>
      <c r="F35" s="3">
        <f t="shared" si="6"/>
        <v>21</v>
      </c>
      <c r="G35" s="3">
        <f t="shared" si="6"/>
        <v>16</v>
      </c>
      <c r="H35" s="3">
        <f t="shared" si="6"/>
        <v>10</v>
      </c>
      <c r="I35" s="3">
        <f t="shared" si="6"/>
        <v>7</v>
      </c>
      <c r="J35" s="3">
        <f t="shared" si="6"/>
        <v>4</v>
      </c>
      <c r="K35" s="3">
        <f t="shared" si="6"/>
        <v>5</v>
      </c>
      <c r="L35" s="3">
        <f t="shared" si="6"/>
        <v>0</v>
      </c>
      <c r="M35" s="3">
        <f t="shared" si="6"/>
        <v>0</v>
      </c>
      <c r="N35" s="3">
        <f t="shared" si="6"/>
        <v>0</v>
      </c>
      <c r="O35" s="3">
        <f t="shared" si="6"/>
        <v>0</v>
      </c>
    </row>
    <row r="36" spans="1:15">
      <c r="A36" s="1">
        <v>2001</v>
      </c>
      <c r="B36" s="3">
        <f t="shared" si="5"/>
        <v>0</v>
      </c>
      <c r="C36" s="3">
        <f t="shared" ref="C36:O51" si="7">C3-B3</f>
        <v>3</v>
      </c>
      <c r="D36" s="3">
        <f t="shared" si="7"/>
        <v>3</v>
      </c>
      <c r="E36" s="3">
        <f t="shared" si="7"/>
        <v>10</v>
      </c>
      <c r="F36" s="3">
        <f t="shared" si="7"/>
        <v>24</v>
      </c>
      <c r="G36" s="3">
        <f t="shared" si="7"/>
        <v>17</v>
      </c>
      <c r="H36" s="3">
        <f t="shared" si="7"/>
        <v>13</v>
      </c>
      <c r="I36" s="3">
        <f t="shared" si="7"/>
        <v>11</v>
      </c>
      <c r="J36" s="3">
        <f t="shared" si="7"/>
        <v>9</v>
      </c>
      <c r="K36" s="3">
        <f t="shared" si="7"/>
        <v>6</v>
      </c>
      <c r="L36" s="3">
        <f t="shared" si="7"/>
        <v>4</v>
      </c>
      <c r="M36" s="3">
        <f t="shared" si="7"/>
        <v>0</v>
      </c>
      <c r="N36" s="3">
        <f t="shared" si="7"/>
        <v>0</v>
      </c>
      <c r="O36" s="3">
        <f t="shared" si="7"/>
        <v>0</v>
      </c>
    </row>
    <row r="37" spans="1:15">
      <c r="A37" s="1">
        <v>2002</v>
      </c>
      <c r="B37" s="3">
        <f t="shared" si="5"/>
        <v>0</v>
      </c>
      <c r="C37" s="3">
        <f t="shared" si="7"/>
        <v>0</v>
      </c>
      <c r="D37" s="3">
        <f t="shared" si="7"/>
        <v>6</v>
      </c>
      <c r="E37" s="3">
        <f t="shared" si="7"/>
        <v>11</v>
      </c>
      <c r="F37" s="3">
        <f t="shared" si="7"/>
        <v>14</v>
      </c>
      <c r="G37" s="3">
        <f t="shared" si="7"/>
        <v>22</v>
      </c>
      <c r="H37" s="3">
        <f t="shared" si="7"/>
        <v>21</v>
      </c>
      <c r="I37" s="3">
        <f t="shared" si="7"/>
        <v>10</v>
      </c>
      <c r="J37" s="3">
        <f t="shared" si="7"/>
        <v>3</v>
      </c>
      <c r="K37" s="3">
        <f t="shared" si="7"/>
        <v>4</v>
      </c>
      <c r="L37" s="3">
        <f t="shared" si="7"/>
        <v>3</v>
      </c>
      <c r="M37" s="3">
        <f t="shared" si="7"/>
        <v>3</v>
      </c>
      <c r="N37" s="3">
        <f t="shared" si="7"/>
        <v>3</v>
      </c>
      <c r="O37" s="3">
        <f t="shared" si="7"/>
        <v>0</v>
      </c>
    </row>
    <row r="38" spans="1:15">
      <c r="A38" s="1">
        <v>2003</v>
      </c>
      <c r="B38" s="3">
        <f t="shared" si="5"/>
        <v>0</v>
      </c>
      <c r="C38" s="3">
        <f t="shared" si="7"/>
        <v>0</v>
      </c>
      <c r="D38" s="3">
        <f t="shared" si="7"/>
        <v>6</v>
      </c>
      <c r="E38" s="3">
        <f t="shared" si="7"/>
        <v>11</v>
      </c>
      <c r="F38" s="3">
        <f t="shared" si="7"/>
        <v>20</v>
      </c>
      <c r="G38" s="3">
        <f t="shared" si="7"/>
        <v>23</v>
      </c>
      <c r="H38" s="3">
        <f t="shared" si="7"/>
        <v>14</v>
      </c>
      <c r="I38" s="3">
        <f t="shared" si="7"/>
        <v>11</v>
      </c>
      <c r="J38" s="3">
        <f t="shared" si="7"/>
        <v>6</v>
      </c>
      <c r="K38" s="3">
        <f t="shared" si="7"/>
        <v>4</v>
      </c>
      <c r="L38" s="3">
        <f t="shared" si="7"/>
        <v>5</v>
      </c>
      <c r="M38" s="3">
        <f t="shared" si="7"/>
        <v>0</v>
      </c>
      <c r="N38" s="3">
        <f t="shared" si="7"/>
        <v>0</v>
      </c>
      <c r="O38" s="3">
        <f t="shared" si="7"/>
        <v>0</v>
      </c>
    </row>
    <row r="39" spans="1:15">
      <c r="A39" s="1">
        <v>2004</v>
      </c>
      <c r="B39" s="3">
        <f t="shared" si="5"/>
        <v>0</v>
      </c>
      <c r="C39" s="3">
        <f t="shared" si="7"/>
        <v>0</v>
      </c>
      <c r="D39" s="3">
        <f t="shared" si="7"/>
        <v>8</v>
      </c>
      <c r="E39" s="3">
        <f t="shared" si="7"/>
        <v>10</v>
      </c>
      <c r="F39" s="3">
        <f t="shared" si="7"/>
        <v>18</v>
      </c>
      <c r="G39" s="3">
        <f t="shared" si="7"/>
        <v>22</v>
      </c>
      <c r="H39" s="3">
        <f t="shared" si="7"/>
        <v>13</v>
      </c>
      <c r="I39" s="3">
        <f t="shared" si="7"/>
        <v>9</v>
      </c>
      <c r="J39" s="3">
        <f t="shared" si="7"/>
        <v>4</v>
      </c>
      <c r="K39" s="3">
        <f t="shared" si="7"/>
        <v>3</v>
      </c>
      <c r="L39" s="3">
        <f t="shared" si="7"/>
        <v>6</v>
      </c>
      <c r="M39" s="3">
        <f t="shared" si="7"/>
        <v>2</v>
      </c>
      <c r="N39" s="3">
        <f t="shared" si="7"/>
        <v>5</v>
      </c>
      <c r="O39" s="3">
        <f t="shared" si="7"/>
        <v>0</v>
      </c>
    </row>
    <row r="40" spans="1:15">
      <c r="A40" s="1">
        <v>2005</v>
      </c>
      <c r="B40" s="3">
        <f t="shared" si="5"/>
        <v>0</v>
      </c>
      <c r="C40" s="3">
        <f t="shared" si="7"/>
        <v>8</v>
      </c>
      <c r="D40" s="3">
        <f t="shared" si="7"/>
        <v>11</v>
      </c>
      <c r="E40" s="3">
        <f t="shared" si="7"/>
        <v>17</v>
      </c>
      <c r="F40" s="3">
        <f t="shared" si="7"/>
        <v>24</v>
      </c>
      <c r="G40" s="3">
        <f t="shared" si="7"/>
        <v>16</v>
      </c>
      <c r="H40" s="3">
        <f t="shared" si="7"/>
        <v>11</v>
      </c>
      <c r="I40" s="3">
        <f t="shared" si="7"/>
        <v>5</v>
      </c>
      <c r="J40" s="3">
        <f t="shared" si="7"/>
        <v>4</v>
      </c>
      <c r="K40" s="3">
        <f t="shared" si="7"/>
        <v>4</v>
      </c>
      <c r="L40" s="3">
        <f t="shared" si="7"/>
        <v>0</v>
      </c>
      <c r="M40" s="3">
        <f t="shared" si="7"/>
        <v>0</v>
      </c>
      <c r="N40" s="3">
        <f t="shared" si="7"/>
        <v>0</v>
      </c>
      <c r="O40" s="3">
        <f t="shared" si="7"/>
        <v>0</v>
      </c>
    </row>
    <row r="41" spans="1:15">
      <c r="A41" s="1">
        <v>2006</v>
      </c>
      <c r="B41" s="3">
        <f t="shared" si="5"/>
        <v>0</v>
      </c>
      <c r="C41" s="3">
        <f t="shared" si="7"/>
        <v>6</v>
      </c>
      <c r="D41" s="3">
        <f t="shared" si="7"/>
        <v>3</v>
      </c>
      <c r="E41" s="3">
        <f t="shared" si="7"/>
        <v>10</v>
      </c>
      <c r="F41" s="3">
        <f t="shared" si="7"/>
        <v>28</v>
      </c>
      <c r="G41" s="3">
        <f t="shared" si="7"/>
        <v>22</v>
      </c>
      <c r="H41" s="3">
        <f t="shared" si="7"/>
        <v>7</v>
      </c>
      <c r="I41" s="3">
        <f t="shared" si="7"/>
        <v>7</v>
      </c>
      <c r="J41" s="3">
        <f t="shared" si="7"/>
        <v>7</v>
      </c>
      <c r="K41" s="3">
        <f t="shared" si="7"/>
        <v>4</v>
      </c>
      <c r="L41" s="3">
        <f t="shared" si="7"/>
        <v>2</v>
      </c>
      <c r="M41" s="3">
        <f t="shared" si="7"/>
        <v>4</v>
      </c>
      <c r="N41" s="3">
        <f t="shared" si="7"/>
        <v>0</v>
      </c>
      <c r="O41" s="3">
        <f t="shared" si="7"/>
        <v>0</v>
      </c>
    </row>
    <row r="42" spans="1:15">
      <c r="A42" s="1">
        <v>2007</v>
      </c>
      <c r="B42" s="3">
        <f t="shared" si="5"/>
        <v>0</v>
      </c>
      <c r="C42" s="3">
        <f t="shared" si="7"/>
        <v>4</v>
      </c>
      <c r="D42" s="3">
        <f t="shared" si="7"/>
        <v>8</v>
      </c>
      <c r="E42" s="3">
        <f t="shared" si="7"/>
        <v>17</v>
      </c>
      <c r="F42" s="3">
        <f t="shared" si="7"/>
        <v>21</v>
      </c>
      <c r="G42" s="3">
        <f t="shared" si="7"/>
        <v>16</v>
      </c>
      <c r="H42" s="3">
        <f t="shared" si="7"/>
        <v>9</v>
      </c>
      <c r="I42" s="3">
        <f t="shared" si="7"/>
        <v>9</v>
      </c>
      <c r="J42" s="3">
        <f t="shared" si="7"/>
        <v>8</v>
      </c>
      <c r="K42" s="3">
        <f t="shared" si="7"/>
        <v>5</v>
      </c>
      <c r="L42" s="3">
        <f t="shared" si="7"/>
        <v>3</v>
      </c>
      <c r="M42" s="3">
        <f t="shared" si="7"/>
        <v>0</v>
      </c>
      <c r="N42" s="3">
        <f t="shared" si="7"/>
        <v>0</v>
      </c>
      <c r="O42" s="3">
        <f t="shared" si="7"/>
        <v>0</v>
      </c>
    </row>
    <row r="43" spans="1:15">
      <c r="A43" s="1">
        <v>2008</v>
      </c>
      <c r="B43" s="3">
        <f t="shared" si="5"/>
        <v>0</v>
      </c>
      <c r="C43" s="3">
        <f t="shared" si="7"/>
        <v>0</v>
      </c>
      <c r="D43" s="3">
        <f t="shared" si="7"/>
        <v>3</v>
      </c>
      <c r="E43" s="3">
        <f t="shared" si="7"/>
        <v>6</v>
      </c>
      <c r="F43" s="3">
        <f t="shared" si="7"/>
        <v>22</v>
      </c>
      <c r="G43" s="3">
        <f t="shared" si="7"/>
        <v>20</v>
      </c>
      <c r="H43" s="3">
        <f t="shared" si="7"/>
        <v>16</v>
      </c>
      <c r="I43" s="3">
        <f t="shared" si="7"/>
        <v>9</v>
      </c>
      <c r="J43" s="3">
        <f t="shared" si="7"/>
        <v>10</v>
      </c>
      <c r="K43" s="3">
        <f t="shared" si="7"/>
        <v>7</v>
      </c>
      <c r="L43" s="3">
        <f t="shared" si="7"/>
        <v>2</v>
      </c>
      <c r="M43" s="3">
        <f t="shared" si="7"/>
        <v>5</v>
      </c>
      <c r="N43" s="3">
        <f t="shared" si="7"/>
        <v>0</v>
      </c>
      <c r="O43" s="3">
        <f t="shared" si="7"/>
        <v>0</v>
      </c>
    </row>
    <row r="44" spans="1:15">
      <c r="A44" s="1">
        <v>2009</v>
      </c>
      <c r="B44" s="3">
        <f t="shared" si="5"/>
        <v>0</v>
      </c>
      <c r="C44" s="3">
        <f t="shared" si="7"/>
        <v>0</v>
      </c>
      <c r="D44" s="3">
        <f t="shared" si="7"/>
        <v>0</v>
      </c>
      <c r="E44" s="3">
        <f t="shared" si="7"/>
        <v>5</v>
      </c>
      <c r="F44" s="3">
        <f t="shared" si="7"/>
        <v>10</v>
      </c>
      <c r="G44" s="3">
        <f t="shared" si="7"/>
        <v>8</v>
      </c>
      <c r="H44" s="3">
        <f t="shared" si="7"/>
        <v>7</v>
      </c>
      <c r="I44" s="3">
        <f t="shared" si="7"/>
        <v>14</v>
      </c>
      <c r="J44" s="3">
        <f t="shared" si="7"/>
        <v>7</v>
      </c>
      <c r="K44" s="3">
        <f t="shared" si="7"/>
        <v>24</v>
      </c>
      <c r="L44" s="3">
        <f t="shared" si="7"/>
        <v>14</v>
      </c>
      <c r="M44" s="3">
        <f t="shared" si="7"/>
        <v>5</v>
      </c>
      <c r="N44" s="3">
        <f t="shared" si="7"/>
        <v>2</v>
      </c>
      <c r="O44" s="3">
        <f t="shared" si="7"/>
        <v>4</v>
      </c>
    </row>
    <row r="45" spans="1:15">
      <c r="A45" s="1">
        <v>2010</v>
      </c>
      <c r="B45" s="3">
        <f t="shared" si="5"/>
        <v>0</v>
      </c>
      <c r="C45" s="3">
        <f t="shared" si="7"/>
        <v>8</v>
      </c>
      <c r="D45" s="3">
        <f t="shared" si="7"/>
        <v>9</v>
      </c>
      <c r="E45" s="3">
        <f t="shared" si="7"/>
        <v>20</v>
      </c>
      <c r="F45" s="3">
        <f t="shared" si="7"/>
        <v>30</v>
      </c>
      <c r="G45" s="3">
        <f t="shared" si="7"/>
        <v>16</v>
      </c>
      <c r="H45" s="3">
        <f t="shared" si="7"/>
        <v>8</v>
      </c>
      <c r="I45" s="3">
        <f t="shared" si="7"/>
        <v>5</v>
      </c>
      <c r="J45" s="3">
        <f t="shared" si="7"/>
        <v>4</v>
      </c>
      <c r="K45" s="3">
        <f t="shared" si="7"/>
        <v>0</v>
      </c>
      <c r="L45" s="3">
        <f t="shared" si="7"/>
        <v>0</v>
      </c>
      <c r="M45" s="3">
        <f t="shared" si="7"/>
        <v>0</v>
      </c>
      <c r="N45" s="3">
        <f t="shared" si="7"/>
        <v>0</v>
      </c>
      <c r="O45" s="3">
        <f t="shared" si="7"/>
        <v>0</v>
      </c>
    </row>
    <row r="46" spans="1:15">
      <c r="A46" s="1">
        <v>2011</v>
      </c>
      <c r="B46" s="3">
        <f t="shared" si="5"/>
        <v>0</v>
      </c>
      <c r="C46" s="3">
        <f t="shared" si="7"/>
        <v>0</v>
      </c>
      <c r="D46" s="3">
        <f t="shared" si="7"/>
        <v>5</v>
      </c>
      <c r="E46" s="3">
        <f t="shared" si="7"/>
        <v>14</v>
      </c>
      <c r="F46" s="3">
        <f t="shared" si="7"/>
        <v>32</v>
      </c>
      <c r="G46" s="3">
        <f t="shared" si="7"/>
        <v>18</v>
      </c>
      <c r="H46" s="3">
        <f t="shared" si="7"/>
        <v>11</v>
      </c>
      <c r="I46" s="3">
        <f t="shared" si="7"/>
        <v>7</v>
      </c>
      <c r="J46" s="3">
        <f t="shared" si="7"/>
        <v>5</v>
      </c>
      <c r="K46" s="3">
        <f t="shared" si="7"/>
        <v>4</v>
      </c>
      <c r="L46" s="3">
        <f t="shared" si="7"/>
        <v>4</v>
      </c>
      <c r="M46" s="3">
        <f t="shared" si="7"/>
        <v>0</v>
      </c>
      <c r="N46" s="3">
        <f t="shared" si="7"/>
        <v>0</v>
      </c>
      <c r="O46" s="3">
        <f t="shared" si="7"/>
        <v>0</v>
      </c>
    </row>
    <row r="47" spans="1:15">
      <c r="A47" s="1">
        <v>2012</v>
      </c>
      <c r="B47" s="3">
        <f t="shared" si="5"/>
        <v>4</v>
      </c>
      <c r="C47" s="3">
        <f t="shared" si="7"/>
        <v>6</v>
      </c>
      <c r="D47" s="3">
        <f t="shared" si="7"/>
        <v>12</v>
      </c>
      <c r="E47" s="3">
        <f t="shared" si="7"/>
        <v>19</v>
      </c>
      <c r="F47" s="3">
        <f t="shared" si="7"/>
        <v>17</v>
      </c>
      <c r="G47" s="3">
        <f t="shared" si="7"/>
        <v>13</v>
      </c>
      <c r="H47" s="3">
        <f t="shared" si="7"/>
        <v>9</v>
      </c>
      <c r="I47" s="3">
        <f t="shared" si="7"/>
        <v>7</v>
      </c>
      <c r="J47" s="3">
        <f t="shared" si="7"/>
        <v>6</v>
      </c>
      <c r="K47" s="3">
        <f t="shared" si="7"/>
        <v>3</v>
      </c>
      <c r="L47" s="3">
        <f t="shared" si="7"/>
        <v>4</v>
      </c>
      <c r="M47" s="3">
        <f t="shared" si="7"/>
        <v>0</v>
      </c>
      <c r="N47" s="3">
        <f t="shared" si="7"/>
        <v>0</v>
      </c>
      <c r="O47" s="3">
        <f t="shared" si="7"/>
        <v>0</v>
      </c>
    </row>
    <row r="48" spans="1:15">
      <c r="A48" s="1">
        <v>2013</v>
      </c>
      <c r="B48" s="3">
        <f t="shared" si="5"/>
        <v>0</v>
      </c>
      <c r="C48" s="3">
        <f t="shared" si="7"/>
        <v>0</v>
      </c>
      <c r="D48" s="3">
        <f t="shared" si="7"/>
        <v>3</v>
      </c>
      <c r="E48" s="3">
        <f t="shared" si="7"/>
        <v>8</v>
      </c>
      <c r="F48" s="3">
        <f t="shared" si="7"/>
        <v>17.329750045334709</v>
      </c>
      <c r="G48" s="3">
        <f t="shared" si="7"/>
        <v>18.199438919025109</v>
      </c>
      <c r="H48" s="3">
        <f t="shared" si="7"/>
        <v>16.470811035640182</v>
      </c>
      <c r="I48" s="3">
        <f t="shared" si="7"/>
        <v>14</v>
      </c>
      <c r="J48" s="3">
        <f t="shared" si="7"/>
        <v>9</v>
      </c>
      <c r="K48" s="3">
        <f t="shared" si="7"/>
        <v>5</v>
      </c>
      <c r="L48" s="3">
        <f t="shared" si="7"/>
        <v>9</v>
      </c>
      <c r="M48" s="3">
        <f t="shared" si="7"/>
        <v>0</v>
      </c>
      <c r="N48" s="3">
        <f t="shared" si="7"/>
        <v>0</v>
      </c>
      <c r="O48" s="3">
        <f t="shared" si="7"/>
        <v>0</v>
      </c>
    </row>
    <row r="49" spans="1:15">
      <c r="A49" s="1">
        <v>2014</v>
      </c>
      <c r="B49" s="3">
        <f t="shared" si="5"/>
        <v>0</v>
      </c>
      <c r="C49" s="3">
        <f t="shared" si="7"/>
        <v>0</v>
      </c>
      <c r="D49" s="3">
        <f t="shared" si="7"/>
        <v>3</v>
      </c>
      <c r="E49" s="3">
        <f t="shared" si="7"/>
        <v>7</v>
      </c>
      <c r="F49" s="3">
        <f t="shared" si="7"/>
        <v>10</v>
      </c>
      <c r="G49" s="3">
        <f t="shared" si="7"/>
        <v>20</v>
      </c>
      <c r="H49" s="3">
        <f t="shared" si="7"/>
        <v>13</v>
      </c>
      <c r="I49" s="3">
        <f t="shared" si="7"/>
        <v>17</v>
      </c>
      <c r="J49" s="3">
        <f t="shared" si="7"/>
        <v>13</v>
      </c>
      <c r="K49" s="3">
        <f t="shared" si="7"/>
        <v>7</v>
      </c>
      <c r="L49" s="3">
        <f t="shared" si="7"/>
        <v>4</v>
      </c>
      <c r="M49" s="3">
        <f t="shared" si="7"/>
        <v>3</v>
      </c>
      <c r="N49" s="3">
        <f t="shared" si="7"/>
        <v>3</v>
      </c>
      <c r="O49" s="3">
        <f t="shared" si="7"/>
        <v>0</v>
      </c>
    </row>
    <row r="50" spans="1:15">
      <c r="A50" s="1">
        <v>2015</v>
      </c>
      <c r="B50" s="3">
        <f t="shared" si="5"/>
        <v>0</v>
      </c>
      <c r="C50" s="3">
        <f t="shared" si="7"/>
        <v>0</v>
      </c>
      <c r="D50" s="3">
        <f t="shared" si="7"/>
        <v>7</v>
      </c>
      <c r="E50" s="3">
        <f t="shared" si="7"/>
        <v>14</v>
      </c>
      <c r="F50" s="3">
        <f t="shared" si="7"/>
        <v>21</v>
      </c>
      <c r="G50" s="3">
        <f t="shared" si="7"/>
        <v>20</v>
      </c>
      <c r="H50" s="3">
        <f t="shared" si="7"/>
        <v>15</v>
      </c>
      <c r="I50" s="3">
        <f t="shared" si="7"/>
        <v>10</v>
      </c>
      <c r="J50" s="3">
        <f t="shared" si="7"/>
        <v>5</v>
      </c>
      <c r="K50" s="3">
        <f t="shared" si="7"/>
        <v>3</v>
      </c>
      <c r="L50" s="3">
        <f t="shared" si="7"/>
        <v>5</v>
      </c>
      <c r="M50" s="3">
        <f t="shared" si="7"/>
        <v>0</v>
      </c>
      <c r="N50" s="3">
        <f t="shared" si="7"/>
        <v>0</v>
      </c>
      <c r="O50" s="3">
        <f t="shared" si="7"/>
        <v>0</v>
      </c>
    </row>
    <row r="51" spans="1:15">
      <c r="A51" s="1">
        <v>2016</v>
      </c>
      <c r="B51" s="3">
        <f t="shared" si="5"/>
        <v>0</v>
      </c>
      <c r="C51" s="3">
        <f t="shared" si="7"/>
        <v>4</v>
      </c>
      <c r="D51" s="3">
        <f t="shared" si="7"/>
        <v>6</v>
      </c>
      <c r="E51" s="3">
        <f t="shared" si="7"/>
        <v>16</v>
      </c>
      <c r="F51" s="3">
        <f t="shared" si="7"/>
        <v>18</v>
      </c>
      <c r="G51" s="3">
        <f t="shared" si="7"/>
        <v>18</v>
      </c>
      <c r="H51" s="3">
        <f t="shared" si="7"/>
        <v>14</v>
      </c>
      <c r="I51" s="3">
        <f t="shared" si="7"/>
        <v>11</v>
      </c>
      <c r="J51" s="3">
        <f t="shared" si="7"/>
        <v>6</v>
      </c>
      <c r="K51" s="3">
        <f t="shared" si="7"/>
        <v>4</v>
      </c>
      <c r="L51" s="3">
        <f t="shared" si="7"/>
        <v>3</v>
      </c>
      <c r="M51" s="3">
        <f t="shared" si="7"/>
        <v>0</v>
      </c>
      <c r="N51" s="3">
        <f t="shared" si="7"/>
        <v>0</v>
      </c>
      <c r="O51" s="3">
        <f t="shared" si="7"/>
        <v>0</v>
      </c>
    </row>
    <row r="52" spans="1:15">
      <c r="A52" s="1">
        <v>2017</v>
      </c>
      <c r="B52" s="3">
        <f t="shared" si="5"/>
        <v>0</v>
      </c>
      <c r="C52" s="3">
        <f t="shared" ref="C52:O58" si="8">C19-B19</f>
        <v>4</v>
      </c>
      <c r="D52" s="3">
        <f t="shared" si="8"/>
        <v>6</v>
      </c>
      <c r="E52" s="3">
        <f t="shared" si="8"/>
        <v>12</v>
      </c>
      <c r="F52" s="3">
        <f t="shared" si="8"/>
        <v>14</v>
      </c>
      <c r="G52" s="3">
        <f t="shared" si="8"/>
        <v>13</v>
      </c>
      <c r="H52" s="3">
        <f t="shared" si="8"/>
        <v>21</v>
      </c>
      <c r="I52" s="3">
        <f t="shared" si="8"/>
        <v>13</v>
      </c>
      <c r="J52" s="3">
        <f t="shared" si="8"/>
        <v>7</v>
      </c>
      <c r="K52" s="3">
        <f t="shared" si="8"/>
        <v>3</v>
      </c>
      <c r="L52" s="3">
        <f t="shared" si="8"/>
        <v>3</v>
      </c>
      <c r="M52" s="3">
        <f t="shared" si="8"/>
        <v>4</v>
      </c>
      <c r="N52" s="3">
        <f t="shared" si="8"/>
        <v>0</v>
      </c>
      <c r="O52" s="3">
        <f t="shared" si="8"/>
        <v>0</v>
      </c>
    </row>
    <row r="53" spans="1:15">
      <c r="A53" s="1">
        <v>2018</v>
      </c>
      <c r="B53" s="3">
        <f t="shared" si="5"/>
        <v>0</v>
      </c>
      <c r="C53" s="3">
        <f t="shared" si="8"/>
        <v>6</v>
      </c>
      <c r="D53" s="3">
        <f t="shared" si="8"/>
        <v>8</v>
      </c>
      <c r="E53" s="3">
        <f t="shared" si="8"/>
        <v>9</v>
      </c>
      <c r="F53" s="3">
        <f t="shared" si="8"/>
        <v>9</v>
      </c>
      <c r="G53" s="3">
        <f t="shared" si="8"/>
        <v>6</v>
      </c>
      <c r="H53" s="3">
        <f t="shared" si="8"/>
        <v>15</v>
      </c>
      <c r="I53" s="3">
        <f t="shared" si="8"/>
        <v>19</v>
      </c>
      <c r="J53" s="3">
        <f t="shared" si="8"/>
        <v>11</v>
      </c>
      <c r="K53" s="3">
        <f t="shared" si="8"/>
        <v>5</v>
      </c>
      <c r="L53" s="3">
        <f t="shared" si="8"/>
        <v>3</v>
      </c>
      <c r="M53" s="3">
        <f t="shared" si="8"/>
        <v>3</v>
      </c>
      <c r="N53" s="3">
        <f t="shared" si="8"/>
        <v>6</v>
      </c>
      <c r="O53" s="3">
        <f t="shared" si="8"/>
        <v>0</v>
      </c>
    </row>
    <row r="54" spans="1:15">
      <c r="A54" s="1">
        <v>2019</v>
      </c>
      <c r="B54" s="3">
        <f t="shared" si="5"/>
        <v>0</v>
      </c>
      <c r="C54" s="3">
        <f t="shared" si="8"/>
        <v>0</v>
      </c>
      <c r="D54" s="3">
        <f t="shared" si="8"/>
        <v>0</v>
      </c>
      <c r="E54" s="3">
        <f t="shared" si="8"/>
        <v>7</v>
      </c>
      <c r="F54" s="3">
        <f t="shared" si="8"/>
        <v>7</v>
      </c>
      <c r="G54" s="3">
        <f t="shared" si="8"/>
        <v>12</v>
      </c>
      <c r="H54" s="3">
        <f t="shared" si="8"/>
        <v>20</v>
      </c>
      <c r="I54" s="3">
        <f t="shared" si="8"/>
        <v>16</v>
      </c>
      <c r="J54" s="3">
        <f t="shared" si="8"/>
        <v>13</v>
      </c>
      <c r="K54" s="3">
        <f t="shared" si="8"/>
        <v>10</v>
      </c>
      <c r="L54" s="3">
        <f t="shared" si="8"/>
        <v>6</v>
      </c>
      <c r="M54" s="3">
        <f t="shared" si="8"/>
        <v>3</v>
      </c>
      <c r="N54" s="3">
        <f t="shared" si="8"/>
        <v>2</v>
      </c>
      <c r="O54" s="3">
        <f t="shared" si="8"/>
        <v>4</v>
      </c>
    </row>
    <row r="55" spans="1:15">
      <c r="A55" s="1">
        <v>2020</v>
      </c>
      <c r="B55" s="3">
        <f t="shared" si="5"/>
        <v>0</v>
      </c>
      <c r="C55" s="3">
        <f t="shared" si="8"/>
        <v>0</v>
      </c>
      <c r="D55" s="3">
        <f t="shared" si="8"/>
        <v>6</v>
      </c>
      <c r="E55" s="3">
        <f t="shared" si="8"/>
        <v>14</v>
      </c>
      <c r="F55" s="3">
        <f t="shared" si="8"/>
        <v>18</v>
      </c>
      <c r="G55" s="3">
        <f t="shared" si="8"/>
        <v>23</v>
      </c>
      <c r="H55" s="3">
        <f t="shared" si="8"/>
        <v>14</v>
      </c>
      <c r="I55" s="3">
        <f t="shared" si="8"/>
        <v>8</v>
      </c>
      <c r="J55" s="3">
        <f t="shared" si="8"/>
        <v>4</v>
      </c>
      <c r="K55" s="3">
        <f t="shared" si="8"/>
        <v>5</v>
      </c>
      <c r="L55" s="3">
        <f t="shared" si="8"/>
        <v>4</v>
      </c>
      <c r="M55" s="3">
        <f t="shared" si="8"/>
        <v>4</v>
      </c>
      <c r="N55" s="3">
        <f t="shared" si="8"/>
        <v>0</v>
      </c>
      <c r="O55" s="3">
        <f t="shared" si="8"/>
        <v>0</v>
      </c>
    </row>
    <row r="56" spans="1:15">
      <c r="A56" s="1">
        <v>2021</v>
      </c>
      <c r="B56" s="3">
        <f t="shared" si="5"/>
        <v>0</v>
      </c>
      <c r="C56" s="3">
        <f t="shared" si="8"/>
        <v>6</v>
      </c>
      <c r="D56" s="3">
        <f t="shared" si="8"/>
        <v>10</v>
      </c>
      <c r="E56" s="3">
        <f t="shared" si="8"/>
        <v>18</v>
      </c>
      <c r="F56" s="3">
        <f t="shared" si="8"/>
        <v>15</v>
      </c>
      <c r="G56" s="3">
        <f t="shared" si="8"/>
        <v>11</v>
      </c>
      <c r="H56" s="3">
        <f t="shared" si="8"/>
        <v>13</v>
      </c>
      <c r="I56" s="3">
        <f t="shared" si="8"/>
        <v>6</v>
      </c>
      <c r="J56" s="3">
        <f t="shared" si="8"/>
        <v>8</v>
      </c>
      <c r="K56" s="3">
        <f t="shared" si="8"/>
        <v>5</v>
      </c>
      <c r="L56" s="3">
        <f t="shared" si="8"/>
        <v>3</v>
      </c>
      <c r="M56" s="3">
        <f t="shared" si="8"/>
        <v>5</v>
      </c>
      <c r="N56" s="3">
        <f t="shared" si="8"/>
        <v>0</v>
      </c>
      <c r="O56" s="3">
        <f t="shared" si="8"/>
        <v>0</v>
      </c>
    </row>
    <row r="57" spans="1:15">
      <c r="A57" s="1">
        <v>2022</v>
      </c>
      <c r="B57" s="3">
        <f t="shared" si="5"/>
        <v>0</v>
      </c>
      <c r="C57" s="3">
        <f t="shared" si="8"/>
        <v>3</v>
      </c>
      <c r="D57" s="3">
        <f t="shared" si="8"/>
        <v>5</v>
      </c>
      <c r="E57" s="3">
        <f t="shared" si="8"/>
        <v>14</v>
      </c>
      <c r="F57" s="3">
        <f t="shared" si="8"/>
        <v>22</v>
      </c>
      <c r="G57" s="3">
        <f t="shared" si="8"/>
        <v>19</v>
      </c>
      <c r="H57" s="3">
        <f t="shared" si="8"/>
        <v>17</v>
      </c>
      <c r="I57" s="3">
        <f t="shared" si="8"/>
        <v>8</v>
      </c>
      <c r="J57" s="3">
        <f t="shared" si="8"/>
        <v>6</v>
      </c>
      <c r="K57" s="3">
        <f t="shared" si="8"/>
        <v>2</v>
      </c>
      <c r="L57" s="3">
        <f t="shared" si="8"/>
        <v>4</v>
      </c>
      <c r="M57" s="3">
        <f t="shared" si="8"/>
        <v>0</v>
      </c>
      <c r="N57" s="3">
        <f t="shared" si="8"/>
        <v>0</v>
      </c>
      <c r="O57" s="3">
        <f t="shared" si="8"/>
        <v>0</v>
      </c>
    </row>
    <row r="58" spans="1:15">
      <c r="A58" s="1">
        <v>2023</v>
      </c>
      <c r="B58" s="3">
        <f t="shared" si="5"/>
        <v>0</v>
      </c>
      <c r="C58" s="3">
        <f t="shared" si="8"/>
        <v>5</v>
      </c>
      <c r="D58" s="3">
        <f t="shared" si="8"/>
        <v>7</v>
      </c>
      <c r="E58" s="3">
        <f t="shared" si="8"/>
        <v>11</v>
      </c>
      <c r="F58" s="3">
        <f t="shared" si="8"/>
        <v>20</v>
      </c>
      <c r="G58" s="3">
        <f t="shared" si="8"/>
        <v>19</v>
      </c>
      <c r="H58" s="3">
        <f t="shared" si="8"/>
        <v>14</v>
      </c>
      <c r="I58" s="3"/>
      <c r="J58" s="3"/>
      <c r="K58" s="3"/>
      <c r="L58" s="3"/>
      <c r="M58" s="3"/>
      <c r="N58" s="3"/>
      <c r="O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10</vt:i4>
      </vt:variant>
    </vt:vector>
  </HeadingPairs>
  <TitlesOfParts>
    <vt:vector size="14" baseType="lpstr">
      <vt:lpstr>Conditions Chart Data</vt:lpstr>
      <vt:lpstr>Planting Chart Data</vt:lpstr>
      <vt:lpstr>Pod Setting Data</vt:lpstr>
      <vt:lpstr>Harvest Chart Data</vt:lpstr>
      <vt:lpstr>Conditions and Yield Chart</vt:lpstr>
      <vt:lpstr>Good and Excellent Chart</vt:lpstr>
      <vt:lpstr>Jul - Aug Yield Change</vt:lpstr>
      <vt:lpstr>Aug - Sep Yield Change</vt:lpstr>
      <vt:lpstr>Sep - Oct Yield Change</vt:lpstr>
      <vt:lpstr>Oct - Nov Yield Change</vt:lpstr>
      <vt:lpstr>Nov - Final Yield Change</vt:lpstr>
      <vt:lpstr>Planting Progress Chart</vt:lpstr>
      <vt:lpstr>Pod Setting Chart</vt:lpstr>
      <vt:lpstr>Harvest Progress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2025-07-17T09:03:35Z</dcterms:created>
  <dcterms:modified xsi:type="dcterms:W3CDTF">2025-08-06T21:50:30Z</dcterms:modified>
</cp:coreProperties>
</file>