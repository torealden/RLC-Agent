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orem\Dropbox\Misc Data\"/>
    </mc:Choice>
  </mc:AlternateContent>
  <xr:revisionPtr revIDLastSave="0" documentId="8_{3E99B534-A809-49F3-AA84-87E59535DEC5}" xr6:coauthVersionLast="47" xr6:coauthVersionMax="47" xr10:uidLastSave="{00000000-0000-0000-0000-000000000000}"/>
  <bookViews>
    <workbookView xWindow="10620" yWindow="2715" windowWidth="21600" windowHeight="11835" xr2:uid="{15199F0F-AD5B-45A3-BC5B-6E85A4E2BE44}"/>
  </bookViews>
  <sheets>
    <sheet name="Standard Query_31849" sheetId="1" r:id="rId1"/>
  </sheets>
  <calcPr calcId="0"/>
</workbook>
</file>

<file path=xl/calcChain.xml><?xml version="1.0" encoding="utf-8"?>
<calcChain xmlns="http://schemas.openxmlformats.org/spreadsheetml/2006/main">
  <c r="S32" i="1" l="1"/>
  <c r="R32" i="1"/>
  <c r="H24" i="1"/>
  <c r="I24" i="1"/>
  <c r="J24" i="1"/>
  <c r="K24" i="1"/>
  <c r="L24" i="1"/>
  <c r="M24" i="1"/>
  <c r="N24" i="1"/>
  <c r="O24" i="1"/>
  <c r="P24" i="1"/>
  <c r="Q24" i="1"/>
  <c r="R24" i="1"/>
  <c r="S24" i="1"/>
  <c r="H25" i="1"/>
  <c r="I25" i="1"/>
  <c r="J25" i="1"/>
  <c r="K25" i="1"/>
  <c r="L25" i="1"/>
  <c r="M25" i="1"/>
  <c r="N25" i="1"/>
  <c r="O25" i="1"/>
  <c r="P25" i="1"/>
  <c r="Q25" i="1"/>
  <c r="R25" i="1"/>
  <c r="S25" i="1"/>
  <c r="H26" i="1"/>
  <c r="I26" i="1"/>
  <c r="J26" i="1"/>
  <c r="K26" i="1"/>
  <c r="L26" i="1"/>
  <c r="M26" i="1"/>
  <c r="N26" i="1"/>
  <c r="O26" i="1"/>
  <c r="P26" i="1"/>
  <c r="Q26" i="1"/>
  <c r="R26" i="1"/>
  <c r="S26" i="1"/>
  <c r="H27" i="1"/>
  <c r="I27" i="1"/>
  <c r="J27" i="1"/>
  <c r="K27" i="1"/>
  <c r="L27" i="1"/>
  <c r="M27" i="1"/>
  <c r="N27" i="1"/>
  <c r="O27" i="1"/>
  <c r="P27" i="1"/>
  <c r="Q27" i="1"/>
  <c r="R27" i="1"/>
  <c r="S27" i="1"/>
  <c r="H28" i="1"/>
  <c r="I28" i="1"/>
  <c r="J28" i="1"/>
  <c r="K28" i="1"/>
  <c r="L28" i="1"/>
  <c r="M28" i="1"/>
  <c r="N28" i="1"/>
  <c r="O28" i="1"/>
  <c r="P28" i="1"/>
  <c r="Q28" i="1"/>
  <c r="I23" i="1"/>
  <c r="J23" i="1"/>
  <c r="K23" i="1"/>
  <c r="L23" i="1"/>
  <c r="M23" i="1"/>
  <c r="N23" i="1"/>
  <c r="O23" i="1"/>
  <c r="P23" i="1"/>
  <c r="Q23" i="1"/>
  <c r="R23" i="1"/>
  <c r="S23" i="1"/>
  <c r="H23" i="1"/>
</calcChain>
</file>

<file path=xl/sharedStrings.xml><?xml version="1.0" encoding="utf-8"?>
<sst xmlns="http://schemas.openxmlformats.org/spreadsheetml/2006/main" count="117" uniqueCount="45">
  <si>
    <t>Data generated on Thursday, January 15, 2026 at 4:42:31 AM EST</t>
  </si>
  <si>
    <t>Area/Partners of Destination</t>
  </si>
  <si>
    <t>January 2020 - December 2025</t>
  </si>
  <si>
    <t>And Commodities Exported</t>
  </si>
  <si>
    <t>Quantities</t>
  </si>
  <si>
    <t>January</t>
  </si>
  <si>
    <t>February</t>
  </si>
  <si>
    <t>March</t>
  </si>
  <si>
    <t>April</t>
  </si>
  <si>
    <t>May</t>
  </si>
  <si>
    <t>June</t>
  </si>
  <si>
    <t>July</t>
  </si>
  <si>
    <t>August</t>
  </si>
  <si>
    <t>September</t>
  </si>
  <si>
    <t>October</t>
  </si>
  <si>
    <t>November</t>
  </si>
  <si>
    <t>December</t>
  </si>
  <si>
    <t>Total</t>
  </si>
  <si>
    <t>Partner</t>
  </si>
  <si>
    <t>HS Code</t>
  </si>
  <si>
    <t>Product</t>
  </si>
  <si>
    <t>Year</t>
  </si>
  <si>
    <t>UOM</t>
  </si>
  <si>
    <t>Qty</t>
  </si>
  <si>
    <t>Period/Period %  Change (Qty)</t>
  </si>
  <si>
    <t>Reporter Code</t>
  </si>
  <si>
    <t>Partner Code</t>
  </si>
  <si>
    <t>Product Code</t>
  </si>
  <si>
    <t>World Total</t>
  </si>
  <si>
    <t>Corn (Maize), except Seed</t>
  </si>
  <si>
    <t>2020-2020</t>
  </si>
  <si>
    <t>MT</t>
  </si>
  <si>
    <t>US</t>
  </si>
  <si>
    <t>R00</t>
  </si>
  <si>
    <t>2021-2021</t>
  </si>
  <si>
    <t>2022-2022</t>
  </si>
  <si>
    <t>2023-2023</t>
  </si>
  <si>
    <t>2024-2024</t>
  </si>
  <si>
    <t>2025-2025</t>
  </si>
  <si>
    <t>Corn (Maize) Seed</t>
  </si>
  <si>
    <t>Notes:</t>
  </si>
  <si>
    <t>1. Data Source: U.S. Census Bureau Trade Data</t>
  </si>
  <si>
    <t>2. Users should use cautious interpretation on QUANTITY reports using mixed units of measure. QUANTITY line items will only include statistics on the units of measure that are equal to, or are able to be converted to, the assigned unit of measure of the grouped commodities.</t>
  </si>
  <si>
    <t>3. Product Group : Harmonized</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</si>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</sst>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6046-022D-455A-965E-99F45808576B}">
  <dimension ref="A1:X32"/>
  <sheetViews>
    <sheetView tabSelected="1" topLeftCell="A16" workbookViewId="0">
      <selection activeCell="S32" sqref="S32"/>
    </sheetView>
  </sheetViews>
  <sheetFormatPr defaultRowHeight="15" x14ac:dyDescent="0.25"/>
  <sheetData>
    <row r="1" spans="1:24" x14ac:dyDescent="0.25">
      <c r="A1" t="s">
        <v>0</v>
      </c>
    </row>
    <row r="2" spans="1:24" x14ac:dyDescent="0.25">
      <c r="A2" t="s">
        <v>1</v>
      </c>
      <c r="F2" t="s">
        <v>2</v>
      </c>
    </row>
    <row r="3" spans="1:24" x14ac:dyDescent="0.25">
      <c r="A3" t="s">
        <v>3</v>
      </c>
      <c r="F3" t="s">
        <v>4</v>
      </c>
    </row>
    <row r="4" spans="1:24" x14ac:dyDescent="0.25">
      <c r="H4" t="s">
        <v>5</v>
      </c>
      <c r="I4" t="s">
        <v>6</v>
      </c>
      <c r="J4" t="s">
        <v>7</v>
      </c>
      <c r="K4" t="s">
        <v>8</v>
      </c>
      <c r="L4" t="s">
        <v>9</v>
      </c>
      <c r="M4" t="s">
        <v>10</v>
      </c>
      <c r="N4" t="s">
        <v>11</v>
      </c>
      <c r="O4" t="s">
        <v>12</v>
      </c>
      <c r="P4" t="s">
        <v>13</v>
      </c>
      <c r="Q4" t="s">
        <v>14</v>
      </c>
      <c r="R4" t="s">
        <v>15</v>
      </c>
      <c r="S4" t="s">
        <v>16</v>
      </c>
      <c r="T4" t="s">
        <v>17</v>
      </c>
    </row>
    <row r="5" spans="1:24" x14ac:dyDescent="0.25">
      <c r="B5" t="s">
        <v>18</v>
      </c>
      <c r="D5" t="s">
        <v>19</v>
      </c>
      <c r="E5" t="s">
        <v>20</v>
      </c>
      <c r="F5" t="s">
        <v>21</v>
      </c>
      <c r="G5" t="s">
        <v>22</v>
      </c>
      <c r="H5" t="s">
        <v>23</v>
      </c>
      <c r="I5" t="s">
        <v>23</v>
      </c>
      <c r="J5" t="s">
        <v>23</v>
      </c>
      <c r="K5" t="s">
        <v>23</v>
      </c>
      <c r="L5" t="s">
        <v>23</v>
      </c>
      <c r="M5" t="s">
        <v>23</v>
      </c>
      <c r="N5" t="s">
        <v>23</v>
      </c>
      <c r="O5" t="s">
        <v>23</v>
      </c>
      <c r="P5" t="s">
        <v>23</v>
      </c>
      <c r="Q5" t="s">
        <v>23</v>
      </c>
      <c r="R5" t="s">
        <v>23</v>
      </c>
      <c r="S5" t="s">
        <v>23</v>
      </c>
      <c r="T5" t="s">
        <v>23</v>
      </c>
      <c r="U5" t="s">
        <v>24</v>
      </c>
      <c r="V5" t="s">
        <v>25</v>
      </c>
      <c r="W5" t="s">
        <v>26</v>
      </c>
      <c r="X5" t="s">
        <v>27</v>
      </c>
    </row>
    <row r="6" spans="1:24" x14ac:dyDescent="0.25">
      <c r="A6">
        <v>1</v>
      </c>
      <c r="B6" t="s">
        <v>28</v>
      </c>
      <c r="C6">
        <v>1</v>
      </c>
      <c r="D6">
        <v>100590</v>
      </c>
      <c r="E6" t="s">
        <v>29</v>
      </c>
      <c r="F6" t="s">
        <v>30</v>
      </c>
      <c r="G6" t="s">
        <v>31</v>
      </c>
      <c r="H6" s="1">
        <v>2485682.7999999998</v>
      </c>
      <c r="I6" s="1">
        <v>3916486.5</v>
      </c>
      <c r="J6" s="1">
        <v>4623138</v>
      </c>
      <c r="K6" s="1">
        <v>5061076.4000000004</v>
      </c>
      <c r="L6" s="1">
        <v>5661497.5999999996</v>
      </c>
      <c r="M6" s="1">
        <v>5073626.7</v>
      </c>
      <c r="N6" s="1">
        <v>4436406.4000000004</v>
      </c>
      <c r="O6" s="1">
        <v>4499781</v>
      </c>
      <c r="P6" s="1">
        <v>3922303.4</v>
      </c>
      <c r="Q6" s="1">
        <v>3693270.2</v>
      </c>
      <c r="R6" s="1">
        <v>3809648.1</v>
      </c>
      <c r="S6" s="1">
        <v>4772568.7</v>
      </c>
      <c r="T6" s="1">
        <v>51955485.899999999</v>
      </c>
      <c r="U6">
        <v>-6</v>
      </c>
      <c r="V6" t="s">
        <v>32</v>
      </c>
      <c r="W6" t="s">
        <v>33</v>
      </c>
      <c r="X6">
        <v>100590</v>
      </c>
    </row>
    <row r="7" spans="1:24" x14ac:dyDescent="0.25">
      <c r="A7">
        <v>1</v>
      </c>
      <c r="B7" t="s">
        <v>28</v>
      </c>
      <c r="C7">
        <v>1</v>
      </c>
      <c r="D7">
        <v>100590</v>
      </c>
      <c r="E7" t="s">
        <v>29</v>
      </c>
      <c r="F7" t="s">
        <v>34</v>
      </c>
      <c r="G7" t="s">
        <v>31</v>
      </c>
      <c r="H7" s="1">
        <v>5888241.4000000004</v>
      </c>
      <c r="I7" s="1">
        <v>6481534</v>
      </c>
      <c r="J7" s="1">
        <v>9324756</v>
      </c>
      <c r="K7" s="1">
        <v>8345380.7000000002</v>
      </c>
      <c r="L7" s="1">
        <v>8492811.8000000007</v>
      </c>
      <c r="M7" s="1">
        <v>6352542.4000000004</v>
      </c>
      <c r="N7" s="1">
        <v>5488750.0999999996</v>
      </c>
      <c r="O7" s="1">
        <v>3306525.5</v>
      </c>
      <c r="P7" s="1">
        <v>2441696.9</v>
      </c>
      <c r="Q7" s="1">
        <v>4042587.2</v>
      </c>
      <c r="R7" s="1">
        <v>4476876.5999999996</v>
      </c>
      <c r="S7" s="1">
        <v>4719769.7</v>
      </c>
      <c r="T7" s="1">
        <v>69361472.299999997</v>
      </c>
      <c r="U7">
        <v>66</v>
      </c>
      <c r="V7" t="s">
        <v>32</v>
      </c>
      <c r="W7" t="s">
        <v>33</v>
      </c>
      <c r="X7">
        <v>100590</v>
      </c>
    </row>
    <row r="8" spans="1:24" x14ac:dyDescent="0.25">
      <c r="A8">
        <v>1</v>
      </c>
      <c r="B8" t="s">
        <v>28</v>
      </c>
      <c r="C8">
        <v>1</v>
      </c>
      <c r="D8">
        <v>100590</v>
      </c>
      <c r="E8" t="s">
        <v>29</v>
      </c>
      <c r="F8" t="s">
        <v>35</v>
      </c>
      <c r="G8" t="s">
        <v>31</v>
      </c>
      <c r="H8" s="1">
        <v>5766808.2000000002</v>
      </c>
      <c r="I8" s="1">
        <v>6393443.7000000002</v>
      </c>
      <c r="J8" s="1">
        <v>7471317.0999999996</v>
      </c>
      <c r="K8" s="1">
        <v>7005413.0999999996</v>
      </c>
      <c r="L8" s="1">
        <v>7226931.7999999998</v>
      </c>
      <c r="M8" s="1">
        <v>5499464.7999999998</v>
      </c>
      <c r="N8" s="1">
        <v>4488188.5</v>
      </c>
      <c r="O8" s="1">
        <v>3338356.2</v>
      </c>
      <c r="P8" s="1">
        <v>2541820.2000000002</v>
      </c>
      <c r="Q8" s="1">
        <v>2195965.7999999998</v>
      </c>
      <c r="R8" s="1">
        <v>2462399.5</v>
      </c>
      <c r="S8" s="1">
        <v>3653911.2</v>
      </c>
      <c r="T8" s="1">
        <v>58044020.100000001</v>
      </c>
      <c r="U8">
        <v>-14</v>
      </c>
      <c r="V8" t="s">
        <v>32</v>
      </c>
      <c r="W8" t="s">
        <v>33</v>
      </c>
      <c r="X8">
        <v>100590</v>
      </c>
    </row>
    <row r="9" spans="1:24" x14ac:dyDescent="0.25">
      <c r="A9">
        <v>1</v>
      </c>
      <c r="B9" t="s">
        <v>28</v>
      </c>
      <c r="C9">
        <v>1</v>
      </c>
      <c r="D9">
        <v>100590</v>
      </c>
      <c r="E9" t="s">
        <v>29</v>
      </c>
      <c r="F9" t="s">
        <v>36</v>
      </c>
      <c r="G9" t="s">
        <v>31</v>
      </c>
      <c r="H9" s="1">
        <v>3117382.7</v>
      </c>
      <c r="I9" s="1">
        <v>3385550.7</v>
      </c>
      <c r="J9" s="1">
        <v>4911022.5999999996</v>
      </c>
      <c r="K9" s="1">
        <v>5056220.9000000004</v>
      </c>
      <c r="L9" s="1">
        <v>6149143.7000000002</v>
      </c>
      <c r="M9" s="1">
        <v>3811807.2</v>
      </c>
      <c r="N9" s="1">
        <v>2346330.5</v>
      </c>
      <c r="O9" s="1">
        <v>2676864.7000000002</v>
      </c>
      <c r="P9" s="1">
        <v>3096988.8</v>
      </c>
      <c r="Q9" s="1">
        <v>2710532.6</v>
      </c>
      <c r="R9" s="1">
        <v>3567764.7</v>
      </c>
      <c r="S9" s="1">
        <v>4679884.0999999996</v>
      </c>
      <c r="T9" s="1">
        <v>45509493.100000001</v>
      </c>
      <c r="U9">
        <v>-12</v>
      </c>
      <c r="V9" t="s">
        <v>32</v>
      </c>
      <c r="W9" t="s">
        <v>33</v>
      </c>
      <c r="X9">
        <v>100590</v>
      </c>
    </row>
    <row r="10" spans="1:24" x14ac:dyDescent="0.25">
      <c r="A10">
        <v>1</v>
      </c>
      <c r="B10" t="s">
        <v>28</v>
      </c>
      <c r="C10">
        <v>1</v>
      </c>
      <c r="D10">
        <v>100590</v>
      </c>
      <c r="E10" t="s">
        <v>29</v>
      </c>
      <c r="F10" t="s">
        <v>37</v>
      </c>
      <c r="G10" t="s">
        <v>31</v>
      </c>
      <c r="H10" s="1">
        <v>4145385.4</v>
      </c>
      <c r="I10" s="1">
        <v>5009217.5</v>
      </c>
      <c r="J10" s="1">
        <v>6006206.5</v>
      </c>
      <c r="K10" s="1">
        <v>6408191.2000000002</v>
      </c>
      <c r="L10" s="1">
        <v>5877279.2999999998</v>
      </c>
      <c r="M10" s="1">
        <v>5375113.5</v>
      </c>
      <c r="N10" s="1">
        <v>5340723</v>
      </c>
      <c r="O10" s="1">
        <v>5114032</v>
      </c>
      <c r="P10" s="1">
        <v>4350274.7</v>
      </c>
      <c r="Q10" s="1">
        <v>4029279.2</v>
      </c>
      <c r="R10" s="1">
        <v>4781358.3</v>
      </c>
      <c r="S10" s="1">
        <v>5442034.4000000004</v>
      </c>
      <c r="T10" s="1">
        <v>61879095.100000001</v>
      </c>
      <c r="U10">
        <v>-7</v>
      </c>
      <c r="V10" t="s">
        <v>32</v>
      </c>
      <c r="W10" t="s">
        <v>33</v>
      </c>
      <c r="X10">
        <v>100590</v>
      </c>
    </row>
    <row r="11" spans="1:24" x14ac:dyDescent="0.25">
      <c r="A11">
        <v>1</v>
      </c>
      <c r="B11" t="s">
        <v>28</v>
      </c>
      <c r="C11">
        <v>1</v>
      </c>
      <c r="D11">
        <v>100590</v>
      </c>
      <c r="E11" t="s">
        <v>29</v>
      </c>
      <c r="F11" t="s">
        <v>38</v>
      </c>
      <c r="G11" t="s">
        <v>31</v>
      </c>
      <c r="H11" s="1">
        <v>6171650.0999999996</v>
      </c>
      <c r="I11" s="1">
        <v>6041807.0999999996</v>
      </c>
      <c r="J11" s="1">
        <v>7351959.2999999998</v>
      </c>
      <c r="K11" s="1">
        <v>7800493.7999999998</v>
      </c>
      <c r="L11" s="1">
        <v>7298953.2999999998</v>
      </c>
      <c r="M11" s="1">
        <v>6758213.9000000004</v>
      </c>
      <c r="N11" s="1">
        <v>6237265.7999999998</v>
      </c>
      <c r="O11" s="1">
        <v>6409046.4000000004</v>
      </c>
      <c r="P11" s="1">
        <v>6991001</v>
      </c>
      <c r="Q11" s="1">
        <v>6579145.4000000004</v>
      </c>
      <c r="T11" s="1">
        <v>67639536.400000006</v>
      </c>
      <c r="U11">
        <v>-6</v>
      </c>
      <c r="V11" t="s">
        <v>32</v>
      </c>
      <c r="W11" t="s">
        <v>33</v>
      </c>
      <c r="X11">
        <v>100590</v>
      </c>
    </row>
    <row r="12" spans="1:24" x14ac:dyDescent="0.25">
      <c r="A12">
        <v>1</v>
      </c>
      <c r="B12" t="s">
        <v>28</v>
      </c>
      <c r="C12">
        <v>2</v>
      </c>
      <c r="D12">
        <v>100510</v>
      </c>
      <c r="E12" t="s">
        <v>39</v>
      </c>
      <c r="F12" t="s">
        <v>30</v>
      </c>
      <c r="G12" t="s">
        <v>31</v>
      </c>
      <c r="H12" s="1">
        <v>9718.2999999999993</v>
      </c>
      <c r="I12" s="1">
        <v>9630.2000000000007</v>
      </c>
      <c r="J12" s="1">
        <v>11119.7</v>
      </c>
      <c r="K12" s="1">
        <v>4655</v>
      </c>
      <c r="L12" s="1">
        <v>2340.5</v>
      </c>
      <c r="M12" s="1">
        <v>1555.3</v>
      </c>
      <c r="N12">
        <v>949</v>
      </c>
      <c r="O12">
        <v>856.3</v>
      </c>
      <c r="P12" s="1">
        <v>1535.2</v>
      </c>
      <c r="Q12" s="1">
        <v>3873.1</v>
      </c>
      <c r="R12" s="1">
        <v>8379.2000000000007</v>
      </c>
      <c r="S12" s="1">
        <v>10851.8</v>
      </c>
      <c r="T12" s="1">
        <v>65463.7</v>
      </c>
      <c r="U12">
        <v>152</v>
      </c>
      <c r="V12" t="s">
        <v>32</v>
      </c>
      <c r="W12" t="s">
        <v>33</v>
      </c>
      <c r="X12">
        <v>100510</v>
      </c>
    </row>
    <row r="13" spans="1:24" x14ac:dyDescent="0.25">
      <c r="A13">
        <v>1</v>
      </c>
      <c r="B13" t="s">
        <v>28</v>
      </c>
      <c r="C13">
        <v>2</v>
      </c>
      <c r="D13">
        <v>100510</v>
      </c>
      <c r="E13" t="s">
        <v>39</v>
      </c>
      <c r="F13" t="s">
        <v>34</v>
      </c>
      <c r="G13" t="s">
        <v>31</v>
      </c>
      <c r="H13" s="1">
        <v>12116.2</v>
      </c>
      <c r="I13" s="1">
        <v>11180.4</v>
      </c>
      <c r="J13" s="1">
        <v>9453.6</v>
      </c>
      <c r="K13" s="1">
        <v>3736.5</v>
      </c>
      <c r="L13" s="1">
        <v>2231.5</v>
      </c>
      <c r="M13" s="1">
        <v>1195.7</v>
      </c>
      <c r="N13" s="1">
        <v>1045.0999999999999</v>
      </c>
      <c r="O13" s="1">
        <v>1419</v>
      </c>
      <c r="P13" s="1">
        <v>2313.3000000000002</v>
      </c>
      <c r="Q13" s="1">
        <v>8051</v>
      </c>
      <c r="R13" s="1">
        <v>8955.7999999999993</v>
      </c>
      <c r="S13" s="1">
        <v>10699.4</v>
      </c>
      <c r="T13" s="1">
        <v>72397.5</v>
      </c>
      <c r="U13">
        <v>248</v>
      </c>
      <c r="V13" t="s">
        <v>32</v>
      </c>
      <c r="W13" t="s">
        <v>33</v>
      </c>
      <c r="X13">
        <v>100510</v>
      </c>
    </row>
    <row r="14" spans="1:24" x14ac:dyDescent="0.25">
      <c r="A14">
        <v>1</v>
      </c>
      <c r="B14" t="s">
        <v>28</v>
      </c>
      <c r="C14">
        <v>2</v>
      </c>
      <c r="D14">
        <v>100510</v>
      </c>
      <c r="E14" t="s">
        <v>39</v>
      </c>
      <c r="F14" t="s">
        <v>35</v>
      </c>
      <c r="G14" t="s">
        <v>31</v>
      </c>
      <c r="H14" s="1">
        <v>7296.2</v>
      </c>
      <c r="I14" s="1">
        <v>12663.5</v>
      </c>
      <c r="J14" s="1">
        <v>11533.5</v>
      </c>
      <c r="K14" s="1">
        <v>4074.2</v>
      </c>
      <c r="L14" s="1">
        <v>1601.7</v>
      </c>
      <c r="M14" s="1">
        <v>2116.3000000000002</v>
      </c>
      <c r="N14" s="1">
        <v>3275</v>
      </c>
      <c r="O14" s="1">
        <v>2460.9</v>
      </c>
      <c r="P14" s="1">
        <v>3004.7</v>
      </c>
      <c r="Q14" s="1">
        <v>9266</v>
      </c>
      <c r="R14" s="1">
        <v>13943.4</v>
      </c>
      <c r="S14" s="1">
        <v>15280.9</v>
      </c>
      <c r="T14" s="1">
        <v>86516.3</v>
      </c>
      <c r="U14">
        <v>208</v>
      </c>
      <c r="V14" t="s">
        <v>32</v>
      </c>
      <c r="W14" t="s">
        <v>33</v>
      </c>
      <c r="X14">
        <v>100510</v>
      </c>
    </row>
    <row r="15" spans="1:24" x14ac:dyDescent="0.25">
      <c r="A15">
        <v>1</v>
      </c>
      <c r="B15" t="s">
        <v>28</v>
      </c>
      <c r="C15">
        <v>2</v>
      </c>
      <c r="D15">
        <v>100510</v>
      </c>
      <c r="E15" t="s">
        <v>39</v>
      </c>
      <c r="F15" t="s">
        <v>36</v>
      </c>
      <c r="G15" t="s">
        <v>31</v>
      </c>
      <c r="H15" s="1">
        <v>14905</v>
      </c>
      <c r="I15" s="1">
        <v>15827.2</v>
      </c>
      <c r="J15" s="1">
        <v>15411.7</v>
      </c>
      <c r="K15" s="1">
        <v>4998.3</v>
      </c>
      <c r="L15" s="1">
        <v>2978.3</v>
      </c>
      <c r="M15" s="1">
        <v>1362.9</v>
      </c>
      <c r="N15" s="1">
        <v>2904.7</v>
      </c>
      <c r="O15" s="1">
        <v>6052.5</v>
      </c>
      <c r="P15" s="1">
        <v>4800.2</v>
      </c>
      <c r="Q15" s="1">
        <v>10351.200000000001</v>
      </c>
      <c r="R15" s="1">
        <v>14345.6</v>
      </c>
      <c r="S15" s="1">
        <v>13184</v>
      </c>
      <c r="T15" s="1">
        <v>107121.60000000001</v>
      </c>
      <c r="U15">
        <v>116</v>
      </c>
      <c r="V15" t="s">
        <v>32</v>
      </c>
      <c r="W15" t="s">
        <v>33</v>
      </c>
      <c r="X15">
        <v>100510</v>
      </c>
    </row>
    <row r="16" spans="1:24" x14ac:dyDescent="0.25">
      <c r="A16">
        <v>1</v>
      </c>
      <c r="B16" t="s">
        <v>28</v>
      </c>
      <c r="C16">
        <v>2</v>
      </c>
      <c r="D16">
        <v>100510</v>
      </c>
      <c r="E16" t="s">
        <v>39</v>
      </c>
      <c r="F16" t="s">
        <v>37</v>
      </c>
      <c r="G16" t="s">
        <v>31</v>
      </c>
      <c r="H16" s="1">
        <v>15024.5</v>
      </c>
      <c r="I16" s="1">
        <v>15069.2</v>
      </c>
      <c r="J16" s="1">
        <v>7768.2</v>
      </c>
      <c r="K16" s="1">
        <v>7160</v>
      </c>
      <c r="L16" s="1">
        <v>1447.9</v>
      </c>
      <c r="M16" s="1">
        <v>2659.4</v>
      </c>
      <c r="N16">
        <v>987.6</v>
      </c>
      <c r="O16" s="1">
        <v>1399.4</v>
      </c>
      <c r="P16" s="1">
        <v>1681.4</v>
      </c>
      <c r="Q16" s="1">
        <v>5904.1</v>
      </c>
      <c r="R16" s="1">
        <v>7585.4</v>
      </c>
      <c r="S16" s="1">
        <v>13509</v>
      </c>
      <c r="T16" s="1">
        <v>80196.100000000006</v>
      </c>
      <c r="U16">
        <v>251</v>
      </c>
      <c r="V16" t="s">
        <v>32</v>
      </c>
      <c r="W16" t="s">
        <v>33</v>
      </c>
      <c r="X16">
        <v>100510</v>
      </c>
    </row>
    <row r="17" spans="1:24" x14ac:dyDescent="0.25">
      <c r="A17">
        <v>1</v>
      </c>
      <c r="B17" t="s">
        <v>28</v>
      </c>
      <c r="C17">
        <v>2</v>
      </c>
      <c r="D17">
        <v>100510</v>
      </c>
      <c r="E17" t="s">
        <v>39</v>
      </c>
      <c r="F17" t="s">
        <v>38</v>
      </c>
      <c r="G17" t="s">
        <v>31</v>
      </c>
      <c r="H17" s="1">
        <v>10841.1</v>
      </c>
      <c r="I17" s="1">
        <v>9864.6</v>
      </c>
      <c r="J17" s="1">
        <v>10361.5</v>
      </c>
      <c r="K17" s="1">
        <v>4302.3</v>
      </c>
      <c r="L17" s="1">
        <v>2521.8000000000002</v>
      </c>
      <c r="M17" s="1">
        <v>1266.5999999999999</v>
      </c>
      <c r="N17" s="1">
        <v>2638.8</v>
      </c>
      <c r="O17" s="1">
        <v>3110.6</v>
      </c>
      <c r="P17" s="1">
        <v>2490.9</v>
      </c>
      <c r="Q17" s="1">
        <v>3239.5</v>
      </c>
      <c r="T17" s="1">
        <v>50637.599999999999</v>
      </c>
      <c r="U17">
        <v>30</v>
      </c>
      <c r="V17" t="s">
        <v>32</v>
      </c>
      <c r="W17" t="s">
        <v>33</v>
      </c>
      <c r="X17">
        <v>100510</v>
      </c>
    </row>
    <row r="18" spans="1:24" x14ac:dyDescent="0.25">
      <c r="A18" t="s">
        <v>40</v>
      </c>
    </row>
    <row r="19" spans="1:24" x14ac:dyDescent="0.25">
      <c r="A19" t="s">
        <v>41</v>
      </c>
    </row>
    <row r="20" spans="1:24" x14ac:dyDescent="0.25">
      <c r="A20" t="s">
        <v>42</v>
      </c>
    </row>
    <row r="21" spans="1:24" x14ac:dyDescent="0.25">
      <c r="A21" t="s">
        <v>43</v>
      </c>
    </row>
    <row r="22" spans="1:24" x14ac:dyDescent="0.25">
      <c r="O22" t="s">
        <v>44</v>
      </c>
    </row>
    <row r="23" spans="1:24" x14ac:dyDescent="0.25">
      <c r="F23">
        <v>2020</v>
      </c>
      <c r="H23">
        <f>(H6+H12)*39.3674/1000000</f>
        <v>98.237453264140001</v>
      </c>
      <c r="I23">
        <f t="shared" ref="I23:S23" si="0">(I6+I12)*39.3674/1000000</f>
        <v>154.56100657558002</v>
      </c>
      <c r="J23">
        <f t="shared" si="0"/>
        <v>182.43867657898002</v>
      </c>
      <c r="K23">
        <f t="shared" si="0"/>
        <v>199.42467431636004</v>
      </c>
      <c r="L23">
        <f t="shared" si="0"/>
        <v>222.97058001794002</v>
      </c>
      <c r="M23">
        <f t="shared" si="0"/>
        <v>199.7967198668</v>
      </c>
      <c r="N23">
        <f t="shared" si="0"/>
        <v>174.68714497396005</v>
      </c>
      <c r="O23">
        <f t="shared" si="0"/>
        <v>177.17838884402002</v>
      </c>
      <c r="P23">
        <f t="shared" si="0"/>
        <v>154.47132370164002</v>
      </c>
      <c r="Q23">
        <f t="shared" si="0"/>
        <v>145.54691914842005</v>
      </c>
      <c r="R23">
        <f t="shared" si="0"/>
        <v>150.30580793002002</v>
      </c>
      <c r="S23">
        <f t="shared" si="0"/>
        <v>188.31082819170001</v>
      </c>
    </row>
    <row r="24" spans="1:24" x14ac:dyDescent="0.25">
      <c r="F24">
        <v>2021</v>
      </c>
      <c r="H24">
        <f t="shared" ref="H24:S24" si="1">(H7+H13)*39.3674/1000000</f>
        <v>232.28173778224004</v>
      </c>
      <c r="I24">
        <f t="shared" si="1"/>
        <v>255.60128487056005</v>
      </c>
      <c r="J24">
        <f t="shared" si="1"/>
        <v>367.46356300704002</v>
      </c>
      <c r="K24">
        <f t="shared" si="1"/>
        <v>328.68303645928</v>
      </c>
      <c r="L24">
        <f t="shared" si="1"/>
        <v>334.42776760842008</v>
      </c>
      <c r="M24">
        <f t="shared" si="1"/>
        <v>250.13014927794003</v>
      </c>
      <c r="N24">
        <f t="shared" si="1"/>
        <v>216.11896355648</v>
      </c>
      <c r="O24">
        <f t="shared" si="1"/>
        <v>130.2251743093</v>
      </c>
      <c r="P24">
        <f t="shared" si="1"/>
        <v>96.214327147479992</v>
      </c>
      <c r="Q24">
        <f t="shared" si="1"/>
        <v>159.46309427468003</v>
      </c>
      <c r="R24">
        <f t="shared" si="1"/>
        <v>176.59555842376</v>
      </c>
      <c r="S24">
        <f t="shared" si="1"/>
        <v>186.22626924734004</v>
      </c>
    </row>
    <row r="25" spans="1:24" x14ac:dyDescent="0.25">
      <c r="F25">
        <v>2022</v>
      </c>
      <c r="H25">
        <f t="shared" ref="H25:S25" si="2">(H8+H14)*39.3674/1000000</f>
        <v>227.31147755656005</v>
      </c>
      <c r="I25">
        <f t="shared" si="2"/>
        <v>252.19178458528003</v>
      </c>
      <c r="J25">
        <f t="shared" si="2"/>
        <v>294.58037271044003</v>
      </c>
      <c r="K25">
        <f t="shared" si="2"/>
        <v>275.94529033402</v>
      </c>
      <c r="L25">
        <f t="shared" si="2"/>
        <v>284.56856970790005</v>
      </c>
      <c r="M25">
        <f t="shared" si="2"/>
        <v>216.58294379614003</v>
      </c>
      <c r="N25">
        <f t="shared" si="2"/>
        <v>176.81724018990002</v>
      </c>
      <c r="O25">
        <f t="shared" si="2"/>
        <v>131.51928310254002</v>
      </c>
      <c r="P25">
        <f t="shared" si="2"/>
        <v>100.18313976826002</v>
      </c>
      <c r="Q25">
        <f t="shared" si="2"/>
        <v>86.814242363319991</v>
      </c>
      <c r="R25">
        <f t="shared" si="2"/>
        <v>97.487181481459999</v>
      </c>
      <c r="S25">
        <f t="shared" si="2"/>
        <v>144.44655307754002</v>
      </c>
    </row>
    <row r="26" spans="1:24" x14ac:dyDescent="0.25">
      <c r="F26">
        <v>2023</v>
      </c>
      <c r="H26">
        <f t="shared" ref="H26:S26" si="3">(H9+H15)*39.3674/1000000</f>
        <v>123.31002280098002</v>
      </c>
      <c r="I26">
        <f t="shared" si="3"/>
        <v>133.90340434046004</v>
      </c>
      <c r="J26">
        <f t="shared" si="3"/>
        <v>193.94090966182003</v>
      </c>
      <c r="K26">
        <f t="shared" si="3"/>
        <v>199.24704073408003</v>
      </c>
      <c r="L26">
        <f t="shared" si="3"/>
        <v>242.19304762280001</v>
      </c>
      <c r="M26">
        <f t="shared" si="3"/>
        <v>150.11459259474</v>
      </c>
      <c r="N26">
        <f t="shared" si="3"/>
        <v>92.483281812480016</v>
      </c>
      <c r="O26">
        <f t="shared" si="3"/>
        <v>105.61947457928002</v>
      </c>
      <c r="P26">
        <f t="shared" si="3"/>
        <v>122.1093682786</v>
      </c>
      <c r="Q26">
        <f t="shared" si="3"/>
        <v>107.11412090812001</v>
      </c>
      <c r="R26">
        <f t="shared" si="3"/>
        <v>141.01836902422002</v>
      </c>
      <c r="S26">
        <f t="shared" si="3"/>
        <v>184.75388911994003</v>
      </c>
    </row>
    <row r="27" spans="1:24" x14ac:dyDescent="0.25">
      <c r="F27">
        <v>2024</v>
      </c>
      <c r="H27">
        <f t="shared" ref="H27:S27" si="4">(H10+H16)*39.3674/1000000</f>
        <v>163.78452069726004</v>
      </c>
      <c r="I27">
        <f t="shared" si="4"/>
        <v>197.79310423358001</v>
      </c>
      <c r="J27">
        <f t="shared" si="4"/>
        <v>236.75454760478002</v>
      </c>
      <c r="K27">
        <f t="shared" si="4"/>
        <v>252.55569683088001</v>
      </c>
      <c r="L27">
        <f t="shared" si="4"/>
        <v>231.43020517328003</v>
      </c>
      <c r="M27">
        <f t="shared" si="4"/>
        <v>211.70893686346002</v>
      </c>
      <c r="N27">
        <f t="shared" si="4"/>
        <v>210.28925787444001</v>
      </c>
      <c r="O27">
        <f t="shared" si="4"/>
        <v>201.38123409636003</v>
      </c>
      <c r="P27">
        <f t="shared" si="4"/>
        <v>171.32519657114005</v>
      </c>
      <c r="Q27">
        <f t="shared" si="4"/>
        <v>158.85467504442002</v>
      </c>
      <c r="R27">
        <f t="shared" si="4"/>
        <v>188.52826221538001</v>
      </c>
      <c r="S27">
        <f t="shared" si="4"/>
        <v>214.77055924516003</v>
      </c>
    </row>
    <row r="28" spans="1:24" x14ac:dyDescent="0.25">
      <c r="F28">
        <v>2025</v>
      </c>
      <c r="H28">
        <f t="shared" ref="H28:S28" si="5">(H11+H17)*39.3674/1000000</f>
        <v>243.38860406687999</v>
      </c>
      <c r="I28">
        <f t="shared" si="5"/>
        <v>238.23858048258001</v>
      </c>
      <c r="J28">
        <f t="shared" si="5"/>
        <v>289.83542786191998</v>
      </c>
      <c r="K28">
        <f t="shared" si="5"/>
        <v>307.25452998714002</v>
      </c>
      <c r="L28">
        <f t="shared" si="5"/>
        <v>287.44009085174002</v>
      </c>
      <c r="M28">
        <f t="shared" si="5"/>
        <v>266.10317263569999</v>
      </c>
      <c r="N28">
        <f t="shared" si="5"/>
        <v>245.64882035004001</v>
      </c>
      <c r="O28">
        <f t="shared" si="5"/>
        <v>252.42994948180001</v>
      </c>
      <c r="P28">
        <f t="shared" si="5"/>
        <v>275.31559302406004</v>
      </c>
      <c r="Q28">
        <f t="shared" si="5"/>
        <v>259.13137931226004</v>
      </c>
    </row>
    <row r="31" spans="1:24" x14ac:dyDescent="0.25">
      <c r="R31">
        <v>950</v>
      </c>
      <c r="S31">
        <v>700</v>
      </c>
    </row>
    <row r="32" spans="1:24" x14ac:dyDescent="0.25">
      <c r="R32">
        <f>R31/39.3674</f>
        <v>24.131641916916024</v>
      </c>
      <c r="S32">
        <f>S31/36.7437</f>
        <v>19.050884913604239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 Query_31849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rlc-admin</dc:creator>
  <cp:lastModifiedBy>Tore Alden</cp:lastModifiedBy>
  <dcterms:created xsi:type="dcterms:W3CDTF">2026-01-15T12:28:40Z</dcterms:created>
  <dcterms:modified xsi:type="dcterms:W3CDTF">2026-01-15T12:28:40Z</dcterms:modified>
</cp:coreProperties>
</file>