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\Dropbox\RLC Documents\Models\Food Grains\"/>
    </mc:Choice>
  </mc:AlternateContent>
  <xr:revisionPtr revIDLastSave="0" documentId="13_ncr:1_{DC29E823-17A4-46D8-9276-849B1F82567C}" xr6:coauthVersionLast="47" xr6:coauthVersionMax="47" xr10:uidLastSave="{00000000-0000-0000-0000-000000000000}"/>
  <bookViews>
    <workbookView xWindow="20370" yWindow="-2850" windowWidth="29040" windowHeight="16440" activeTab="1" xr2:uid="{84C3B76F-D209-CE4E-8C70-380D7E1F4AB1}"/>
  </bookViews>
  <sheets>
    <sheet name="Prices" sheetId="2" r:id="rId1"/>
    <sheet name="Forecasts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2" l="1"/>
  <c r="G4" i="1"/>
  <c r="G5" i="1"/>
  <c r="G6" i="1"/>
  <c r="G7" i="1"/>
  <c r="C3" i="1"/>
  <c r="B3" i="1"/>
  <c r="D3" i="1" s="1"/>
  <c r="D100" i="2"/>
  <c r="D92" i="2"/>
  <c r="D93" i="2" s="1"/>
  <c r="D94" i="2" s="1"/>
  <c r="D95" i="2" s="1"/>
  <c r="D96" i="2" s="1"/>
  <c r="D97" i="2" s="1"/>
  <c r="D98" i="2" s="1"/>
  <c r="D99" i="2" s="1"/>
  <c r="B6" i="1" s="1"/>
  <c r="D87" i="2"/>
  <c r="B88" i="2" s="1"/>
  <c r="D86" i="2"/>
  <c r="C86" i="2" s="1"/>
  <c r="F86" i="2" s="1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E391" i="2"/>
  <c r="F391" i="2"/>
  <c r="E392" i="2"/>
  <c r="F392" i="2"/>
  <c r="E393" i="2"/>
  <c r="F393" i="2"/>
  <c r="E394" i="2"/>
  <c r="F394" i="2"/>
  <c r="E395" i="2"/>
  <c r="F395" i="2"/>
  <c r="E396" i="2"/>
  <c r="F396" i="2"/>
  <c r="E397" i="2"/>
  <c r="F397" i="2"/>
  <c r="E398" i="2"/>
  <c r="F398" i="2"/>
  <c r="E399" i="2"/>
  <c r="F399" i="2"/>
  <c r="E400" i="2"/>
  <c r="F400" i="2"/>
  <c r="E401" i="2"/>
  <c r="F401" i="2"/>
  <c r="E402" i="2"/>
  <c r="F402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F494" i="2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E507" i="2"/>
  <c r="F507" i="2"/>
  <c r="E508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E563" i="2"/>
  <c r="F563" i="2"/>
  <c r="E564" i="2"/>
  <c r="F564" i="2"/>
  <c r="E565" i="2"/>
  <c r="F565" i="2"/>
  <c r="E566" i="2"/>
  <c r="F566" i="2"/>
  <c r="E567" i="2"/>
  <c r="F567" i="2"/>
  <c r="E568" i="2"/>
  <c r="F568" i="2"/>
  <c r="E569" i="2"/>
  <c r="F569" i="2"/>
  <c r="E570" i="2"/>
  <c r="F570" i="2"/>
  <c r="E571" i="2"/>
  <c r="F571" i="2"/>
  <c r="E572" i="2"/>
  <c r="F572" i="2"/>
  <c r="E573" i="2"/>
  <c r="F573" i="2"/>
  <c r="E574" i="2"/>
  <c r="F574" i="2"/>
  <c r="E575" i="2"/>
  <c r="F575" i="2"/>
  <c r="E576" i="2"/>
  <c r="F576" i="2"/>
  <c r="E577" i="2"/>
  <c r="F577" i="2"/>
  <c r="E578" i="2"/>
  <c r="F578" i="2"/>
  <c r="E579" i="2"/>
  <c r="F579" i="2"/>
  <c r="E580" i="2"/>
  <c r="F580" i="2"/>
  <c r="E581" i="2"/>
  <c r="F581" i="2"/>
  <c r="E582" i="2"/>
  <c r="F582" i="2"/>
  <c r="E583" i="2"/>
  <c r="F583" i="2"/>
  <c r="E584" i="2"/>
  <c r="F584" i="2"/>
  <c r="E585" i="2"/>
  <c r="F585" i="2"/>
  <c r="E586" i="2"/>
  <c r="F586" i="2"/>
  <c r="E587" i="2"/>
  <c r="F587" i="2"/>
  <c r="E588" i="2"/>
  <c r="F588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E595" i="2"/>
  <c r="F595" i="2"/>
  <c r="E596" i="2"/>
  <c r="F596" i="2"/>
  <c r="E597" i="2"/>
  <c r="F597" i="2"/>
  <c r="E598" i="2"/>
  <c r="F598" i="2"/>
  <c r="E599" i="2"/>
  <c r="F599" i="2"/>
  <c r="E600" i="2"/>
  <c r="F600" i="2"/>
  <c r="E601" i="2"/>
  <c r="F601" i="2"/>
  <c r="E602" i="2"/>
  <c r="F602" i="2"/>
  <c r="E603" i="2"/>
  <c r="F603" i="2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F638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E654" i="2"/>
  <c r="F654" i="2"/>
  <c r="E655" i="2"/>
  <c r="F655" i="2"/>
  <c r="E656" i="2"/>
  <c r="F656" i="2"/>
  <c r="E657" i="2"/>
  <c r="F657" i="2"/>
  <c r="E658" i="2"/>
  <c r="F658" i="2"/>
  <c r="E659" i="2"/>
  <c r="F659" i="2"/>
  <c r="E660" i="2"/>
  <c r="F660" i="2"/>
  <c r="E661" i="2"/>
  <c r="F661" i="2"/>
  <c r="E662" i="2"/>
  <c r="F662" i="2"/>
  <c r="E663" i="2"/>
  <c r="F663" i="2"/>
  <c r="E664" i="2"/>
  <c r="F664" i="2"/>
  <c r="E665" i="2"/>
  <c r="F665" i="2"/>
  <c r="E666" i="2"/>
  <c r="F666" i="2"/>
  <c r="E667" i="2"/>
  <c r="F667" i="2"/>
  <c r="E668" i="2"/>
  <c r="F668" i="2"/>
  <c r="E669" i="2"/>
  <c r="F669" i="2"/>
  <c r="E670" i="2"/>
  <c r="F670" i="2"/>
  <c r="E671" i="2"/>
  <c r="F671" i="2"/>
  <c r="E672" i="2"/>
  <c r="F672" i="2"/>
  <c r="E673" i="2"/>
  <c r="F673" i="2"/>
  <c r="E674" i="2"/>
  <c r="F674" i="2"/>
  <c r="E675" i="2"/>
  <c r="F675" i="2"/>
  <c r="E676" i="2"/>
  <c r="F676" i="2"/>
  <c r="E677" i="2"/>
  <c r="F677" i="2"/>
  <c r="E678" i="2"/>
  <c r="F678" i="2"/>
  <c r="C6" i="1" l="1"/>
  <c r="H6" i="1"/>
  <c r="I6" i="1" s="1"/>
  <c r="D6" i="1"/>
  <c r="B4" i="1"/>
  <c r="J3" i="1"/>
  <c r="D101" i="2"/>
  <c r="B87" i="2"/>
  <c r="E87" i="2" s="1"/>
  <c r="C87" i="2"/>
  <c r="F87" i="2" s="1"/>
  <c r="B86" i="2"/>
  <c r="E86" i="2" s="1"/>
  <c r="J6" i="1" l="1"/>
  <c r="D4" i="1"/>
  <c r="H4" i="1"/>
  <c r="I4" i="1" s="1"/>
  <c r="C4" i="1"/>
  <c r="D102" i="2"/>
  <c r="B7" i="1" s="1"/>
  <c r="E88" i="2"/>
  <c r="B100" i="2" s="1"/>
  <c r="E100" i="2" s="1"/>
  <c r="C88" i="2"/>
  <c r="F88" i="2" s="1"/>
  <c r="C100" i="2" s="1"/>
  <c r="F100" i="2" s="1"/>
  <c r="J4" i="1" l="1"/>
  <c r="D7" i="1"/>
  <c r="J7" i="1" s="1"/>
  <c r="C7" i="1"/>
  <c r="H7" i="1"/>
  <c r="I7" i="1" s="1"/>
  <c r="D103" i="2"/>
  <c r="B102" i="2"/>
  <c r="E102" i="2" s="1"/>
  <c r="C102" i="2"/>
  <c r="F102" i="2" s="1"/>
  <c r="B89" i="2"/>
  <c r="E89" i="2" s="1"/>
  <c r="B101" i="2" s="1"/>
  <c r="E101" i="2" s="1"/>
  <c r="C89" i="2"/>
  <c r="F89" i="2" s="1"/>
  <c r="C101" i="2" s="1"/>
  <c r="F101" i="2" s="1"/>
  <c r="D104" i="2" l="1"/>
  <c r="B90" i="2"/>
  <c r="E90" i="2" s="1"/>
  <c r="C90" i="2"/>
  <c r="F90" i="2" s="1"/>
  <c r="D105" i="2" l="1"/>
  <c r="B91" i="2"/>
  <c r="E91" i="2" s="1"/>
  <c r="B103" i="2" s="1"/>
  <c r="E103" i="2" s="1"/>
  <c r="C91" i="2"/>
  <c r="F91" i="2" s="1"/>
  <c r="C103" i="2" s="1"/>
  <c r="F103" i="2" s="1"/>
  <c r="D106" i="2" l="1"/>
  <c r="B92" i="2"/>
  <c r="E92" i="2" s="1"/>
  <c r="B104" i="2" s="1"/>
  <c r="E104" i="2" s="1"/>
  <c r="C92" i="2"/>
  <c r="F92" i="2" s="1"/>
  <c r="C104" i="2" s="1"/>
  <c r="F104" i="2" s="1"/>
  <c r="D107" i="2" l="1"/>
  <c r="B5" i="1" s="1"/>
  <c r="B93" i="2"/>
  <c r="E93" i="2" s="1"/>
  <c r="B105" i="2" s="1"/>
  <c r="E105" i="2" s="1"/>
  <c r="C93" i="2"/>
  <c r="F93" i="2" s="1"/>
  <c r="C105" i="2" s="1"/>
  <c r="F105" i="2" s="1"/>
  <c r="C5" i="1" l="1"/>
  <c r="D5" i="1"/>
  <c r="J5" i="1" s="1"/>
  <c r="H5" i="1"/>
  <c r="I5" i="1" s="1"/>
  <c r="C94" i="2"/>
  <c r="F94" i="2" s="1"/>
  <c r="C106" i="2" s="1"/>
  <c r="F106" i="2" s="1"/>
  <c r="B94" i="2"/>
  <c r="E94" i="2" s="1"/>
  <c r="B106" i="2" s="1"/>
  <c r="E106" i="2" s="1"/>
  <c r="B95" i="2" l="1"/>
  <c r="E95" i="2" s="1"/>
  <c r="B107" i="2" s="1"/>
  <c r="E107" i="2" s="1"/>
  <c r="C95" i="2"/>
  <c r="F95" i="2" s="1"/>
  <c r="C107" i="2" s="1"/>
  <c r="F107" i="2" s="1"/>
  <c r="B96" i="2" l="1"/>
  <c r="E96" i="2" s="1"/>
  <c r="C96" i="2"/>
  <c r="F96" i="2" s="1"/>
  <c r="B97" i="2" l="1"/>
  <c r="E97" i="2" s="1"/>
  <c r="C97" i="2"/>
  <c r="F97" i="2" s="1"/>
  <c r="B98" i="2" l="1"/>
  <c r="E98" i="2" s="1"/>
  <c r="C98" i="2"/>
  <c r="F98" i="2" s="1"/>
  <c r="C99" i="2" l="1"/>
  <c r="F99" i="2" s="1"/>
  <c r="B99" i="2"/>
  <c r="E99" i="2" s="1"/>
  <c r="F10" i="2" l="1"/>
  <c r="E10" i="2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E8" i="2" s="1"/>
  <c r="C140" i="1"/>
  <c r="C141" i="1"/>
  <c r="F8" i="2" s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25" i="1"/>
  <c r="F9" i="2" l="1"/>
  <c r="E7" i="2"/>
  <c r="F7" i="2"/>
  <c r="E5" i="2"/>
  <c r="E6" i="2"/>
  <c r="E3" i="2"/>
  <c r="F6" i="2"/>
  <c r="AC691" i="2"/>
  <c r="M678" i="2"/>
  <c r="V678" i="2" s="1"/>
  <c r="M677" i="2"/>
  <c r="V677" i="2" s="1"/>
  <c r="M676" i="2"/>
  <c r="V676" i="2" s="1"/>
  <c r="M675" i="2"/>
  <c r="V675" i="2" s="1"/>
  <c r="M674" i="2"/>
  <c r="V674" i="2" s="1"/>
  <c r="M673" i="2"/>
  <c r="V673" i="2" s="1"/>
  <c r="M672" i="2"/>
  <c r="V672" i="2" s="1"/>
  <c r="M671" i="2"/>
  <c r="V671" i="2" s="1"/>
  <c r="AC670" i="2"/>
  <c r="AF670" i="2" s="1"/>
  <c r="M670" i="2"/>
  <c r="V670" i="2" s="1"/>
  <c r="AC669" i="2"/>
  <c r="AF669" i="2" s="1"/>
  <c r="M669" i="2"/>
  <c r="V669" i="2" s="1"/>
  <c r="AC668" i="2"/>
  <c r="AF668" i="2" s="1"/>
  <c r="M668" i="2"/>
  <c r="V668" i="2" s="1"/>
  <c r="M667" i="2"/>
  <c r="V667" i="2" s="1"/>
  <c r="M666" i="2"/>
  <c r="V666" i="2" s="1"/>
  <c r="M665" i="2"/>
  <c r="V665" i="2" s="1"/>
  <c r="AC664" i="2"/>
  <c r="M664" i="2"/>
  <c r="V664" i="2" s="1"/>
  <c r="AC663" i="2"/>
  <c r="AF663" i="2" s="1"/>
  <c r="M663" i="2"/>
  <c r="V663" i="2" s="1"/>
  <c r="AC662" i="2"/>
  <c r="AF662" i="2" s="1"/>
  <c r="M662" i="2"/>
  <c r="V662" i="2" s="1"/>
  <c r="M661" i="2"/>
  <c r="V661" i="2" s="1"/>
  <c r="M660" i="2"/>
  <c r="V660" i="2" s="1"/>
  <c r="AF659" i="2"/>
  <c r="AE659" i="2"/>
  <c r="M659" i="2"/>
  <c r="U659" i="2" s="1"/>
  <c r="AF658" i="2"/>
  <c r="AE658" i="2"/>
  <c r="S658" i="2"/>
  <c r="T658" i="2" s="1"/>
  <c r="M658" i="2"/>
  <c r="AF657" i="2"/>
  <c r="X657" i="2" a="1"/>
  <c r="Y736" i="2" s="1"/>
  <c r="S657" i="2"/>
  <c r="T657" i="2" s="1"/>
  <c r="M657" i="2"/>
  <c r="S656" i="2"/>
  <c r="T656" i="2" s="1"/>
  <c r="M656" i="2"/>
  <c r="U656" i="2" s="1"/>
  <c r="S655" i="2"/>
  <c r="T655" i="2" s="1"/>
  <c r="R655" i="2"/>
  <c r="Q655" i="2"/>
  <c r="M655" i="2"/>
  <c r="V654" i="2"/>
  <c r="S654" i="2"/>
  <c r="T654" i="2" s="1"/>
  <c r="R654" i="2"/>
  <c r="Q654" i="2"/>
  <c r="M654" i="2"/>
  <c r="U654" i="2" s="1"/>
  <c r="S653" i="2"/>
  <c r="T653" i="2" s="1"/>
  <c r="R653" i="2"/>
  <c r="Q653" i="2"/>
  <c r="M653" i="2"/>
  <c r="S652" i="2"/>
  <c r="T652" i="2" s="1"/>
  <c r="R652" i="2"/>
  <c r="Q652" i="2"/>
  <c r="M652" i="2"/>
  <c r="V652" i="2" s="1"/>
  <c r="M651" i="2"/>
  <c r="V651" i="2" s="1"/>
  <c r="M650" i="2"/>
  <c r="V650" i="2" s="1"/>
  <c r="M649" i="2"/>
  <c r="U649" i="2" s="1"/>
  <c r="K649" i="2"/>
  <c r="H649" i="2"/>
  <c r="M648" i="2"/>
  <c r="V648" i="2" s="1"/>
  <c r="K648" i="2"/>
  <c r="J648" i="2"/>
  <c r="H648" i="2"/>
  <c r="M647" i="2"/>
  <c r="V647" i="2" s="1"/>
  <c r="K647" i="2"/>
  <c r="J647" i="2"/>
  <c r="H647" i="2"/>
  <c r="M646" i="2"/>
  <c r="V646" i="2" s="1"/>
  <c r="K646" i="2"/>
  <c r="J646" i="2"/>
  <c r="H646" i="2"/>
  <c r="M645" i="2"/>
  <c r="V645" i="2" s="1"/>
  <c r="K645" i="2"/>
  <c r="J645" i="2"/>
  <c r="H645" i="2"/>
  <c r="M644" i="2"/>
  <c r="U644" i="2" s="1"/>
  <c r="K644" i="2"/>
  <c r="J644" i="2"/>
  <c r="H644" i="2"/>
  <c r="M643" i="2"/>
  <c r="V643" i="2" s="1"/>
  <c r="K643" i="2"/>
  <c r="J643" i="2"/>
  <c r="H643" i="2"/>
  <c r="M642" i="2"/>
  <c r="U642" i="2" s="1"/>
  <c r="K642" i="2"/>
  <c r="J642" i="2"/>
  <c r="H642" i="2"/>
  <c r="U641" i="2"/>
  <c r="M641" i="2"/>
  <c r="V641" i="2" s="1"/>
  <c r="K641" i="2"/>
  <c r="J641" i="2"/>
  <c r="H641" i="2"/>
  <c r="M640" i="2"/>
  <c r="U640" i="2" s="1"/>
  <c r="K640" i="2"/>
  <c r="J640" i="2"/>
  <c r="H640" i="2"/>
  <c r="M639" i="2"/>
  <c r="U639" i="2" s="1"/>
  <c r="K639" i="2"/>
  <c r="J639" i="2"/>
  <c r="H639" i="2"/>
  <c r="M638" i="2"/>
  <c r="V638" i="2" s="1"/>
  <c r="K638" i="2"/>
  <c r="J638" i="2"/>
  <c r="H638" i="2"/>
  <c r="M637" i="2"/>
  <c r="K637" i="2"/>
  <c r="J637" i="2"/>
  <c r="H637" i="2"/>
  <c r="V636" i="2"/>
  <c r="M636" i="2"/>
  <c r="U636" i="2" s="1"/>
  <c r="K636" i="2"/>
  <c r="J636" i="2"/>
  <c r="H636" i="2"/>
  <c r="M635" i="2"/>
  <c r="V635" i="2" s="1"/>
  <c r="K635" i="2"/>
  <c r="J635" i="2"/>
  <c r="H635" i="2"/>
  <c r="M634" i="2"/>
  <c r="U634" i="2" s="1"/>
  <c r="K634" i="2"/>
  <c r="J634" i="2"/>
  <c r="H634" i="2"/>
  <c r="M633" i="2"/>
  <c r="V633" i="2" s="1"/>
  <c r="K633" i="2"/>
  <c r="J633" i="2"/>
  <c r="H633" i="2"/>
  <c r="M632" i="2"/>
  <c r="U632" i="2" s="1"/>
  <c r="K632" i="2"/>
  <c r="J632" i="2"/>
  <c r="H632" i="2"/>
  <c r="M631" i="2"/>
  <c r="V631" i="2" s="1"/>
  <c r="K631" i="2"/>
  <c r="J631" i="2"/>
  <c r="H631" i="2"/>
  <c r="M630" i="2"/>
  <c r="V630" i="2" s="1"/>
  <c r="K630" i="2"/>
  <c r="J630" i="2"/>
  <c r="H630" i="2"/>
  <c r="M629" i="2"/>
  <c r="V629" i="2" s="1"/>
  <c r="K629" i="2"/>
  <c r="J629" i="2"/>
  <c r="H629" i="2"/>
  <c r="M628" i="2"/>
  <c r="V628" i="2" s="1"/>
  <c r="K628" i="2"/>
  <c r="J628" i="2"/>
  <c r="H628" i="2"/>
  <c r="M627" i="2"/>
  <c r="K627" i="2"/>
  <c r="J627" i="2"/>
  <c r="H627" i="2"/>
  <c r="M626" i="2"/>
  <c r="U626" i="2" s="1"/>
  <c r="K626" i="2"/>
  <c r="J626" i="2"/>
  <c r="H626" i="2"/>
  <c r="M625" i="2"/>
  <c r="U625" i="2" s="1"/>
  <c r="K625" i="2"/>
  <c r="J625" i="2"/>
  <c r="H625" i="2"/>
  <c r="M624" i="2"/>
  <c r="V624" i="2" s="1"/>
  <c r="K624" i="2"/>
  <c r="J624" i="2"/>
  <c r="H624" i="2"/>
  <c r="M623" i="2"/>
  <c r="K623" i="2"/>
  <c r="J623" i="2"/>
  <c r="H623" i="2"/>
  <c r="M622" i="2"/>
  <c r="K622" i="2"/>
  <c r="J622" i="2"/>
  <c r="H622" i="2"/>
  <c r="M621" i="2"/>
  <c r="U621" i="2" s="1"/>
  <c r="K621" i="2"/>
  <c r="J621" i="2"/>
  <c r="H621" i="2"/>
  <c r="M620" i="2"/>
  <c r="K620" i="2"/>
  <c r="J620" i="2"/>
  <c r="H620" i="2"/>
  <c r="M619" i="2"/>
  <c r="V619" i="2" s="1"/>
  <c r="K619" i="2"/>
  <c r="J619" i="2"/>
  <c r="H619" i="2"/>
  <c r="M618" i="2"/>
  <c r="U618" i="2" s="1"/>
  <c r="K618" i="2"/>
  <c r="J618" i="2"/>
  <c r="H618" i="2"/>
  <c r="M617" i="2"/>
  <c r="V617" i="2" s="1"/>
  <c r="K617" i="2"/>
  <c r="J617" i="2"/>
  <c r="H617" i="2"/>
  <c r="M616" i="2"/>
  <c r="V616" i="2" s="1"/>
  <c r="K616" i="2"/>
  <c r="J616" i="2"/>
  <c r="H616" i="2"/>
  <c r="M615" i="2"/>
  <c r="V615" i="2" s="1"/>
  <c r="K615" i="2"/>
  <c r="J615" i="2"/>
  <c r="H615" i="2"/>
  <c r="M614" i="2"/>
  <c r="V614" i="2" s="1"/>
  <c r="K614" i="2"/>
  <c r="J614" i="2"/>
  <c r="H614" i="2"/>
  <c r="M613" i="2"/>
  <c r="V613" i="2" s="1"/>
  <c r="K613" i="2"/>
  <c r="J613" i="2"/>
  <c r="H613" i="2"/>
  <c r="M612" i="2"/>
  <c r="V612" i="2" s="1"/>
  <c r="K612" i="2"/>
  <c r="J612" i="2"/>
  <c r="H612" i="2"/>
  <c r="M611" i="2"/>
  <c r="K611" i="2"/>
  <c r="J611" i="2"/>
  <c r="H611" i="2"/>
  <c r="M610" i="2"/>
  <c r="U610" i="2" s="1"/>
  <c r="K610" i="2"/>
  <c r="J610" i="2"/>
  <c r="H610" i="2"/>
  <c r="M609" i="2"/>
  <c r="V609" i="2" s="1"/>
  <c r="K609" i="2"/>
  <c r="J609" i="2"/>
  <c r="H609" i="2"/>
  <c r="M608" i="2"/>
  <c r="K608" i="2"/>
  <c r="J608" i="2"/>
  <c r="H608" i="2"/>
  <c r="M607" i="2"/>
  <c r="K607" i="2"/>
  <c r="J607" i="2"/>
  <c r="H607" i="2"/>
  <c r="M606" i="2"/>
  <c r="U606" i="2" s="1"/>
  <c r="K606" i="2"/>
  <c r="J606" i="2"/>
  <c r="H606" i="2"/>
  <c r="M605" i="2"/>
  <c r="U605" i="2" s="1"/>
  <c r="K605" i="2"/>
  <c r="J605" i="2"/>
  <c r="H605" i="2"/>
  <c r="M604" i="2"/>
  <c r="V604" i="2" s="1"/>
  <c r="K604" i="2"/>
  <c r="J604" i="2"/>
  <c r="H604" i="2"/>
  <c r="M603" i="2"/>
  <c r="U603" i="2" s="1"/>
  <c r="K603" i="2"/>
  <c r="J603" i="2"/>
  <c r="H603" i="2"/>
  <c r="M602" i="2"/>
  <c r="K602" i="2"/>
  <c r="J602" i="2"/>
  <c r="H602" i="2"/>
  <c r="M601" i="2"/>
  <c r="U601" i="2" s="1"/>
  <c r="K601" i="2"/>
  <c r="J601" i="2"/>
  <c r="H601" i="2"/>
  <c r="M600" i="2"/>
  <c r="K600" i="2"/>
  <c r="J600" i="2"/>
  <c r="H600" i="2"/>
  <c r="M599" i="2"/>
  <c r="U599" i="2" s="1"/>
  <c r="K599" i="2"/>
  <c r="J599" i="2"/>
  <c r="H599" i="2"/>
  <c r="M598" i="2"/>
  <c r="V598" i="2" s="1"/>
  <c r="K598" i="2"/>
  <c r="J598" i="2"/>
  <c r="H598" i="2"/>
  <c r="M597" i="2"/>
  <c r="U597" i="2" s="1"/>
  <c r="K597" i="2"/>
  <c r="J597" i="2"/>
  <c r="H597" i="2"/>
  <c r="M596" i="2"/>
  <c r="K596" i="2"/>
  <c r="J596" i="2"/>
  <c r="H596" i="2"/>
  <c r="M595" i="2"/>
  <c r="U595" i="2" s="1"/>
  <c r="K595" i="2"/>
  <c r="J595" i="2"/>
  <c r="H595" i="2"/>
  <c r="M594" i="2"/>
  <c r="V594" i="2" s="1"/>
  <c r="K594" i="2"/>
  <c r="J594" i="2"/>
  <c r="H594" i="2"/>
  <c r="M593" i="2"/>
  <c r="U593" i="2" s="1"/>
  <c r="K593" i="2"/>
  <c r="J593" i="2"/>
  <c r="H593" i="2"/>
  <c r="U592" i="2"/>
  <c r="S592" i="2" s="1"/>
  <c r="T592" i="2" s="1"/>
  <c r="M592" i="2"/>
  <c r="V592" i="2" s="1"/>
  <c r="K592" i="2"/>
  <c r="J592" i="2"/>
  <c r="H592" i="2"/>
  <c r="M591" i="2"/>
  <c r="U591" i="2" s="1"/>
  <c r="K591" i="2"/>
  <c r="J591" i="2"/>
  <c r="H591" i="2"/>
  <c r="M590" i="2"/>
  <c r="V590" i="2" s="1"/>
  <c r="K590" i="2"/>
  <c r="J590" i="2"/>
  <c r="H590" i="2"/>
  <c r="M589" i="2"/>
  <c r="V589" i="2" s="1"/>
  <c r="K589" i="2"/>
  <c r="J589" i="2"/>
  <c r="H589" i="2"/>
  <c r="M588" i="2"/>
  <c r="V588" i="2" s="1"/>
  <c r="K588" i="2"/>
  <c r="J588" i="2"/>
  <c r="H588" i="2"/>
  <c r="V587" i="2"/>
  <c r="M587" i="2"/>
  <c r="U587" i="2" s="1"/>
  <c r="K587" i="2"/>
  <c r="J587" i="2"/>
  <c r="H587" i="2"/>
  <c r="M586" i="2"/>
  <c r="K586" i="2"/>
  <c r="J586" i="2"/>
  <c r="H586" i="2"/>
  <c r="M585" i="2"/>
  <c r="U585" i="2" s="1"/>
  <c r="K585" i="2"/>
  <c r="J585" i="2"/>
  <c r="H585" i="2"/>
  <c r="M584" i="2"/>
  <c r="V584" i="2" s="1"/>
  <c r="K584" i="2"/>
  <c r="J584" i="2"/>
  <c r="H584" i="2"/>
  <c r="M583" i="2"/>
  <c r="U583" i="2" s="1"/>
  <c r="K583" i="2"/>
  <c r="J583" i="2"/>
  <c r="H583" i="2"/>
  <c r="M582" i="2"/>
  <c r="V582" i="2" s="1"/>
  <c r="K582" i="2"/>
  <c r="J582" i="2"/>
  <c r="H582" i="2"/>
  <c r="M581" i="2"/>
  <c r="K581" i="2"/>
  <c r="J581" i="2"/>
  <c r="H581" i="2"/>
  <c r="M580" i="2"/>
  <c r="K580" i="2"/>
  <c r="J580" i="2"/>
  <c r="H580" i="2"/>
  <c r="M579" i="2"/>
  <c r="U579" i="2" s="1"/>
  <c r="K579" i="2"/>
  <c r="J579" i="2"/>
  <c r="H579" i="2"/>
  <c r="M578" i="2"/>
  <c r="K578" i="2"/>
  <c r="H578" i="2"/>
  <c r="M577" i="2"/>
  <c r="V577" i="2" s="1"/>
  <c r="K577" i="2"/>
  <c r="H577" i="2"/>
  <c r="M576" i="2"/>
  <c r="V576" i="2" s="1"/>
  <c r="K576" i="2"/>
  <c r="H576" i="2"/>
  <c r="M575" i="2"/>
  <c r="K575" i="2"/>
  <c r="H575" i="2"/>
  <c r="M574" i="2"/>
  <c r="V574" i="2" s="1"/>
  <c r="K574" i="2"/>
  <c r="H574" i="2"/>
  <c r="M573" i="2"/>
  <c r="V573" i="2" s="1"/>
  <c r="K573" i="2"/>
  <c r="H573" i="2"/>
  <c r="M572" i="2"/>
  <c r="U572" i="2" s="1"/>
  <c r="K572" i="2"/>
  <c r="H572" i="2"/>
  <c r="M571" i="2"/>
  <c r="V571" i="2" s="1"/>
  <c r="K571" i="2"/>
  <c r="H571" i="2"/>
  <c r="M570" i="2"/>
  <c r="U570" i="2" s="1"/>
  <c r="K570" i="2"/>
  <c r="H570" i="2"/>
  <c r="M569" i="2"/>
  <c r="V569" i="2" s="1"/>
  <c r="K569" i="2"/>
  <c r="H569" i="2"/>
  <c r="M568" i="2"/>
  <c r="V568" i="2" s="1"/>
  <c r="K568" i="2"/>
  <c r="H568" i="2"/>
  <c r="M567" i="2"/>
  <c r="V567" i="2" s="1"/>
  <c r="K567" i="2"/>
  <c r="H567" i="2"/>
  <c r="M566" i="2"/>
  <c r="V566" i="2" s="1"/>
  <c r="K566" i="2"/>
  <c r="H566" i="2"/>
  <c r="M565" i="2"/>
  <c r="K565" i="2"/>
  <c r="H565" i="2"/>
  <c r="M564" i="2"/>
  <c r="V564" i="2" s="1"/>
  <c r="K564" i="2"/>
  <c r="H564" i="2"/>
  <c r="M563" i="2"/>
  <c r="V563" i="2" s="1"/>
  <c r="K563" i="2"/>
  <c r="H563" i="2"/>
  <c r="U562" i="2"/>
  <c r="M562" i="2"/>
  <c r="V562" i="2" s="1"/>
  <c r="K562" i="2"/>
  <c r="H562" i="2"/>
  <c r="M561" i="2"/>
  <c r="K561" i="2"/>
  <c r="H561" i="2"/>
  <c r="M560" i="2"/>
  <c r="V560" i="2" s="1"/>
  <c r="K560" i="2"/>
  <c r="H560" i="2"/>
  <c r="M559" i="2"/>
  <c r="V559" i="2" s="1"/>
  <c r="K559" i="2"/>
  <c r="H559" i="2"/>
  <c r="M558" i="2"/>
  <c r="V558" i="2" s="1"/>
  <c r="K558" i="2"/>
  <c r="H558" i="2"/>
  <c r="U557" i="2"/>
  <c r="M557" i="2"/>
  <c r="V557" i="2" s="1"/>
  <c r="K557" i="2"/>
  <c r="H557" i="2"/>
  <c r="M556" i="2"/>
  <c r="K556" i="2"/>
  <c r="H556" i="2"/>
  <c r="M555" i="2"/>
  <c r="U555" i="2" s="1"/>
  <c r="K555" i="2"/>
  <c r="H555" i="2"/>
  <c r="M554" i="2"/>
  <c r="V554" i="2" s="1"/>
  <c r="K554" i="2"/>
  <c r="H554" i="2"/>
  <c r="M553" i="2"/>
  <c r="K553" i="2"/>
  <c r="H553" i="2"/>
  <c r="M552" i="2"/>
  <c r="U552" i="2" s="1"/>
  <c r="K552" i="2"/>
  <c r="H552" i="2"/>
  <c r="M551" i="2"/>
  <c r="U551" i="2" s="1"/>
  <c r="K551" i="2"/>
  <c r="H551" i="2"/>
  <c r="M550" i="2"/>
  <c r="K550" i="2"/>
  <c r="H550" i="2"/>
  <c r="M549" i="2"/>
  <c r="V549" i="2" s="1"/>
  <c r="K549" i="2"/>
  <c r="H549" i="2"/>
  <c r="V548" i="2"/>
  <c r="M548" i="2"/>
  <c r="U548" i="2" s="1"/>
  <c r="K548" i="2"/>
  <c r="H548" i="2"/>
  <c r="M547" i="2"/>
  <c r="U547" i="2" s="1"/>
  <c r="K547" i="2"/>
  <c r="H547" i="2"/>
  <c r="M546" i="2"/>
  <c r="K546" i="2"/>
  <c r="H546" i="2"/>
  <c r="M545" i="2"/>
  <c r="V545" i="2" s="1"/>
  <c r="K545" i="2"/>
  <c r="H545" i="2"/>
  <c r="M544" i="2"/>
  <c r="V544" i="2" s="1"/>
  <c r="K544" i="2"/>
  <c r="H544" i="2"/>
  <c r="M543" i="2"/>
  <c r="U543" i="2" s="1"/>
  <c r="K543" i="2"/>
  <c r="H543" i="2"/>
  <c r="M542" i="2"/>
  <c r="K542" i="2"/>
  <c r="H542" i="2"/>
  <c r="U541" i="2"/>
  <c r="M541" i="2"/>
  <c r="V541" i="2" s="1"/>
  <c r="K541" i="2"/>
  <c r="H541" i="2"/>
  <c r="M540" i="2"/>
  <c r="V540" i="2" s="1"/>
  <c r="K540" i="2"/>
  <c r="H540" i="2"/>
  <c r="M539" i="2"/>
  <c r="V539" i="2" s="1"/>
  <c r="K539" i="2"/>
  <c r="H539" i="2"/>
  <c r="M538" i="2"/>
  <c r="U538" i="2" s="1"/>
  <c r="K538" i="2"/>
  <c r="H538" i="2"/>
  <c r="M537" i="2"/>
  <c r="V537" i="2" s="1"/>
  <c r="K537" i="2"/>
  <c r="H537" i="2"/>
  <c r="M536" i="2"/>
  <c r="V536" i="2" s="1"/>
  <c r="K536" i="2"/>
  <c r="H536" i="2"/>
  <c r="M535" i="2"/>
  <c r="V535" i="2" s="1"/>
  <c r="K535" i="2"/>
  <c r="H535" i="2"/>
  <c r="M534" i="2"/>
  <c r="K534" i="2"/>
  <c r="H534" i="2"/>
  <c r="M533" i="2"/>
  <c r="U533" i="2" s="1"/>
  <c r="K533" i="2"/>
  <c r="H533" i="2"/>
  <c r="M532" i="2"/>
  <c r="U532" i="2" s="1"/>
  <c r="K532" i="2"/>
  <c r="H532" i="2"/>
  <c r="M531" i="2"/>
  <c r="K531" i="2"/>
  <c r="H531" i="2"/>
  <c r="M530" i="2"/>
  <c r="V530" i="2" s="1"/>
  <c r="K530" i="2"/>
  <c r="H530" i="2"/>
  <c r="M529" i="2"/>
  <c r="U529" i="2" s="1"/>
  <c r="K529" i="2"/>
  <c r="H529" i="2"/>
  <c r="M528" i="2"/>
  <c r="V528" i="2" s="1"/>
  <c r="K528" i="2"/>
  <c r="H528" i="2"/>
  <c r="M527" i="2"/>
  <c r="U527" i="2" s="1"/>
  <c r="K527" i="2"/>
  <c r="H527" i="2"/>
  <c r="M526" i="2"/>
  <c r="V526" i="2" s="1"/>
  <c r="K526" i="2"/>
  <c r="H526" i="2"/>
  <c r="M525" i="2"/>
  <c r="K525" i="2"/>
  <c r="H525" i="2"/>
  <c r="M524" i="2"/>
  <c r="V524" i="2" s="1"/>
  <c r="K524" i="2"/>
  <c r="H524" i="2"/>
  <c r="M523" i="2"/>
  <c r="U523" i="2" s="1"/>
  <c r="K523" i="2"/>
  <c r="H523" i="2"/>
  <c r="V522" i="2"/>
  <c r="U522" i="2"/>
  <c r="M522" i="2"/>
  <c r="K522" i="2"/>
  <c r="H522" i="2"/>
  <c r="M521" i="2"/>
  <c r="K521" i="2"/>
  <c r="H521" i="2"/>
  <c r="M520" i="2"/>
  <c r="V520" i="2" s="1"/>
  <c r="K520" i="2"/>
  <c r="H520" i="2"/>
  <c r="M519" i="2"/>
  <c r="U519" i="2" s="1"/>
  <c r="K519" i="2"/>
  <c r="H519" i="2"/>
  <c r="M518" i="2"/>
  <c r="V518" i="2" s="1"/>
  <c r="K518" i="2"/>
  <c r="H518" i="2"/>
  <c r="M517" i="2"/>
  <c r="V517" i="2" s="1"/>
  <c r="K517" i="2"/>
  <c r="H517" i="2"/>
  <c r="M516" i="2"/>
  <c r="K516" i="2"/>
  <c r="H516" i="2"/>
  <c r="M515" i="2"/>
  <c r="U515" i="2" s="1"/>
  <c r="K515" i="2"/>
  <c r="H515" i="2"/>
  <c r="M514" i="2"/>
  <c r="K514" i="2"/>
  <c r="H514" i="2"/>
  <c r="M513" i="2"/>
  <c r="U513" i="2" s="1"/>
  <c r="K513" i="2"/>
  <c r="H513" i="2"/>
  <c r="M512" i="2"/>
  <c r="V512" i="2" s="1"/>
  <c r="K512" i="2"/>
  <c r="H512" i="2"/>
  <c r="M511" i="2"/>
  <c r="U511" i="2" s="1"/>
  <c r="K511" i="2"/>
  <c r="H511" i="2"/>
  <c r="M510" i="2"/>
  <c r="U510" i="2" s="1"/>
  <c r="K510" i="2"/>
  <c r="H510" i="2"/>
  <c r="M509" i="2"/>
  <c r="V509" i="2" s="1"/>
  <c r="K509" i="2"/>
  <c r="H509" i="2"/>
  <c r="M508" i="2"/>
  <c r="V508" i="2" s="1"/>
  <c r="K508" i="2"/>
  <c r="H508" i="2"/>
  <c r="M507" i="2"/>
  <c r="U507" i="2" s="1"/>
  <c r="K507" i="2"/>
  <c r="H507" i="2"/>
  <c r="M506" i="2"/>
  <c r="V506" i="2" s="1"/>
  <c r="K506" i="2"/>
  <c r="H506" i="2"/>
  <c r="M505" i="2"/>
  <c r="U505" i="2" s="1"/>
  <c r="K505" i="2"/>
  <c r="H505" i="2"/>
  <c r="M504" i="2"/>
  <c r="V504" i="2" s="1"/>
  <c r="K504" i="2"/>
  <c r="H504" i="2"/>
  <c r="M503" i="2"/>
  <c r="U503" i="2" s="1"/>
  <c r="K503" i="2"/>
  <c r="H503" i="2"/>
  <c r="M502" i="2"/>
  <c r="K502" i="2"/>
  <c r="H502" i="2"/>
  <c r="M501" i="2"/>
  <c r="V501" i="2" s="1"/>
  <c r="K501" i="2"/>
  <c r="H501" i="2"/>
  <c r="M500" i="2"/>
  <c r="K500" i="2"/>
  <c r="H500" i="2"/>
  <c r="M499" i="2"/>
  <c r="U499" i="2" s="1"/>
  <c r="K499" i="2"/>
  <c r="H499" i="2"/>
  <c r="M498" i="2"/>
  <c r="U498" i="2" s="1"/>
  <c r="K498" i="2"/>
  <c r="H498" i="2"/>
  <c r="M497" i="2"/>
  <c r="U497" i="2" s="1"/>
  <c r="K497" i="2"/>
  <c r="H497" i="2"/>
  <c r="M496" i="2"/>
  <c r="K496" i="2"/>
  <c r="H496" i="2"/>
  <c r="M495" i="2"/>
  <c r="U495" i="2" s="1"/>
  <c r="K495" i="2"/>
  <c r="H495" i="2"/>
  <c r="V494" i="2"/>
  <c r="M494" i="2"/>
  <c r="U494" i="2" s="1"/>
  <c r="K494" i="2"/>
  <c r="H494" i="2"/>
  <c r="M493" i="2"/>
  <c r="K493" i="2"/>
  <c r="H493" i="2"/>
  <c r="M492" i="2"/>
  <c r="V492" i="2" s="1"/>
  <c r="K492" i="2"/>
  <c r="H492" i="2"/>
  <c r="M491" i="2"/>
  <c r="K491" i="2"/>
  <c r="H491" i="2"/>
  <c r="M490" i="2"/>
  <c r="K490" i="2"/>
  <c r="H490" i="2"/>
  <c r="M489" i="2"/>
  <c r="U489" i="2" s="1"/>
  <c r="K489" i="2"/>
  <c r="H489" i="2"/>
  <c r="M488" i="2"/>
  <c r="V488" i="2" s="1"/>
  <c r="K488" i="2"/>
  <c r="H488" i="2"/>
  <c r="M487" i="2"/>
  <c r="V487" i="2" s="1"/>
  <c r="K487" i="2"/>
  <c r="H487" i="2"/>
  <c r="M486" i="2"/>
  <c r="K486" i="2"/>
  <c r="H486" i="2"/>
  <c r="M485" i="2"/>
  <c r="U485" i="2" s="1"/>
  <c r="K485" i="2"/>
  <c r="H485" i="2"/>
  <c r="M484" i="2"/>
  <c r="U484" i="2" s="1"/>
  <c r="K484" i="2"/>
  <c r="H484" i="2"/>
  <c r="M483" i="2"/>
  <c r="K483" i="2"/>
  <c r="H483" i="2"/>
  <c r="M482" i="2"/>
  <c r="K482" i="2"/>
  <c r="H482" i="2"/>
  <c r="M481" i="2"/>
  <c r="U481" i="2" s="1"/>
  <c r="K481" i="2"/>
  <c r="H481" i="2"/>
  <c r="M480" i="2"/>
  <c r="V480" i="2" s="1"/>
  <c r="K480" i="2"/>
  <c r="H480" i="2"/>
  <c r="M479" i="2"/>
  <c r="V479" i="2" s="1"/>
  <c r="K479" i="2"/>
  <c r="H479" i="2"/>
  <c r="M478" i="2"/>
  <c r="K478" i="2"/>
  <c r="H478" i="2"/>
  <c r="M477" i="2"/>
  <c r="U477" i="2" s="1"/>
  <c r="K477" i="2"/>
  <c r="H477" i="2"/>
  <c r="M476" i="2"/>
  <c r="U476" i="2" s="1"/>
  <c r="K476" i="2"/>
  <c r="H476" i="2"/>
  <c r="M475" i="2"/>
  <c r="K475" i="2"/>
  <c r="H475" i="2"/>
  <c r="M474" i="2"/>
  <c r="K474" i="2"/>
  <c r="H474" i="2"/>
  <c r="M473" i="2"/>
  <c r="U473" i="2" s="1"/>
  <c r="K473" i="2"/>
  <c r="H473" i="2"/>
  <c r="M472" i="2"/>
  <c r="V472" i="2" s="1"/>
  <c r="K472" i="2"/>
  <c r="H472" i="2"/>
  <c r="M471" i="2"/>
  <c r="V471" i="2" s="1"/>
  <c r="K471" i="2"/>
  <c r="H471" i="2"/>
  <c r="M470" i="2"/>
  <c r="K470" i="2"/>
  <c r="H470" i="2"/>
  <c r="M469" i="2"/>
  <c r="U469" i="2" s="1"/>
  <c r="K469" i="2"/>
  <c r="H469" i="2"/>
  <c r="M468" i="2"/>
  <c r="U468" i="2" s="1"/>
  <c r="K468" i="2"/>
  <c r="H468" i="2"/>
  <c r="M467" i="2"/>
  <c r="K467" i="2"/>
  <c r="H467" i="2"/>
  <c r="M466" i="2"/>
  <c r="K466" i="2"/>
  <c r="H466" i="2"/>
  <c r="M465" i="2"/>
  <c r="U465" i="2" s="1"/>
  <c r="K465" i="2"/>
  <c r="H465" i="2"/>
  <c r="M464" i="2"/>
  <c r="V464" i="2" s="1"/>
  <c r="K464" i="2"/>
  <c r="H464" i="2"/>
  <c r="M463" i="2"/>
  <c r="V463" i="2" s="1"/>
  <c r="K463" i="2"/>
  <c r="H463" i="2"/>
  <c r="M462" i="2"/>
  <c r="K462" i="2"/>
  <c r="H462" i="2"/>
  <c r="V461" i="2"/>
  <c r="M461" i="2"/>
  <c r="U461" i="2" s="1"/>
  <c r="K461" i="2"/>
  <c r="H461" i="2"/>
  <c r="M460" i="2"/>
  <c r="U460" i="2" s="1"/>
  <c r="K460" i="2"/>
  <c r="H460" i="2"/>
  <c r="M459" i="2"/>
  <c r="K459" i="2"/>
  <c r="H459" i="2"/>
  <c r="M458" i="2"/>
  <c r="K458" i="2"/>
  <c r="H458" i="2"/>
  <c r="M457" i="2"/>
  <c r="U457" i="2" s="1"/>
  <c r="K457" i="2"/>
  <c r="H457" i="2"/>
  <c r="M456" i="2"/>
  <c r="V456" i="2" s="1"/>
  <c r="K456" i="2"/>
  <c r="H456" i="2"/>
  <c r="M455" i="2"/>
  <c r="V455" i="2" s="1"/>
  <c r="K455" i="2"/>
  <c r="H455" i="2"/>
  <c r="M454" i="2"/>
  <c r="K454" i="2"/>
  <c r="H454" i="2"/>
  <c r="M453" i="2"/>
  <c r="U453" i="2" s="1"/>
  <c r="K453" i="2"/>
  <c r="H453" i="2"/>
  <c r="M452" i="2"/>
  <c r="U452" i="2" s="1"/>
  <c r="K452" i="2"/>
  <c r="H452" i="2"/>
  <c r="M451" i="2"/>
  <c r="K451" i="2"/>
  <c r="H451" i="2"/>
  <c r="M450" i="2"/>
  <c r="K450" i="2"/>
  <c r="H450" i="2"/>
  <c r="M449" i="2"/>
  <c r="U449" i="2" s="1"/>
  <c r="K449" i="2"/>
  <c r="H449" i="2"/>
  <c r="M448" i="2"/>
  <c r="V448" i="2" s="1"/>
  <c r="K448" i="2"/>
  <c r="H448" i="2"/>
  <c r="M447" i="2"/>
  <c r="V447" i="2" s="1"/>
  <c r="K447" i="2"/>
  <c r="H447" i="2"/>
  <c r="M446" i="2"/>
  <c r="K446" i="2"/>
  <c r="H446" i="2"/>
  <c r="M445" i="2"/>
  <c r="U445" i="2" s="1"/>
  <c r="K445" i="2"/>
  <c r="H445" i="2"/>
  <c r="M444" i="2"/>
  <c r="U444" i="2" s="1"/>
  <c r="K444" i="2"/>
  <c r="H444" i="2"/>
  <c r="M443" i="2"/>
  <c r="K443" i="2"/>
  <c r="H443" i="2"/>
  <c r="M442" i="2"/>
  <c r="K442" i="2"/>
  <c r="H442" i="2"/>
  <c r="M441" i="2"/>
  <c r="U441" i="2" s="1"/>
  <c r="K441" i="2"/>
  <c r="H441" i="2"/>
  <c r="M440" i="2"/>
  <c r="V440" i="2" s="1"/>
  <c r="K440" i="2"/>
  <c r="H440" i="2"/>
  <c r="M439" i="2"/>
  <c r="V439" i="2" s="1"/>
  <c r="K439" i="2"/>
  <c r="H439" i="2"/>
  <c r="M438" i="2"/>
  <c r="V438" i="2" s="1"/>
  <c r="K438" i="2"/>
  <c r="H438" i="2"/>
  <c r="M437" i="2"/>
  <c r="U437" i="2" s="1"/>
  <c r="K437" i="2"/>
  <c r="H437" i="2"/>
  <c r="M436" i="2"/>
  <c r="K436" i="2"/>
  <c r="H436" i="2"/>
  <c r="M435" i="2"/>
  <c r="V435" i="2" s="1"/>
  <c r="K435" i="2"/>
  <c r="H435" i="2"/>
  <c r="M434" i="2"/>
  <c r="K434" i="2"/>
  <c r="H434" i="2"/>
  <c r="M433" i="2"/>
  <c r="U433" i="2" s="1"/>
  <c r="K433" i="2"/>
  <c r="H433" i="2"/>
  <c r="M432" i="2"/>
  <c r="K432" i="2"/>
  <c r="H432" i="2"/>
  <c r="M431" i="2"/>
  <c r="V431" i="2" s="1"/>
  <c r="K431" i="2"/>
  <c r="H431" i="2"/>
  <c r="M430" i="2"/>
  <c r="K430" i="2"/>
  <c r="H430" i="2"/>
  <c r="M429" i="2"/>
  <c r="U429" i="2" s="1"/>
  <c r="K429" i="2"/>
  <c r="H429" i="2"/>
  <c r="M428" i="2"/>
  <c r="K428" i="2"/>
  <c r="H428" i="2"/>
  <c r="M427" i="2"/>
  <c r="V427" i="2" s="1"/>
  <c r="K427" i="2"/>
  <c r="H427" i="2"/>
  <c r="M426" i="2"/>
  <c r="K426" i="2"/>
  <c r="H426" i="2"/>
  <c r="M425" i="2"/>
  <c r="U425" i="2" s="1"/>
  <c r="K425" i="2"/>
  <c r="H425" i="2"/>
  <c r="M424" i="2"/>
  <c r="K424" i="2"/>
  <c r="H424" i="2"/>
  <c r="M423" i="2"/>
  <c r="V423" i="2" s="1"/>
  <c r="K423" i="2"/>
  <c r="H423" i="2"/>
  <c r="M422" i="2"/>
  <c r="K422" i="2"/>
  <c r="H422" i="2"/>
  <c r="M421" i="2"/>
  <c r="U421" i="2" s="1"/>
  <c r="K421" i="2"/>
  <c r="H421" i="2"/>
  <c r="M420" i="2"/>
  <c r="K420" i="2"/>
  <c r="H420" i="2"/>
  <c r="M419" i="2"/>
  <c r="V419" i="2" s="1"/>
  <c r="K419" i="2"/>
  <c r="H419" i="2"/>
  <c r="M418" i="2"/>
  <c r="K418" i="2"/>
  <c r="H418" i="2"/>
  <c r="M417" i="2"/>
  <c r="U417" i="2" s="1"/>
  <c r="K417" i="2"/>
  <c r="H417" i="2"/>
  <c r="M416" i="2"/>
  <c r="K416" i="2"/>
  <c r="H416" i="2"/>
  <c r="M415" i="2"/>
  <c r="V415" i="2" s="1"/>
  <c r="K415" i="2"/>
  <c r="H415" i="2"/>
  <c r="M414" i="2"/>
  <c r="K414" i="2"/>
  <c r="H414" i="2"/>
  <c r="M413" i="2"/>
  <c r="U413" i="2" s="1"/>
  <c r="K413" i="2"/>
  <c r="H413" i="2"/>
  <c r="M412" i="2"/>
  <c r="K412" i="2"/>
  <c r="H412" i="2"/>
  <c r="M411" i="2"/>
  <c r="U411" i="2" s="1"/>
  <c r="K411" i="2"/>
  <c r="H411" i="2"/>
  <c r="M410" i="2"/>
  <c r="K410" i="2"/>
  <c r="H410" i="2"/>
  <c r="M409" i="2"/>
  <c r="U409" i="2" s="1"/>
  <c r="K409" i="2"/>
  <c r="H409" i="2"/>
  <c r="M408" i="2"/>
  <c r="K408" i="2"/>
  <c r="H408" i="2"/>
  <c r="M407" i="2"/>
  <c r="V407" i="2" s="1"/>
  <c r="K407" i="2"/>
  <c r="H407" i="2"/>
  <c r="M406" i="2"/>
  <c r="K406" i="2"/>
  <c r="H406" i="2"/>
  <c r="M405" i="2"/>
  <c r="U405" i="2" s="1"/>
  <c r="K405" i="2"/>
  <c r="H405" i="2"/>
  <c r="M404" i="2"/>
  <c r="K404" i="2"/>
  <c r="H404" i="2"/>
  <c r="M403" i="2"/>
  <c r="V403" i="2" s="1"/>
  <c r="K403" i="2"/>
  <c r="H403" i="2"/>
  <c r="M402" i="2"/>
  <c r="K402" i="2"/>
  <c r="H402" i="2"/>
  <c r="M401" i="2"/>
  <c r="U401" i="2" s="1"/>
  <c r="K401" i="2"/>
  <c r="H401" i="2"/>
  <c r="M400" i="2"/>
  <c r="K400" i="2"/>
  <c r="H400" i="2"/>
  <c r="M399" i="2"/>
  <c r="V399" i="2" s="1"/>
  <c r="K399" i="2"/>
  <c r="H399" i="2"/>
  <c r="M398" i="2"/>
  <c r="K398" i="2"/>
  <c r="H398" i="2"/>
  <c r="M397" i="2"/>
  <c r="U397" i="2" s="1"/>
  <c r="K397" i="2"/>
  <c r="H397" i="2"/>
  <c r="M396" i="2"/>
  <c r="K396" i="2"/>
  <c r="H396" i="2"/>
  <c r="M395" i="2"/>
  <c r="V395" i="2" s="1"/>
  <c r="K395" i="2"/>
  <c r="H395" i="2"/>
  <c r="M394" i="2"/>
  <c r="K394" i="2"/>
  <c r="H394" i="2"/>
  <c r="M393" i="2"/>
  <c r="U393" i="2" s="1"/>
  <c r="K393" i="2"/>
  <c r="H393" i="2"/>
  <c r="M392" i="2"/>
  <c r="K392" i="2"/>
  <c r="H392" i="2"/>
  <c r="M391" i="2"/>
  <c r="V391" i="2" s="1"/>
  <c r="K391" i="2"/>
  <c r="H391" i="2"/>
  <c r="M390" i="2"/>
  <c r="K390" i="2"/>
  <c r="H390" i="2"/>
  <c r="M389" i="2"/>
  <c r="U389" i="2" s="1"/>
  <c r="K389" i="2"/>
  <c r="H389" i="2"/>
  <c r="M388" i="2"/>
  <c r="K388" i="2"/>
  <c r="H388" i="2"/>
  <c r="M387" i="2"/>
  <c r="V387" i="2" s="1"/>
  <c r="K387" i="2"/>
  <c r="H387" i="2"/>
  <c r="M386" i="2"/>
  <c r="K386" i="2"/>
  <c r="H386" i="2"/>
  <c r="M385" i="2"/>
  <c r="U385" i="2" s="1"/>
  <c r="K385" i="2"/>
  <c r="H385" i="2"/>
  <c r="M384" i="2"/>
  <c r="K384" i="2"/>
  <c r="H384" i="2"/>
  <c r="M383" i="2"/>
  <c r="V383" i="2" s="1"/>
  <c r="K383" i="2"/>
  <c r="H383" i="2"/>
  <c r="M382" i="2"/>
  <c r="K382" i="2"/>
  <c r="H382" i="2"/>
  <c r="M381" i="2"/>
  <c r="U381" i="2" s="1"/>
  <c r="K381" i="2"/>
  <c r="H381" i="2"/>
  <c r="M380" i="2"/>
  <c r="K380" i="2"/>
  <c r="H380" i="2"/>
  <c r="M379" i="2"/>
  <c r="V379" i="2" s="1"/>
  <c r="K379" i="2"/>
  <c r="H379" i="2"/>
  <c r="M378" i="2"/>
  <c r="K378" i="2"/>
  <c r="H378" i="2"/>
  <c r="M377" i="2"/>
  <c r="U377" i="2" s="1"/>
  <c r="K377" i="2"/>
  <c r="H377" i="2"/>
  <c r="M376" i="2"/>
  <c r="K376" i="2"/>
  <c r="H376" i="2"/>
  <c r="U375" i="2"/>
  <c r="M375" i="2"/>
  <c r="V375" i="2" s="1"/>
  <c r="K375" i="2"/>
  <c r="H375" i="2"/>
  <c r="M374" i="2"/>
  <c r="U374" i="2" s="1"/>
  <c r="K374" i="2"/>
  <c r="H374" i="2"/>
  <c r="M373" i="2"/>
  <c r="V373" i="2" s="1"/>
  <c r="K373" i="2"/>
  <c r="H373" i="2"/>
  <c r="M372" i="2"/>
  <c r="V372" i="2" s="1"/>
  <c r="K372" i="2"/>
  <c r="H372" i="2"/>
  <c r="M371" i="2"/>
  <c r="K371" i="2"/>
  <c r="H371" i="2"/>
  <c r="M370" i="2"/>
  <c r="V370" i="2" s="1"/>
  <c r="K370" i="2"/>
  <c r="H370" i="2"/>
  <c r="M369" i="2"/>
  <c r="U369" i="2" s="1"/>
  <c r="K369" i="2"/>
  <c r="H369" i="2"/>
  <c r="M368" i="2"/>
  <c r="V368" i="2" s="1"/>
  <c r="K368" i="2"/>
  <c r="H368" i="2"/>
  <c r="M367" i="2"/>
  <c r="V367" i="2" s="1"/>
  <c r="K367" i="2"/>
  <c r="H367" i="2"/>
  <c r="M366" i="2"/>
  <c r="V366" i="2" s="1"/>
  <c r="K366" i="2"/>
  <c r="H366" i="2"/>
  <c r="M365" i="2"/>
  <c r="V365" i="2" s="1"/>
  <c r="K365" i="2"/>
  <c r="H365" i="2"/>
  <c r="M364" i="2"/>
  <c r="U364" i="2" s="1"/>
  <c r="K364" i="2"/>
  <c r="H364" i="2"/>
  <c r="M363" i="2"/>
  <c r="V363" i="2" s="1"/>
  <c r="K363" i="2"/>
  <c r="H363" i="2"/>
  <c r="M362" i="2"/>
  <c r="V362" i="2" s="1"/>
  <c r="K362" i="2"/>
  <c r="H362" i="2"/>
  <c r="M361" i="2"/>
  <c r="V361" i="2" s="1"/>
  <c r="K361" i="2"/>
  <c r="H361" i="2"/>
  <c r="M360" i="2"/>
  <c r="V360" i="2" s="1"/>
  <c r="K360" i="2"/>
  <c r="H360" i="2"/>
  <c r="M359" i="2"/>
  <c r="V359" i="2" s="1"/>
  <c r="K359" i="2"/>
  <c r="H359" i="2"/>
  <c r="M358" i="2"/>
  <c r="V358" i="2" s="1"/>
  <c r="K358" i="2"/>
  <c r="H358" i="2"/>
  <c r="M357" i="2"/>
  <c r="V357" i="2" s="1"/>
  <c r="K357" i="2"/>
  <c r="H357" i="2"/>
  <c r="V356" i="2"/>
  <c r="M356" i="2"/>
  <c r="U356" i="2" s="1"/>
  <c r="K356" i="2"/>
  <c r="H356" i="2"/>
  <c r="M355" i="2"/>
  <c r="V355" i="2" s="1"/>
  <c r="K355" i="2"/>
  <c r="H355" i="2"/>
  <c r="M354" i="2"/>
  <c r="V354" i="2" s="1"/>
  <c r="K354" i="2"/>
  <c r="H354" i="2"/>
  <c r="M353" i="2"/>
  <c r="K353" i="2"/>
  <c r="H353" i="2"/>
  <c r="M352" i="2"/>
  <c r="V352" i="2" s="1"/>
  <c r="K352" i="2"/>
  <c r="H352" i="2"/>
  <c r="M351" i="2"/>
  <c r="K351" i="2"/>
  <c r="H351" i="2"/>
  <c r="M350" i="2"/>
  <c r="V350" i="2" s="1"/>
  <c r="K350" i="2"/>
  <c r="H350" i="2"/>
  <c r="M349" i="2"/>
  <c r="K349" i="2"/>
  <c r="H349" i="2"/>
  <c r="M348" i="2"/>
  <c r="V348" i="2" s="1"/>
  <c r="K348" i="2"/>
  <c r="H348" i="2"/>
  <c r="M347" i="2"/>
  <c r="U347" i="2" s="1"/>
  <c r="K347" i="2"/>
  <c r="H347" i="2"/>
  <c r="M346" i="2"/>
  <c r="V346" i="2" s="1"/>
  <c r="K346" i="2"/>
  <c r="H346" i="2"/>
  <c r="M345" i="2"/>
  <c r="V345" i="2" s="1"/>
  <c r="K345" i="2"/>
  <c r="H345" i="2"/>
  <c r="M344" i="2"/>
  <c r="V344" i="2" s="1"/>
  <c r="K344" i="2"/>
  <c r="H344" i="2"/>
  <c r="M343" i="2"/>
  <c r="K343" i="2"/>
  <c r="H343" i="2"/>
  <c r="M342" i="2"/>
  <c r="V342" i="2" s="1"/>
  <c r="K342" i="2"/>
  <c r="H342" i="2"/>
  <c r="M341" i="2"/>
  <c r="U341" i="2" s="1"/>
  <c r="K341" i="2"/>
  <c r="H341" i="2"/>
  <c r="M340" i="2"/>
  <c r="K340" i="2"/>
  <c r="H340" i="2"/>
  <c r="M339" i="2"/>
  <c r="U339" i="2" s="1"/>
  <c r="K339" i="2"/>
  <c r="H339" i="2"/>
  <c r="M338" i="2"/>
  <c r="V338" i="2" s="1"/>
  <c r="K338" i="2"/>
  <c r="H338" i="2"/>
  <c r="M337" i="2"/>
  <c r="K337" i="2"/>
  <c r="H337" i="2"/>
  <c r="M336" i="2"/>
  <c r="V336" i="2" s="1"/>
  <c r="K336" i="2"/>
  <c r="H336" i="2"/>
  <c r="M335" i="2"/>
  <c r="U335" i="2" s="1"/>
  <c r="K335" i="2"/>
  <c r="H335" i="2"/>
  <c r="M334" i="2"/>
  <c r="V334" i="2" s="1"/>
  <c r="K334" i="2"/>
  <c r="H334" i="2"/>
  <c r="M333" i="2"/>
  <c r="U333" i="2" s="1"/>
  <c r="K333" i="2"/>
  <c r="H333" i="2"/>
  <c r="M332" i="2"/>
  <c r="V332" i="2" s="1"/>
  <c r="K332" i="2"/>
  <c r="H332" i="2"/>
  <c r="M331" i="2"/>
  <c r="K331" i="2"/>
  <c r="H331" i="2"/>
  <c r="M330" i="2"/>
  <c r="V330" i="2" s="1"/>
  <c r="K330" i="2"/>
  <c r="H330" i="2"/>
  <c r="M329" i="2"/>
  <c r="U329" i="2" s="1"/>
  <c r="K329" i="2"/>
  <c r="H329" i="2"/>
  <c r="M328" i="2"/>
  <c r="V328" i="2" s="1"/>
  <c r="K328" i="2"/>
  <c r="H328" i="2"/>
  <c r="M327" i="2"/>
  <c r="V327" i="2" s="1"/>
  <c r="K327" i="2"/>
  <c r="H327" i="2"/>
  <c r="M326" i="2"/>
  <c r="U326" i="2" s="1"/>
  <c r="K326" i="2"/>
  <c r="H326" i="2"/>
  <c r="M325" i="2"/>
  <c r="U325" i="2" s="1"/>
  <c r="K325" i="2"/>
  <c r="H325" i="2"/>
  <c r="M324" i="2"/>
  <c r="K324" i="2"/>
  <c r="H324" i="2"/>
  <c r="M323" i="2"/>
  <c r="U323" i="2" s="1"/>
  <c r="K323" i="2"/>
  <c r="H323" i="2"/>
  <c r="M322" i="2"/>
  <c r="V322" i="2" s="1"/>
  <c r="K322" i="2"/>
  <c r="H322" i="2"/>
  <c r="M321" i="2"/>
  <c r="U321" i="2" s="1"/>
  <c r="K321" i="2"/>
  <c r="H321" i="2"/>
  <c r="M320" i="2"/>
  <c r="U320" i="2" s="1"/>
  <c r="K320" i="2"/>
  <c r="H320" i="2"/>
  <c r="M319" i="2"/>
  <c r="U319" i="2" s="1"/>
  <c r="K319" i="2"/>
  <c r="H319" i="2"/>
  <c r="M318" i="2"/>
  <c r="K318" i="2"/>
  <c r="H318" i="2"/>
  <c r="M317" i="2"/>
  <c r="K317" i="2"/>
  <c r="H317" i="2"/>
  <c r="M316" i="2"/>
  <c r="V316" i="2" s="1"/>
  <c r="K316" i="2"/>
  <c r="H316" i="2"/>
  <c r="M315" i="2"/>
  <c r="K315" i="2"/>
  <c r="H315" i="2"/>
  <c r="M314" i="2"/>
  <c r="V314" i="2" s="1"/>
  <c r="K314" i="2"/>
  <c r="H314" i="2"/>
  <c r="M313" i="2"/>
  <c r="V313" i="2" s="1"/>
  <c r="K313" i="2"/>
  <c r="H313" i="2"/>
  <c r="M312" i="2"/>
  <c r="V312" i="2" s="1"/>
  <c r="K312" i="2"/>
  <c r="H312" i="2"/>
  <c r="M311" i="2"/>
  <c r="K311" i="2"/>
  <c r="H311" i="2"/>
  <c r="M310" i="2"/>
  <c r="V310" i="2" s="1"/>
  <c r="K310" i="2"/>
  <c r="H310" i="2"/>
  <c r="V309" i="2"/>
  <c r="M309" i="2"/>
  <c r="U309" i="2" s="1"/>
  <c r="K309" i="2"/>
  <c r="H309" i="2"/>
  <c r="M308" i="2"/>
  <c r="V308" i="2" s="1"/>
  <c r="K308" i="2"/>
  <c r="H308" i="2"/>
  <c r="M307" i="2"/>
  <c r="K307" i="2"/>
  <c r="H307" i="2"/>
  <c r="V306" i="2"/>
  <c r="M306" i="2"/>
  <c r="U306" i="2" s="1"/>
  <c r="K306" i="2"/>
  <c r="H306" i="2"/>
  <c r="M305" i="2"/>
  <c r="K305" i="2"/>
  <c r="M304" i="2"/>
  <c r="U304" i="2" s="1"/>
  <c r="K304" i="2"/>
  <c r="M303" i="2"/>
  <c r="V303" i="2" s="1"/>
  <c r="K303" i="2"/>
  <c r="M302" i="2"/>
  <c r="U302" i="2" s="1"/>
  <c r="K302" i="2"/>
  <c r="M301" i="2"/>
  <c r="V301" i="2" s="1"/>
  <c r="K301" i="2"/>
  <c r="M300" i="2"/>
  <c r="U300" i="2" s="1"/>
  <c r="K300" i="2"/>
  <c r="M299" i="2"/>
  <c r="V299" i="2" s="1"/>
  <c r="K299" i="2"/>
  <c r="M298" i="2"/>
  <c r="K298" i="2"/>
  <c r="M297" i="2"/>
  <c r="U297" i="2" s="1"/>
  <c r="K297" i="2"/>
  <c r="M296" i="2"/>
  <c r="V296" i="2" s="1"/>
  <c r="K296" i="2"/>
  <c r="M295" i="2"/>
  <c r="K295" i="2"/>
  <c r="M294" i="2"/>
  <c r="U294" i="2" s="1"/>
  <c r="K294" i="2"/>
  <c r="M293" i="2"/>
  <c r="V293" i="2" s="1"/>
  <c r="K293" i="2"/>
  <c r="M292" i="2"/>
  <c r="V292" i="2" s="1"/>
  <c r="K292" i="2"/>
  <c r="M291" i="2"/>
  <c r="V291" i="2" s="1"/>
  <c r="K291" i="2"/>
  <c r="M290" i="2"/>
  <c r="U290" i="2" s="1"/>
  <c r="K290" i="2"/>
  <c r="M289" i="2"/>
  <c r="U289" i="2" s="1"/>
  <c r="K289" i="2"/>
  <c r="M288" i="2"/>
  <c r="V288" i="2" s="1"/>
  <c r="K288" i="2"/>
  <c r="M287" i="2"/>
  <c r="K287" i="2"/>
  <c r="M286" i="2"/>
  <c r="U286" i="2" s="1"/>
  <c r="K286" i="2"/>
  <c r="M285" i="2"/>
  <c r="U285" i="2" s="1"/>
  <c r="K285" i="2"/>
  <c r="M284" i="2"/>
  <c r="V284" i="2" s="1"/>
  <c r="K284" i="2"/>
  <c r="M283" i="2"/>
  <c r="V283" i="2" s="1"/>
  <c r="K283" i="2"/>
  <c r="M282" i="2"/>
  <c r="K282" i="2"/>
  <c r="M281" i="2"/>
  <c r="V281" i="2" s="1"/>
  <c r="K281" i="2"/>
  <c r="M280" i="2"/>
  <c r="K280" i="2"/>
  <c r="M279" i="2"/>
  <c r="U279" i="2" s="1"/>
  <c r="K279" i="2"/>
  <c r="M278" i="2"/>
  <c r="U278" i="2" s="1"/>
  <c r="K278" i="2"/>
  <c r="M277" i="2"/>
  <c r="V277" i="2" s="1"/>
  <c r="K277" i="2"/>
  <c r="M276" i="2"/>
  <c r="V276" i="2" s="1"/>
  <c r="K276" i="2"/>
  <c r="M275" i="2"/>
  <c r="V275" i="2" s="1"/>
  <c r="K275" i="2"/>
  <c r="M274" i="2"/>
  <c r="U274" i="2" s="1"/>
  <c r="K274" i="2"/>
  <c r="M273" i="2"/>
  <c r="K273" i="2"/>
  <c r="M272" i="2"/>
  <c r="U272" i="2" s="1"/>
  <c r="K272" i="2"/>
  <c r="M271" i="2"/>
  <c r="V271" i="2" s="1"/>
  <c r="K271" i="2"/>
  <c r="M270" i="2"/>
  <c r="K270" i="2"/>
  <c r="M269" i="2"/>
  <c r="V269" i="2" s="1"/>
  <c r="K269" i="2"/>
  <c r="M268" i="2"/>
  <c r="V268" i="2" s="1"/>
  <c r="K268" i="2"/>
  <c r="M267" i="2"/>
  <c r="U267" i="2" s="1"/>
  <c r="K267" i="2"/>
  <c r="M266" i="2"/>
  <c r="K266" i="2"/>
  <c r="M265" i="2"/>
  <c r="U265" i="2" s="1"/>
  <c r="K265" i="2"/>
  <c r="M264" i="2"/>
  <c r="V264" i="2" s="1"/>
  <c r="K264" i="2"/>
  <c r="M263" i="2"/>
  <c r="V263" i="2" s="1"/>
  <c r="K263" i="2"/>
  <c r="M262" i="2"/>
  <c r="K262" i="2"/>
  <c r="M261" i="2"/>
  <c r="V261" i="2" s="1"/>
  <c r="K261" i="2"/>
  <c r="M260" i="2"/>
  <c r="V260" i="2" s="1"/>
  <c r="K260" i="2"/>
  <c r="M259" i="2"/>
  <c r="V259" i="2" s="1"/>
  <c r="K259" i="2"/>
  <c r="M258" i="2"/>
  <c r="U258" i="2" s="1"/>
  <c r="K258" i="2"/>
  <c r="M257" i="2"/>
  <c r="V257" i="2" s="1"/>
  <c r="K257" i="2"/>
  <c r="M256" i="2"/>
  <c r="V256" i="2" s="1"/>
  <c r="K256" i="2"/>
  <c r="M255" i="2"/>
  <c r="V255" i="2" s="1"/>
  <c r="K255" i="2"/>
  <c r="M254" i="2"/>
  <c r="U254" i="2" s="1"/>
  <c r="K254" i="2"/>
  <c r="M253" i="2"/>
  <c r="V253" i="2" s="1"/>
  <c r="K253" i="2"/>
  <c r="V252" i="2"/>
  <c r="M252" i="2"/>
  <c r="U252" i="2" s="1"/>
  <c r="K252" i="2"/>
  <c r="M251" i="2"/>
  <c r="K251" i="2"/>
  <c r="M250" i="2"/>
  <c r="U250" i="2" s="1"/>
  <c r="K250" i="2"/>
  <c r="U249" i="2"/>
  <c r="M249" i="2"/>
  <c r="V249" i="2" s="1"/>
  <c r="K249" i="2"/>
  <c r="M248" i="2"/>
  <c r="V248" i="2" s="1"/>
  <c r="K248" i="2"/>
  <c r="M247" i="2"/>
  <c r="U247" i="2" s="1"/>
  <c r="K247" i="2"/>
  <c r="M246" i="2"/>
  <c r="U246" i="2" s="1"/>
  <c r="K246" i="2"/>
  <c r="M245" i="2"/>
  <c r="U245" i="2" s="1"/>
  <c r="K245" i="2"/>
  <c r="M244" i="2"/>
  <c r="K244" i="2"/>
  <c r="V243" i="2"/>
  <c r="U243" i="2"/>
  <c r="M243" i="2"/>
  <c r="K243" i="2"/>
  <c r="M242" i="2"/>
  <c r="U242" i="2" s="1"/>
  <c r="K242" i="2"/>
  <c r="M241" i="2"/>
  <c r="K241" i="2"/>
  <c r="M240" i="2"/>
  <c r="U240" i="2" s="1"/>
  <c r="K240" i="2"/>
  <c r="M239" i="2"/>
  <c r="V239" i="2" s="1"/>
  <c r="K239" i="2"/>
  <c r="M238" i="2"/>
  <c r="K238" i="2"/>
  <c r="M237" i="2"/>
  <c r="K237" i="2"/>
  <c r="M236" i="2"/>
  <c r="K236" i="2"/>
  <c r="M235" i="2"/>
  <c r="U235" i="2" s="1"/>
  <c r="K235" i="2"/>
  <c r="M234" i="2"/>
  <c r="K234" i="2"/>
  <c r="M233" i="2"/>
  <c r="U233" i="2" s="1"/>
  <c r="K233" i="2"/>
  <c r="M232" i="2"/>
  <c r="U232" i="2" s="1"/>
  <c r="K232" i="2"/>
  <c r="M231" i="2"/>
  <c r="V231" i="2" s="1"/>
  <c r="K231" i="2"/>
  <c r="M230" i="2"/>
  <c r="K230" i="2"/>
  <c r="M229" i="2"/>
  <c r="U229" i="2" s="1"/>
  <c r="K229" i="2"/>
  <c r="M228" i="2"/>
  <c r="V228" i="2" s="1"/>
  <c r="K228" i="2"/>
  <c r="M227" i="2"/>
  <c r="K227" i="2"/>
  <c r="M226" i="2"/>
  <c r="U226" i="2" s="1"/>
  <c r="K226" i="2"/>
  <c r="M225" i="2"/>
  <c r="V225" i="2" s="1"/>
  <c r="K225" i="2"/>
  <c r="M224" i="2"/>
  <c r="V224" i="2" s="1"/>
  <c r="K224" i="2"/>
  <c r="M223" i="2"/>
  <c r="V223" i="2" s="1"/>
  <c r="K223" i="2"/>
  <c r="M222" i="2"/>
  <c r="U222" i="2" s="1"/>
  <c r="K222" i="2"/>
  <c r="M221" i="2"/>
  <c r="U221" i="2" s="1"/>
  <c r="K221" i="2"/>
  <c r="M220" i="2"/>
  <c r="V220" i="2" s="1"/>
  <c r="K220" i="2"/>
  <c r="M219" i="2"/>
  <c r="K219" i="2"/>
  <c r="M218" i="2"/>
  <c r="U218" i="2" s="1"/>
  <c r="K218" i="2"/>
  <c r="M217" i="2"/>
  <c r="V217" i="2" s="1"/>
  <c r="K217" i="2"/>
  <c r="M216" i="2"/>
  <c r="V216" i="2" s="1"/>
  <c r="K216" i="2"/>
  <c r="M215" i="2"/>
  <c r="K215" i="2"/>
  <c r="M214" i="2"/>
  <c r="K214" i="2"/>
  <c r="M213" i="2"/>
  <c r="V213" i="2" s="1"/>
  <c r="K213" i="2"/>
  <c r="M212" i="2"/>
  <c r="K212" i="2"/>
  <c r="V211" i="2"/>
  <c r="M211" i="2"/>
  <c r="U211" i="2" s="1"/>
  <c r="K211" i="2"/>
  <c r="M210" i="2"/>
  <c r="K210" i="2"/>
  <c r="M209" i="2"/>
  <c r="V209" i="2" s="1"/>
  <c r="K209" i="2"/>
  <c r="M208" i="2"/>
  <c r="U208" i="2" s="1"/>
  <c r="K208" i="2"/>
  <c r="M207" i="2"/>
  <c r="U207" i="2" s="1"/>
  <c r="K207" i="2"/>
  <c r="M206" i="2"/>
  <c r="U206" i="2" s="1"/>
  <c r="K206" i="2"/>
  <c r="M205" i="2"/>
  <c r="K205" i="2"/>
  <c r="M204" i="2"/>
  <c r="V204" i="2" s="1"/>
  <c r="K204" i="2"/>
  <c r="M203" i="2"/>
  <c r="V203" i="2" s="1"/>
  <c r="K203" i="2"/>
  <c r="M202" i="2"/>
  <c r="U202" i="2" s="1"/>
  <c r="K202" i="2"/>
  <c r="M201" i="2"/>
  <c r="U201" i="2" s="1"/>
  <c r="K201" i="2"/>
  <c r="M200" i="2"/>
  <c r="V200" i="2" s="1"/>
  <c r="K200" i="2"/>
  <c r="M199" i="2"/>
  <c r="U199" i="2" s="1"/>
  <c r="K199" i="2"/>
  <c r="M198" i="2"/>
  <c r="K198" i="2"/>
  <c r="M197" i="2"/>
  <c r="V197" i="2" s="1"/>
  <c r="K197" i="2"/>
  <c r="M196" i="2"/>
  <c r="U196" i="2" s="1"/>
  <c r="K196" i="2"/>
  <c r="M195" i="2"/>
  <c r="V195" i="2" s="1"/>
  <c r="K195" i="2"/>
  <c r="M194" i="2"/>
  <c r="U194" i="2" s="1"/>
  <c r="K194" i="2"/>
  <c r="M193" i="2"/>
  <c r="U193" i="2" s="1"/>
  <c r="K193" i="2"/>
  <c r="M192" i="2"/>
  <c r="V192" i="2" s="1"/>
  <c r="K192" i="2"/>
  <c r="M191" i="2"/>
  <c r="V191" i="2" s="1"/>
  <c r="K191" i="2"/>
  <c r="M190" i="2"/>
  <c r="K190" i="2"/>
  <c r="M189" i="2"/>
  <c r="V189" i="2" s="1"/>
  <c r="K189" i="2"/>
  <c r="M188" i="2"/>
  <c r="V188" i="2" s="1"/>
  <c r="K188" i="2"/>
  <c r="M187" i="2"/>
  <c r="K187" i="2"/>
  <c r="M186" i="2"/>
  <c r="K186" i="2"/>
  <c r="M185" i="2"/>
  <c r="U185" i="2" s="1"/>
  <c r="K185" i="2"/>
  <c r="M184" i="2"/>
  <c r="K184" i="2"/>
  <c r="M183" i="2"/>
  <c r="U183" i="2" s="1"/>
  <c r="K183" i="2"/>
  <c r="M182" i="2"/>
  <c r="U182" i="2" s="1"/>
  <c r="K182" i="2"/>
  <c r="M181" i="2"/>
  <c r="U181" i="2" s="1"/>
  <c r="K181" i="2"/>
  <c r="M180" i="2"/>
  <c r="K180" i="2"/>
  <c r="M179" i="2"/>
  <c r="V179" i="2" s="1"/>
  <c r="K179" i="2"/>
  <c r="M178" i="2"/>
  <c r="U178" i="2" s="1"/>
  <c r="K178" i="2"/>
  <c r="M177" i="2"/>
  <c r="V177" i="2" s="1"/>
  <c r="K177" i="2"/>
  <c r="M176" i="2"/>
  <c r="U176" i="2" s="1"/>
  <c r="K176" i="2"/>
  <c r="M175" i="2"/>
  <c r="K175" i="2"/>
  <c r="M174" i="2"/>
  <c r="U174" i="2" s="1"/>
  <c r="K174" i="2"/>
  <c r="M173" i="2"/>
  <c r="K173" i="2"/>
  <c r="M172" i="2"/>
  <c r="V172" i="2" s="1"/>
  <c r="K172" i="2"/>
  <c r="M171" i="2"/>
  <c r="V171" i="2" s="1"/>
  <c r="K171" i="2"/>
  <c r="M170" i="2"/>
  <c r="U170" i="2" s="1"/>
  <c r="K170" i="2"/>
  <c r="M169" i="2"/>
  <c r="U169" i="2" s="1"/>
  <c r="K169" i="2"/>
  <c r="M168" i="2"/>
  <c r="V168" i="2" s="1"/>
  <c r="K168" i="2"/>
  <c r="M167" i="2"/>
  <c r="V167" i="2" s="1"/>
  <c r="K167" i="2"/>
  <c r="M166" i="2"/>
  <c r="K166" i="2"/>
  <c r="U165" i="2"/>
  <c r="M165" i="2"/>
  <c r="V165" i="2" s="1"/>
  <c r="K165" i="2"/>
  <c r="M164" i="2"/>
  <c r="V164" i="2" s="1"/>
  <c r="K164" i="2"/>
  <c r="M163" i="2"/>
  <c r="U163" i="2" s="1"/>
  <c r="K163" i="2"/>
  <c r="M162" i="2"/>
  <c r="U162" i="2" s="1"/>
  <c r="K162" i="2"/>
  <c r="M161" i="2"/>
  <c r="V161" i="2" s="1"/>
  <c r="K161" i="2"/>
  <c r="M160" i="2"/>
  <c r="U160" i="2" s="1"/>
  <c r="K160" i="2"/>
  <c r="M159" i="2"/>
  <c r="K159" i="2"/>
  <c r="M158" i="2"/>
  <c r="K158" i="2"/>
  <c r="M157" i="2"/>
  <c r="U157" i="2" s="1"/>
  <c r="K157" i="2"/>
  <c r="M156" i="2"/>
  <c r="V156" i="2" s="1"/>
  <c r="K156" i="2"/>
  <c r="M155" i="2"/>
  <c r="K155" i="2"/>
  <c r="M154" i="2"/>
  <c r="U154" i="2" s="1"/>
  <c r="K154" i="2"/>
  <c r="M153" i="2"/>
  <c r="U153" i="2" s="1"/>
  <c r="K153" i="2"/>
  <c r="M152" i="2"/>
  <c r="V152" i="2" s="1"/>
  <c r="K152" i="2"/>
  <c r="M151" i="2"/>
  <c r="U151" i="2" s="1"/>
  <c r="K151" i="2"/>
  <c r="M150" i="2"/>
  <c r="U150" i="2" s="1"/>
  <c r="K150" i="2"/>
  <c r="M149" i="2"/>
  <c r="V149" i="2" s="1"/>
  <c r="K149" i="2"/>
  <c r="M148" i="2"/>
  <c r="K148" i="2"/>
  <c r="U147" i="2"/>
  <c r="M147" i="2"/>
  <c r="V147" i="2" s="1"/>
  <c r="K147" i="2"/>
  <c r="M146" i="2"/>
  <c r="U146" i="2" s="1"/>
  <c r="K146" i="2"/>
  <c r="M145" i="2"/>
  <c r="V145" i="2" s="1"/>
  <c r="K145" i="2"/>
  <c r="M144" i="2"/>
  <c r="K144" i="2"/>
  <c r="M143" i="2"/>
  <c r="V143" i="2" s="1"/>
  <c r="K143" i="2"/>
  <c r="M142" i="2"/>
  <c r="U142" i="2" s="1"/>
  <c r="K142" i="2"/>
  <c r="M141" i="2"/>
  <c r="K141" i="2"/>
  <c r="M140" i="2"/>
  <c r="U140" i="2" s="1"/>
  <c r="K140" i="2"/>
  <c r="M139" i="2"/>
  <c r="V139" i="2" s="1"/>
  <c r="K139" i="2"/>
  <c r="M138" i="2"/>
  <c r="U138" i="2" s="1"/>
  <c r="K138" i="2"/>
  <c r="M137" i="2"/>
  <c r="U137" i="2" s="1"/>
  <c r="K137" i="2"/>
  <c r="M136" i="2"/>
  <c r="V136" i="2" s="1"/>
  <c r="K136" i="2"/>
  <c r="M135" i="2"/>
  <c r="V135" i="2" s="1"/>
  <c r="K135" i="2"/>
  <c r="M134" i="2"/>
  <c r="K134" i="2"/>
  <c r="M133" i="2"/>
  <c r="V133" i="2" s="1"/>
  <c r="K133" i="2"/>
  <c r="M132" i="2"/>
  <c r="U132" i="2" s="1"/>
  <c r="K132" i="2"/>
  <c r="M131" i="2"/>
  <c r="V131" i="2" s="1"/>
  <c r="K131" i="2"/>
  <c r="M130" i="2"/>
  <c r="U130" i="2" s="1"/>
  <c r="K130" i="2"/>
  <c r="V129" i="2"/>
  <c r="U129" i="2"/>
  <c r="M129" i="2"/>
  <c r="K129" i="2"/>
  <c r="M128" i="2"/>
  <c r="V128" i="2" s="1"/>
  <c r="K128" i="2"/>
  <c r="M127" i="2"/>
  <c r="K127" i="2"/>
  <c r="M126" i="2"/>
  <c r="U126" i="2" s="1"/>
  <c r="K126" i="2"/>
  <c r="M125" i="2"/>
  <c r="V125" i="2" s="1"/>
  <c r="K125" i="2"/>
  <c r="M124" i="2"/>
  <c r="K124" i="2"/>
  <c r="M123" i="2"/>
  <c r="K123" i="2"/>
  <c r="M122" i="2"/>
  <c r="U122" i="2" s="1"/>
  <c r="K122" i="2"/>
  <c r="M121" i="2"/>
  <c r="K121" i="2"/>
  <c r="U120" i="2"/>
  <c r="M120" i="2"/>
  <c r="V120" i="2" s="1"/>
  <c r="K120" i="2"/>
  <c r="M119" i="2"/>
  <c r="U119" i="2" s="1"/>
  <c r="K119" i="2"/>
  <c r="M118" i="2"/>
  <c r="U118" i="2" s="1"/>
  <c r="K118" i="2"/>
  <c r="M117" i="2"/>
  <c r="V117" i="2" s="1"/>
  <c r="K117" i="2"/>
  <c r="M116" i="2"/>
  <c r="K116" i="2"/>
  <c r="M115" i="2"/>
  <c r="V115" i="2" s="1"/>
  <c r="K115" i="2"/>
  <c r="M114" i="2"/>
  <c r="U114" i="2" s="1"/>
  <c r="K114" i="2"/>
  <c r="M113" i="2"/>
  <c r="K113" i="2"/>
  <c r="M112" i="2"/>
  <c r="K112" i="2"/>
  <c r="M111" i="2"/>
  <c r="V111" i="2" s="1"/>
  <c r="K111" i="2"/>
  <c r="M110" i="2"/>
  <c r="K110" i="2"/>
  <c r="M109" i="2"/>
  <c r="K109" i="2"/>
  <c r="M108" i="2"/>
  <c r="V108" i="2" s="1"/>
  <c r="K108" i="2"/>
  <c r="M107" i="2"/>
  <c r="K107" i="2"/>
  <c r="M106" i="2"/>
  <c r="K106" i="2"/>
  <c r="M105" i="2"/>
  <c r="U105" i="2" s="1"/>
  <c r="K105" i="2"/>
  <c r="M104" i="2"/>
  <c r="V104" i="2" s="1"/>
  <c r="K104" i="2"/>
  <c r="M103" i="2"/>
  <c r="V103" i="2" s="1"/>
  <c r="K103" i="2"/>
  <c r="M102" i="2"/>
  <c r="K102" i="2"/>
  <c r="M101" i="2"/>
  <c r="V101" i="2" s="1"/>
  <c r="K101" i="2"/>
  <c r="M100" i="2"/>
  <c r="V100" i="2" s="1"/>
  <c r="K100" i="2"/>
  <c r="M99" i="2"/>
  <c r="V99" i="2" s="1"/>
  <c r="K99" i="2"/>
  <c r="M98" i="2"/>
  <c r="U98" i="2" s="1"/>
  <c r="K98" i="2"/>
  <c r="M97" i="2"/>
  <c r="K97" i="2"/>
  <c r="M96" i="2"/>
  <c r="V96" i="2" s="1"/>
  <c r="K96" i="2"/>
  <c r="M95" i="2"/>
  <c r="V95" i="2" s="1"/>
  <c r="K95" i="2"/>
  <c r="M94" i="2"/>
  <c r="U94" i="2" s="1"/>
  <c r="K94" i="2"/>
  <c r="M93" i="2"/>
  <c r="V93" i="2" s="1"/>
  <c r="K93" i="2"/>
  <c r="M92" i="2"/>
  <c r="K92" i="2"/>
  <c r="M91" i="2"/>
  <c r="K91" i="2"/>
  <c r="M90" i="2"/>
  <c r="U90" i="2" s="1"/>
  <c r="K90" i="2"/>
  <c r="M89" i="2"/>
  <c r="V89" i="2" s="1"/>
  <c r="K89" i="2"/>
  <c r="U88" i="2"/>
  <c r="M88" i="2"/>
  <c r="V88" i="2" s="1"/>
  <c r="K88" i="2"/>
  <c r="M87" i="2"/>
  <c r="U87" i="2" s="1"/>
  <c r="K87" i="2"/>
  <c r="M86" i="2"/>
  <c r="U86" i="2" s="1"/>
  <c r="K86" i="2"/>
  <c r="M85" i="2"/>
  <c r="V85" i="2" s="1"/>
  <c r="K85" i="2"/>
  <c r="M84" i="2"/>
  <c r="K84" i="2"/>
  <c r="M83" i="2"/>
  <c r="K83" i="2"/>
  <c r="M82" i="2"/>
  <c r="K82" i="2"/>
  <c r="M81" i="2"/>
  <c r="V81" i="2" s="1"/>
  <c r="K81" i="2"/>
  <c r="M80" i="2"/>
  <c r="U80" i="2" s="1"/>
  <c r="K80" i="2"/>
  <c r="M79" i="2"/>
  <c r="K79" i="2"/>
  <c r="M78" i="2"/>
  <c r="U78" i="2" s="1"/>
  <c r="K78" i="2"/>
  <c r="M77" i="2"/>
  <c r="K77" i="2"/>
  <c r="M76" i="2"/>
  <c r="U76" i="2" s="1"/>
  <c r="K76" i="2"/>
  <c r="M75" i="2"/>
  <c r="U75" i="2" s="1"/>
  <c r="K75" i="2"/>
  <c r="M74" i="2"/>
  <c r="K74" i="2"/>
  <c r="M73" i="2"/>
  <c r="U73" i="2" s="1"/>
  <c r="K73" i="2"/>
  <c r="M72" i="2"/>
  <c r="U72" i="2" s="1"/>
  <c r="K72" i="2"/>
  <c r="M71" i="2"/>
  <c r="U71" i="2" s="1"/>
  <c r="K71" i="2"/>
  <c r="M70" i="2"/>
  <c r="K70" i="2"/>
  <c r="M69" i="2"/>
  <c r="V69" i="2" s="1"/>
  <c r="K69" i="2"/>
  <c r="M68" i="2"/>
  <c r="U68" i="2" s="1"/>
  <c r="K68" i="2"/>
  <c r="M67" i="2"/>
  <c r="V67" i="2" s="1"/>
  <c r="K67" i="2"/>
  <c r="M66" i="2"/>
  <c r="U66" i="2" s="1"/>
  <c r="K66" i="2"/>
  <c r="M65" i="2"/>
  <c r="V65" i="2" s="1"/>
  <c r="K65" i="2"/>
  <c r="M64" i="2"/>
  <c r="V64" i="2" s="1"/>
  <c r="K64" i="2"/>
  <c r="M63" i="2"/>
  <c r="V63" i="2" s="1"/>
  <c r="K63" i="2"/>
  <c r="M62" i="2"/>
  <c r="U62" i="2" s="1"/>
  <c r="M61" i="2"/>
  <c r="U61" i="2" s="1"/>
  <c r="M60" i="2"/>
  <c r="M59" i="2"/>
  <c r="V59" i="2" s="1"/>
  <c r="M58" i="2"/>
  <c r="V58" i="2" s="1"/>
  <c r="M57" i="2"/>
  <c r="V57" i="2" s="1"/>
  <c r="M56" i="2"/>
  <c r="U56" i="2" s="1"/>
  <c r="M55" i="2"/>
  <c r="M54" i="2"/>
  <c r="U54" i="2" s="1"/>
  <c r="M53" i="2"/>
  <c r="V53" i="2" s="1"/>
  <c r="M52" i="2"/>
  <c r="V52" i="2" s="1"/>
  <c r="M51" i="2"/>
  <c r="V51" i="2" s="1"/>
  <c r="M50" i="2"/>
  <c r="M49" i="2"/>
  <c r="V49" i="2" s="1"/>
  <c r="M48" i="2"/>
  <c r="V48" i="2" s="1"/>
  <c r="M47" i="2"/>
  <c r="V47" i="2" s="1"/>
  <c r="M46" i="2"/>
  <c r="U46" i="2" s="1"/>
  <c r="M45" i="2"/>
  <c r="M44" i="2"/>
  <c r="M43" i="2"/>
  <c r="V43" i="2" s="1"/>
  <c r="M42" i="2"/>
  <c r="M41" i="2"/>
  <c r="M40" i="2"/>
  <c r="U40" i="2" s="1"/>
  <c r="M39" i="2"/>
  <c r="V39" i="2" s="1"/>
  <c r="M38" i="2"/>
  <c r="M37" i="2"/>
  <c r="V37" i="2" s="1"/>
  <c r="M36" i="2"/>
  <c r="V36" i="2" s="1"/>
  <c r="M35" i="2"/>
  <c r="M34" i="2"/>
  <c r="U34" i="2" s="1"/>
  <c r="M33" i="2"/>
  <c r="M32" i="2"/>
  <c r="V32" i="2" s="1"/>
  <c r="M31" i="2"/>
  <c r="V31" i="2" s="1"/>
  <c r="M30" i="2"/>
  <c r="U30" i="2" s="1"/>
  <c r="M29" i="2"/>
  <c r="V29" i="2" s="1"/>
  <c r="M28" i="2"/>
  <c r="M27" i="2"/>
  <c r="M26" i="2"/>
  <c r="V26" i="2" s="1"/>
  <c r="M25" i="2"/>
  <c r="V25" i="2" s="1"/>
  <c r="M24" i="2"/>
  <c r="U24" i="2" s="1"/>
  <c r="M23" i="2"/>
  <c r="M22" i="2"/>
  <c r="U22" i="2" s="1"/>
  <c r="M21" i="2"/>
  <c r="V21" i="2" s="1"/>
  <c r="M20" i="2"/>
  <c r="V20" i="2" s="1"/>
  <c r="M19" i="2"/>
  <c r="V19" i="2" s="1"/>
  <c r="M18" i="2"/>
  <c r="M17" i="2"/>
  <c r="V17" i="2" s="1"/>
  <c r="M16" i="2"/>
  <c r="V16" i="2" s="1"/>
  <c r="M15" i="2"/>
  <c r="V15" i="2" s="1"/>
  <c r="M14" i="2"/>
  <c r="U14" i="2" s="1"/>
  <c r="M13" i="2"/>
  <c r="U13" i="2" s="1"/>
  <c r="M12" i="2"/>
  <c r="V12" i="2" s="1"/>
  <c r="M11" i="2"/>
  <c r="V11" i="2" s="1"/>
  <c r="M10" i="2"/>
  <c r="V10" i="2" s="1"/>
  <c r="M9" i="2"/>
  <c r="V9" i="2" s="1"/>
  <c r="M8" i="2"/>
  <c r="U8" i="2" s="1"/>
  <c r="M7" i="2"/>
  <c r="V7" i="2" s="1"/>
  <c r="M6" i="2"/>
  <c r="M5" i="2"/>
  <c r="V5" i="2" s="1"/>
  <c r="M4" i="2"/>
  <c r="U4" i="2" s="1"/>
  <c r="F4" i="2"/>
  <c r="E4" i="2"/>
  <c r="M3" i="2"/>
  <c r="V3" i="2" s="1"/>
  <c r="F3" i="2"/>
  <c r="V87" i="2" l="1"/>
  <c r="U47" i="2"/>
  <c r="U59" i="2"/>
  <c r="V62" i="2"/>
  <c r="U69" i="2"/>
  <c r="X681" i="2"/>
  <c r="AA681" i="2" s="1"/>
  <c r="Y693" i="2"/>
  <c r="X663" i="2"/>
  <c r="Z663" i="2" s="1"/>
  <c r="X694" i="2"/>
  <c r="Z694" i="2" s="1"/>
  <c r="X725" i="2"/>
  <c r="AA725" i="2" s="1"/>
  <c r="Y663" i="2"/>
  <c r="Y694" i="2"/>
  <c r="Y725" i="2"/>
  <c r="Y710" i="2"/>
  <c r="Y665" i="2"/>
  <c r="Y695" i="2"/>
  <c r="Y726" i="2"/>
  <c r="X666" i="2"/>
  <c r="Z666" i="2" s="1"/>
  <c r="X697" i="2"/>
  <c r="AA697" i="2" s="1"/>
  <c r="X727" i="2"/>
  <c r="Z727" i="2" s="1"/>
  <c r="X682" i="2"/>
  <c r="AA682" i="2" s="1"/>
  <c r="Y662" i="2"/>
  <c r="Y666" i="2"/>
  <c r="Y697" i="2"/>
  <c r="Y735" i="2"/>
  <c r="X737" i="2"/>
  <c r="AA737" i="2" s="1"/>
  <c r="X710" i="2"/>
  <c r="AA710" i="2" s="1"/>
  <c r="X711" i="2"/>
  <c r="X713" i="2"/>
  <c r="AA713" i="2" s="1"/>
  <c r="Y722" i="2"/>
  <c r="X693" i="2"/>
  <c r="AA693" i="2" s="1"/>
  <c r="X726" i="2"/>
  <c r="AA726" i="2" s="1"/>
  <c r="Y667" i="2"/>
  <c r="Y706" i="2"/>
  <c r="Y737" i="2"/>
  <c r="X695" i="2"/>
  <c r="AA695" i="2" s="1"/>
  <c r="X667" i="2"/>
  <c r="X669" i="2"/>
  <c r="AA669" i="2" s="1"/>
  <c r="X707" i="2"/>
  <c r="AA707" i="2" s="1"/>
  <c r="Y682" i="2"/>
  <c r="X683" i="2"/>
  <c r="Y677" i="2"/>
  <c r="Y707" i="2"/>
  <c r="X679" i="2"/>
  <c r="Z679" i="2" s="1"/>
  <c r="Y711" i="2"/>
  <c r="Y691" i="2"/>
  <c r="X723" i="2"/>
  <c r="Z723" i="2" s="1"/>
  <c r="X698" i="2"/>
  <c r="Z698" i="2" s="1"/>
  <c r="X678" i="2"/>
  <c r="Z678" i="2" s="1"/>
  <c r="X709" i="2"/>
  <c r="AA709" i="2" s="1"/>
  <c r="Y679" i="2"/>
  <c r="Y681" i="2"/>
  <c r="Y721" i="2"/>
  <c r="X722" i="2"/>
  <c r="AA722" i="2" s="1"/>
  <c r="Y723" i="2"/>
  <c r="X665" i="2"/>
  <c r="Z665" i="2" s="1"/>
  <c r="Y678" i="2"/>
  <c r="Y709" i="2"/>
  <c r="V34" i="2"/>
  <c r="V618" i="2"/>
  <c r="S618" i="2" s="1"/>
  <c r="T618" i="2" s="1"/>
  <c r="V656" i="2"/>
  <c r="U257" i="2"/>
  <c r="U359" i="2"/>
  <c r="V405" i="2"/>
  <c r="V499" i="2"/>
  <c r="R499" i="2" s="1"/>
  <c r="U560" i="2"/>
  <c r="V572" i="2"/>
  <c r="V640" i="2"/>
  <c r="Y669" i="2"/>
  <c r="Y683" i="2"/>
  <c r="Y698" i="2"/>
  <c r="Y713" i="2"/>
  <c r="Y727" i="2"/>
  <c r="V94" i="2"/>
  <c r="U338" i="2"/>
  <c r="V40" i="2"/>
  <c r="U96" i="2"/>
  <c r="V221" i="2"/>
  <c r="U520" i="2"/>
  <c r="U566" i="2"/>
  <c r="U652" i="2"/>
  <c r="X670" i="2"/>
  <c r="AA670" i="2" s="1"/>
  <c r="X685" i="2"/>
  <c r="Z685" i="2" s="1"/>
  <c r="X699" i="2"/>
  <c r="AA699" i="2" s="1"/>
  <c r="X714" i="2"/>
  <c r="AA714" i="2" s="1"/>
  <c r="X729" i="2"/>
  <c r="Z729" i="2" s="1"/>
  <c r="V659" i="2"/>
  <c r="U669" i="2"/>
  <c r="U471" i="2"/>
  <c r="U21" i="2"/>
  <c r="U37" i="2"/>
  <c r="U209" i="2"/>
  <c r="V285" i="2"/>
  <c r="U512" i="2"/>
  <c r="S512" i="2" s="1"/>
  <c r="T512" i="2" s="1"/>
  <c r="Y670" i="2"/>
  <c r="Y685" i="2"/>
  <c r="Y699" i="2"/>
  <c r="Y714" i="2"/>
  <c r="Y729" i="2"/>
  <c r="V389" i="2"/>
  <c r="V457" i="2"/>
  <c r="U588" i="2"/>
  <c r="V73" i="2"/>
  <c r="U438" i="2"/>
  <c r="U115" i="2"/>
  <c r="V229" i="2"/>
  <c r="V411" i="2"/>
  <c r="U25" i="2"/>
  <c r="U57" i="2"/>
  <c r="V126" i="2"/>
  <c r="U143" i="2"/>
  <c r="U152" i="2"/>
  <c r="U231" i="2"/>
  <c r="V267" i="2"/>
  <c r="V527" i="2"/>
  <c r="X657" i="2"/>
  <c r="X671" i="2"/>
  <c r="X686" i="2"/>
  <c r="Z686" i="2" s="1"/>
  <c r="X701" i="2"/>
  <c r="AA701" i="2" s="1"/>
  <c r="X715" i="2"/>
  <c r="Z715" i="2" s="1"/>
  <c r="X730" i="2"/>
  <c r="AA730" i="2" s="1"/>
  <c r="F5" i="2"/>
  <c r="U383" i="2"/>
  <c r="V505" i="2"/>
  <c r="U108" i="2"/>
  <c r="U135" i="2"/>
  <c r="U172" i="2"/>
  <c r="U366" i="2"/>
  <c r="V481" i="2"/>
  <c r="U488" i="2"/>
  <c r="Y657" i="2"/>
  <c r="Y671" i="2"/>
  <c r="Y686" i="2"/>
  <c r="Y701" i="2"/>
  <c r="Y715" i="2"/>
  <c r="Y730" i="2"/>
  <c r="U20" i="2"/>
  <c r="V140" i="2"/>
  <c r="V397" i="2"/>
  <c r="U479" i="2"/>
  <c r="U58" i="2"/>
  <c r="S641" i="2"/>
  <c r="T641" i="2" s="1"/>
  <c r="X658" i="2"/>
  <c r="Z658" i="2" s="1"/>
  <c r="X673" i="2"/>
  <c r="X687" i="2"/>
  <c r="X702" i="2"/>
  <c r="AA702" i="2" s="1"/>
  <c r="X717" i="2"/>
  <c r="AA717" i="2" s="1"/>
  <c r="X731" i="2"/>
  <c r="AA731" i="2" s="1"/>
  <c r="E9" i="2"/>
  <c r="U350" i="2"/>
  <c r="U51" i="2"/>
  <c r="U149" i="2"/>
  <c r="U177" i="2"/>
  <c r="U255" i="2"/>
  <c r="V417" i="2"/>
  <c r="S417" i="2" s="1"/>
  <c r="T417" i="2" s="1"/>
  <c r="U431" i="2"/>
  <c r="V538" i="2"/>
  <c r="V132" i="2"/>
  <c r="V445" i="2"/>
  <c r="U29" i="2"/>
  <c r="V118" i="2"/>
  <c r="U164" i="2"/>
  <c r="V279" i="2"/>
  <c r="V300" i="2"/>
  <c r="V321" i="2"/>
  <c r="U387" i="2"/>
  <c r="V441" i="2"/>
  <c r="V495" i="2"/>
  <c r="U567" i="2"/>
  <c r="V601" i="2"/>
  <c r="Y658" i="2"/>
  <c r="Y673" i="2"/>
  <c r="Y687" i="2"/>
  <c r="Y702" i="2"/>
  <c r="Y717" i="2"/>
  <c r="Y731" i="2"/>
  <c r="V245" i="2"/>
  <c r="U598" i="2"/>
  <c r="V639" i="2"/>
  <c r="U52" i="2"/>
  <c r="V364" i="2"/>
  <c r="V498" i="2"/>
  <c r="V552" i="2"/>
  <c r="V325" i="2"/>
  <c r="U248" i="2"/>
  <c r="U328" i="2"/>
  <c r="V341" i="2"/>
  <c r="U361" i="2"/>
  <c r="S361" i="2" s="1"/>
  <c r="T361" i="2" s="1"/>
  <c r="U448" i="2"/>
  <c r="U455" i="2"/>
  <c r="S455" i="2" s="1"/>
  <c r="T455" i="2" s="1"/>
  <c r="U501" i="2"/>
  <c r="X659" i="2"/>
  <c r="X674" i="2"/>
  <c r="AA674" i="2" s="1"/>
  <c r="X689" i="2"/>
  <c r="AA689" i="2" s="1"/>
  <c r="X703" i="2"/>
  <c r="Z703" i="2" s="1"/>
  <c r="X718" i="2"/>
  <c r="AA718" i="2" s="1"/>
  <c r="X733" i="2"/>
  <c r="Z733" i="2" s="1"/>
  <c r="U661" i="2"/>
  <c r="U63" i="2"/>
  <c r="U139" i="2"/>
  <c r="V176" i="2"/>
  <c r="V254" i="2"/>
  <c r="U303" i="2"/>
  <c r="U167" i="2"/>
  <c r="U197" i="2"/>
  <c r="V425" i="2"/>
  <c r="U630" i="2"/>
  <c r="V319" i="2"/>
  <c r="V30" i="2"/>
  <c r="V46" i="2"/>
  <c r="V183" i="2"/>
  <c r="U224" i="2"/>
  <c r="V233" i="2"/>
  <c r="U260" i="2"/>
  <c r="V335" i="2"/>
  <c r="U617" i="2"/>
  <c r="Y659" i="2"/>
  <c r="Y674" i="2"/>
  <c r="Y689" i="2"/>
  <c r="Y703" i="2"/>
  <c r="Y718" i="2"/>
  <c r="Y733" i="2"/>
  <c r="V409" i="2"/>
  <c r="S409" i="2" s="1"/>
  <c r="T409" i="2" s="1"/>
  <c r="U344" i="2"/>
  <c r="U65" i="2"/>
  <c r="V265" i="2"/>
  <c r="U67" i="2"/>
  <c r="V119" i="2"/>
  <c r="V137" i="2"/>
  <c r="U367" i="2"/>
  <c r="X661" i="2"/>
  <c r="Z661" i="2" s="1"/>
  <c r="X675" i="2"/>
  <c r="X690" i="2"/>
  <c r="AA690" i="2" s="1"/>
  <c r="X705" i="2"/>
  <c r="AA705" i="2" s="1"/>
  <c r="X719" i="2"/>
  <c r="AA719" i="2" s="1"/>
  <c r="X734" i="2"/>
  <c r="Z734" i="2" s="1"/>
  <c r="U403" i="2"/>
  <c r="U614" i="2"/>
  <c r="V24" i="2"/>
  <c r="U536" i="2"/>
  <c r="Y661" i="2"/>
  <c r="Y675" i="2"/>
  <c r="Y690" i="2"/>
  <c r="Y705" i="2"/>
  <c r="Y719" i="2"/>
  <c r="Y734" i="2"/>
  <c r="V72" i="2"/>
  <c r="U352" i="2"/>
  <c r="U195" i="2"/>
  <c r="V302" i="2"/>
  <c r="U395" i="2"/>
  <c r="V477" i="2"/>
  <c r="U613" i="2"/>
  <c r="U633" i="2"/>
  <c r="X662" i="2"/>
  <c r="X677" i="2"/>
  <c r="X691" i="2"/>
  <c r="AA691" i="2" s="1"/>
  <c r="X706" i="2"/>
  <c r="Z706" i="2" s="1"/>
  <c r="X721" i="2"/>
  <c r="AA721" i="2" s="1"/>
  <c r="X735" i="2"/>
  <c r="AA735" i="2" s="1"/>
  <c r="V8" i="2"/>
  <c r="U10" i="2"/>
  <c r="U11" i="2"/>
  <c r="U3" i="2"/>
  <c r="V4" i="2"/>
  <c r="V76" i="2"/>
  <c r="V227" i="2"/>
  <c r="U227" i="2"/>
  <c r="U270" i="2"/>
  <c r="V270" i="2"/>
  <c r="V22" i="2"/>
  <c r="U44" i="2"/>
  <c r="V44" i="2"/>
  <c r="U282" i="2"/>
  <c r="V282" i="2"/>
  <c r="U45" i="2"/>
  <c r="V45" i="2"/>
  <c r="V92" i="2"/>
  <c r="U92" i="2"/>
  <c r="U107" i="2"/>
  <c r="V107" i="2"/>
  <c r="V127" i="2"/>
  <c r="U127" i="2"/>
  <c r="U42" i="2"/>
  <c r="V42" i="2"/>
  <c r="V27" i="2"/>
  <c r="U27" i="2"/>
  <c r="U124" i="2"/>
  <c r="V124" i="2"/>
  <c r="V353" i="2"/>
  <c r="U353" i="2"/>
  <c r="U19" i="2"/>
  <c r="U190" i="2"/>
  <c r="V190" i="2"/>
  <c r="V13" i="2"/>
  <c r="U35" i="2"/>
  <c r="V35" i="2"/>
  <c r="V121" i="2"/>
  <c r="U121" i="2"/>
  <c r="U215" i="2"/>
  <c r="V215" i="2"/>
  <c r="V236" i="2"/>
  <c r="U236" i="2"/>
  <c r="U26" i="2"/>
  <c r="U74" i="2"/>
  <c r="V74" i="2"/>
  <c r="V295" i="2"/>
  <c r="U295" i="2"/>
  <c r="U351" i="2"/>
  <c r="V351" i="2"/>
  <c r="V41" i="2"/>
  <c r="U41" i="2"/>
  <c r="U79" i="2"/>
  <c r="V79" i="2"/>
  <c r="V83" i="2"/>
  <c r="U83" i="2"/>
  <c r="V97" i="2"/>
  <c r="U97" i="2"/>
  <c r="U112" i="2"/>
  <c r="V112" i="2"/>
  <c r="U144" i="2"/>
  <c r="V144" i="2"/>
  <c r="U158" i="2"/>
  <c r="V158" i="2"/>
  <c r="V175" i="2"/>
  <c r="U175" i="2"/>
  <c r="S367" i="2"/>
  <c r="T367" i="2" s="1"/>
  <c r="R367" i="2"/>
  <c r="V385" i="2"/>
  <c r="U407" i="2"/>
  <c r="U427" i="2"/>
  <c r="S427" i="2" s="1"/>
  <c r="T427" i="2" s="1"/>
  <c r="V429" i="2"/>
  <c r="V453" i="2"/>
  <c r="U464" i="2"/>
  <c r="S464" i="2" s="1"/>
  <c r="T464" i="2" s="1"/>
  <c r="U492" i="2"/>
  <c r="U540" i="2"/>
  <c r="S567" i="2"/>
  <c r="T567" i="2" s="1"/>
  <c r="U573" i="2"/>
  <c r="R573" i="2" s="1"/>
  <c r="U577" i="2"/>
  <c r="V579" i="2"/>
  <c r="V585" i="2"/>
  <c r="V595" i="2"/>
  <c r="V603" i="2"/>
  <c r="U638" i="2"/>
  <c r="R638" i="2" s="1"/>
  <c r="U666" i="2"/>
  <c r="V626" i="2"/>
  <c r="U629" i="2"/>
  <c r="U168" i="2"/>
  <c r="V178" i="2"/>
  <c r="U188" i="2"/>
  <c r="V222" i="2"/>
  <c r="V240" i="2"/>
  <c r="U268" i="2"/>
  <c r="V286" i="2"/>
  <c r="U293" i="2"/>
  <c r="U299" i="2"/>
  <c r="U330" i="2"/>
  <c r="U332" i="2"/>
  <c r="U334" i="2"/>
  <c r="V347" i="2"/>
  <c r="U358" i="2"/>
  <c r="S358" i="2" s="1"/>
  <c r="T358" i="2" s="1"/>
  <c r="U363" i="2"/>
  <c r="S363" i="2" s="1"/>
  <c r="T363" i="2" s="1"/>
  <c r="U372" i="2"/>
  <c r="U379" i="2"/>
  <c r="V381" i="2"/>
  <c r="S381" i="2" s="1"/>
  <c r="T381" i="2" s="1"/>
  <c r="V401" i="2"/>
  <c r="U423" i="2"/>
  <c r="U440" i="2"/>
  <c r="V469" i="2"/>
  <c r="V473" i="2"/>
  <c r="U504" i="2"/>
  <c r="U526" i="2"/>
  <c r="R526" i="2" s="1"/>
  <c r="V529" i="2"/>
  <c r="U535" i="2"/>
  <c r="V555" i="2"/>
  <c r="U559" i="2"/>
  <c r="U564" i="2"/>
  <c r="V591" i="2"/>
  <c r="V597" i="2"/>
  <c r="V610" i="2"/>
  <c r="U616" i="2"/>
  <c r="S616" i="2" s="1"/>
  <c r="T616" i="2" s="1"/>
  <c r="U628" i="2"/>
  <c r="U15" i="2"/>
  <c r="U32" i="2"/>
  <c r="U39" i="2"/>
  <c r="V54" i="2"/>
  <c r="V80" i="2"/>
  <c r="U93" i="2"/>
  <c r="U101" i="2"/>
  <c r="U133" i="2"/>
  <c r="V150" i="2"/>
  <c r="U171" i="2"/>
  <c r="V201" i="2"/>
  <c r="U204" i="2"/>
  <c r="V207" i="2"/>
  <c r="U225" i="2"/>
  <c r="V246" i="2"/>
  <c r="U263" i="2"/>
  <c r="U271" i="2"/>
  <c r="U277" i="2"/>
  <c r="V304" i="2"/>
  <c r="U322" i="2"/>
  <c r="U355" i="2"/>
  <c r="U360" i="2"/>
  <c r="S360" i="2" s="1"/>
  <c r="T360" i="2" s="1"/>
  <c r="U365" i="2"/>
  <c r="S365" i="2" s="1"/>
  <c r="T365" i="2" s="1"/>
  <c r="U368" i="2"/>
  <c r="S368" i="2" s="1"/>
  <c r="T368" i="2" s="1"/>
  <c r="U370" i="2"/>
  <c r="V377" i="2"/>
  <c r="U399" i="2"/>
  <c r="U419" i="2"/>
  <c r="V421" i="2"/>
  <c r="U447" i="2"/>
  <c r="S447" i="2" s="1"/>
  <c r="T447" i="2" s="1"/>
  <c r="V449" i="2"/>
  <c r="U456" i="2"/>
  <c r="U480" i="2"/>
  <c r="S480" i="2" s="1"/>
  <c r="T480" i="2" s="1"/>
  <c r="V497" i="2"/>
  <c r="V507" i="2"/>
  <c r="U509" i="2"/>
  <c r="V511" i="2"/>
  <c r="V513" i="2"/>
  <c r="U517" i="2"/>
  <c r="S517" i="2" s="1"/>
  <c r="T517" i="2" s="1"/>
  <c r="V519" i="2"/>
  <c r="U524" i="2"/>
  <c r="S524" i="2" s="1"/>
  <c r="T524" i="2" s="1"/>
  <c r="V533" i="2"/>
  <c r="U576" i="2"/>
  <c r="U584" i="2"/>
  <c r="U590" i="2"/>
  <c r="U594" i="2"/>
  <c r="S594" i="2" s="1"/>
  <c r="T594" i="2" s="1"/>
  <c r="U609" i="2"/>
  <c r="U624" i="2"/>
  <c r="V625" i="2"/>
  <c r="S625" i="2" s="1"/>
  <c r="T625" i="2" s="1"/>
  <c r="U647" i="2"/>
  <c r="V649" i="2"/>
  <c r="U463" i="2"/>
  <c r="U506" i="2"/>
  <c r="V515" i="2"/>
  <c r="U612" i="2"/>
  <c r="Q641" i="2"/>
  <c r="U36" i="2"/>
  <c r="U43" i="2"/>
  <c r="V75" i="2"/>
  <c r="U99" i="2"/>
  <c r="V105" i="2"/>
  <c r="U117" i="2"/>
  <c r="V157" i="2"/>
  <c r="V160" i="2"/>
  <c r="V174" i="2"/>
  <c r="U179" i="2"/>
  <c r="U192" i="2"/>
  <c r="U217" i="2"/>
  <c r="U261" i="2"/>
  <c r="U275" i="2"/>
  <c r="U291" i="2"/>
  <c r="V297" i="2"/>
  <c r="U314" i="2"/>
  <c r="U346" i="2"/>
  <c r="U354" i="2"/>
  <c r="V393" i="2"/>
  <c r="U415" i="2"/>
  <c r="U435" i="2"/>
  <c r="S435" i="2" s="1"/>
  <c r="T435" i="2" s="1"/>
  <c r="V437" i="2"/>
  <c r="S437" i="2" s="1"/>
  <c r="T437" i="2" s="1"/>
  <c r="V465" i="2"/>
  <c r="U472" i="2"/>
  <c r="S472" i="2" s="1"/>
  <c r="T472" i="2" s="1"/>
  <c r="V485" i="2"/>
  <c r="U487" i="2"/>
  <c r="Q499" i="2"/>
  <c r="U528" i="2"/>
  <c r="U537" i="2"/>
  <c r="S537" i="2" s="1"/>
  <c r="T537" i="2" s="1"/>
  <c r="V547" i="2"/>
  <c r="U563" i="2"/>
  <c r="S563" i="2" s="1"/>
  <c r="T563" i="2" s="1"/>
  <c r="U568" i="2"/>
  <c r="V570" i="2"/>
  <c r="U582" i="2"/>
  <c r="S582" i="2" s="1"/>
  <c r="T582" i="2" s="1"/>
  <c r="U589" i="2"/>
  <c r="U604" i="2"/>
  <c r="U615" i="2"/>
  <c r="U619" i="2"/>
  <c r="U631" i="2"/>
  <c r="S631" i="2" s="1"/>
  <c r="T631" i="2" s="1"/>
  <c r="R641" i="2"/>
  <c r="V642" i="2"/>
  <c r="S642" i="2" s="1"/>
  <c r="T642" i="2" s="1"/>
  <c r="U668" i="2"/>
  <c r="V151" i="2"/>
  <c r="V154" i="2"/>
  <c r="V169" i="2"/>
  <c r="V202" i="2"/>
  <c r="V208" i="2"/>
  <c r="V247" i="2"/>
  <c r="V272" i="2"/>
  <c r="V278" i="2"/>
  <c r="U312" i="2"/>
  <c r="V329" i="2"/>
  <c r="V333" i="2"/>
  <c r="U357" i="2"/>
  <c r="U362" i="2"/>
  <c r="U391" i="2"/>
  <c r="V413" i="2"/>
  <c r="V433" i="2"/>
  <c r="U439" i="2"/>
  <c r="V489" i="2"/>
  <c r="S499" i="2"/>
  <c r="T499" i="2" s="1"/>
  <c r="V503" i="2"/>
  <c r="V523" i="2"/>
  <c r="U530" i="2"/>
  <c r="V532" i="2"/>
  <c r="V543" i="2"/>
  <c r="U545" i="2"/>
  <c r="U554" i="2"/>
  <c r="U558" i="2"/>
  <c r="V583" i="2"/>
  <c r="V593" i="2"/>
  <c r="V599" i="2"/>
  <c r="V606" i="2"/>
  <c r="V621" i="2"/>
  <c r="S621" i="2" s="1"/>
  <c r="T621" i="2" s="1"/>
  <c r="V634" i="2"/>
  <c r="V644" i="2"/>
  <c r="S356" i="2"/>
  <c r="T356" i="2" s="1"/>
  <c r="V241" i="2"/>
  <c r="U241" i="2"/>
  <c r="U6" i="2"/>
  <c r="V6" i="2"/>
  <c r="V68" i="2"/>
  <c r="V187" i="2"/>
  <c r="U187" i="2"/>
  <c r="V320" i="2"/>
  <c r="V324" i="2"/>
  <c r="U324" i="2"/>
  <c r="U17" i="2"/>
  <c r="V23" i="2"/>
  <c r="U23" i="2"/>
  <c r="V60" i="2"/>
  <c r="U60" i="2"/>
  <c r="V90" i="2"/>
  <c r="U104" i="2"/>
  <c r="V138" i="2"/>
  <c r="V146" i="2"/>
  <c r="V159" i="2"/>
  <c r="U159" i="2"/>
  <c r="V182" i="2"/>
  <c r="U200" i="2"/>
  <c r="U203" i="2"/>
  <c r="V206" i="2"/>
  <c r="U216" i="2"/>
  <c r="U230" i="2"/>
  <c r="V230" i="2"/>
  <c r="V235" i="2"/>
  <c r="V274" i="2"/>
  <c r="U284" i="2"/>
  <c r="V289" i="2"/>
  <c r="V340" i="2"/>
  <c r="U340" i="2"/>
  <c r="U376" i="2"/>
  <c r="V376" i="2"/>
  <c r="U380" i="2"/>
  <c r="V380" i="2"/>
  <c r="U384" i="2"/>
  <c r="V384" i="2"/>
  <c r="S387" i="2"/>
  <c r="T387" i="2" s="1"/>
  <c r="U408" i="2"/>
  <c r="V408" i="2"/>
  <c r="U412" i="2"/>
  <c r="V412" i="2"/>
  <c r="U416" i="2"/>
  <c r="V416" i="2"/>
  <c r="U491" i="2"/>
  <c r="V491" i="2"/>
  <c r="V371" i="2"/>
  <c r="U371" i="2"/>
  <c r="U382" i="2"/>
  <c r="V382" i="2"/>
  <c r="U406" i="2"/>
  <c r="V406" i="2"/>
  <c r="U414" i="2"/>
  <c r="V414" i="2"/>
  <c r="V50" i="2"/>
  <c r="U50" i="2"/>
  <c r="V212" i="2"/>
  <c r="U212" i="2"/>
  <c r="V56" i="2"/>
  <c r="V184" i="2"/>
  <c r="U184" i="2"/>
  <c r="V318" i="2"/>
  <c r="U318" i="2"/>
  <c r="U12" i="2"/>
  <c r="V55" i="2"/>
  <c r="U55" i="2"/>
  <c r="U89" i="2"/>
  <c r="U95" i="2"/>
  <c r="U156" i="2"/>
  <c r="U161" i="2"/>
  <c r="U189" i="2"/>
  <c r="U213" i="2"/>
  <c r="V218" i="2"/>
  <c r="V232" i="2"/>
  <c r="V242" i="2"/>
  <c r="U253" i="2"/>
  <c r="U256" i="2"/>
  <c r="U259" i="2"/>
  <c r="U281" i="2"/>
  <c r="U296" i="2"/>
  <c r="U308" i="2"/>
  <c r="U311" i="2"/>
  <c r="V311" i="2"/>
  <c r="U315" i="2"/>
  <c r="V315" i="2"/>
  <c r="U327" i="2"/>
  <c r="S439" i="2"/>
  <c r="T439" i="2" s="1"/>
  <c r="V446" i="2"/>
  <c r="U446" i="2"/>
  <c r="U31" i="2"/>
  <c r="U38" i="2"/>
  <c r="V38" i="2"/>
  <c r="U49" i="2"/>
  <c r="U64" i="2"/>
  <c r="U106" i="2"/>
  <c r="V106" i="2"/>
  <c r="V114" i="2"/>
  <c r="U125" i="2"/>
  <c r="U128" i="2"/>
  <c r="U131" i="2"/>
  <c r="V148" i="2"/>
  <c r="U148" i="2"/>
  <c r="V170" i="2"/>
  <c r="V173" i="2"/>
  <c r="U173" i="2"/>
  <c r="U5" i="2"/>
  <c r="U7" i="2"/>
  <c r="V14" i="2"/>
  <c r="V18" i="2"/>
  <c r="U18" i="2"/>
  <c r="V33" i="2"/>
  <c r="U33" i="2"/>
  <c r="U53" i="2"/>
  <c r="U81" i="2"/>
  <c r="V86" i="2"/>
  <c r="U103" i="2"/>
  <c r="U111" i="2"/>
  <c r="U134" i="2"/>
  <c r="V134" i="2"/>
  <c r="U145" i="2"/>
  <c r="V181" i="2"/>
  <c r="U186" i="2"/>
  <c r="V186" i="2"/>
  <c r="V199" i="2"/>
  <c r="V205" i="2"/>
  <c r="U205" i="2"/>
  <c r="U210" i="2"/>
  <c r="V210" i="2"/>
  <c r="U220" i="2"/>
  <c r="U234" i="2"/>
  <c r="V234" i="2"/>
  <c r="U239" i="2"/>
  <c r="U262" i="2"/>
  <c r="V262" i="2"/>
  <c r="U288" i="2"/>
  <c r="U331" i="2"/>
  <c r="V331" i="2"/>
  <c r="V339" i="2"/>
  <c r="V349" i="2"/>
  <c r="U349" i="2"/>
  <c r="U373" i="2"/>
  <c r="S375" i="2"/>
  <c r="T375" i="2" s="1"/>
  <c r="S383" i="2"/>
  <c r="T383" i="2" s="1"/>
  <c r="U402" i="2"/>
  <c r="V402" i="2"/>
  <c r="S407" i="2"/>
  <c r="T407" i="2" s="1"/>
  <c r="S415" i="2"/>
  <c r="T415" i="2" s="1"/>
  <c r="U434" i="2"/>
  <c r="V434" i="2"/>
  <c r="V454" i="2"/>
  <c r="U454" i="2"/>
  <c r="V490" i="2"/>
  <c r="U490" i="2"/>
  <c r="V155" i="2"/>
  <c r="U155" i="2"/>
  <c r="U280" i="2"/>
  <c r="V280" i="2"/>
  <c r="V71" i="2"/>
  <c r="V77" i="2"/>
  <c r="U77" i="2"/>
  <c r="U82" i="2"/>
  <c r="V82" i="2"/>
  <c r="V141" i="2"/>
  <c r="U141" i="2"/>
  <c r="V185" i="2"/>
  <c r="U266" i="2"/>
  <c r="V266" i="2"/>
  <c r="V84" i="2"/>
  <c r="U84" i="2"/>
  <c r="U9" i="2"/>
  <c r="U16" i="2"/>
  <c r="V61" i="2"/>
  <c r="V78" i="2"/>
  <c r="V91" i="2"/>
  <c r="U91" i="2"/>
  <c r="U100" i="2"/>
  <c r="V116" i="2"/>
  <c r="U116" i="2"/>
  <c r="V122" i="2"/>
  <c r="V142" i="2"/>
  <c r="V153" i="2"/>
  <c r="V163" i="2"/>
  <c r="U166" i="2"/>
  <c r="V166" i="2"/>
  <c r="U191" i="2"/>
  <c r="V196" i="2"/>
  <c r="U223" i="2"/>
  <c r="V244" i="2"/>
  <c r="U244" i="2"/>
  <c r="V250" i="2"/>
  <c r="U298" i="2"/>
  <c r="V298" i="2"/>
  <c r="U307" i="2"/>
  <c r="V307" i="2"/>
  <c r="U317" i="2"/>
  <c r="V317" i="2"/>
  <c r="V326" i="2"/>
  <c r="U345" i="2"/>
  <c r="U392" i="2"/>
  <c r="V392" i="2"/>
  <c r="U396" i="2"/>
  <c r="V396" i="2"/>
  <c r="U400" i="2"/>
  <c r="V400" i="2"/>
  <c r="S403" i="2"/>
  <c r="T403" i="2" s="1"/>
  <c r="U424" i="2"/>
  <c r="V424" i="2"/>
  <c r="U428" i="2"/>
  <c r="V428" i="2"/>
  <c r="U432" i="2"/>
  <c r="V432" i="2"/>
  <c r="S456" i="2"/>
  <c r="T456" i="2" s="1"/>
  <c r="U451" i="2"/>
  <c r="V451" i="2"/>
  <c r="V462" i="2"/>
  <c r="U462" i="2"/>
  <c r="U390" i="2"/>
  <c r="V390" i="2"/>
  <c r="U398" i="2"/>
  <c r="V398" i="2"/>
  <c r="U422" i="2"/>
  <c r="V422" i="2"/>
  <c r="U430" i="2"/>
  <c r="V430" i="2"/>
  <c r="U48" i="2"/>
  <c r="U85" i="2"/>
  <c r="U102" i="2"/>
  <c r="V102" i="2"/>
  <c r="U110" i="2"/>
  <c r="V110" i="2"/>
  <c r="U136" i="2"/>
  <c r="V193" i="2"/>
  <c r="U214" i="2"/>
  <c r="V214" i="2"/>
  <c r="V219" i="2"/>
  <c r="U219" i="2"/>
  <c r="U228" i="2"/>
  <c r="U238" i="2"/>
  <c r="V238" i="2"/>
  <c r="U264" i="2"/>
  <c r="U287" i="2"/>
  <c r="V287" i="2"/>
  <c r="U292" i="2"/>
  <c r="U313" i="2"/>
  <c r="S359" i="2"/>
  <c r="T359" i="2" s="1"/>
  <c r="Q361" i="2"/>
  <c r="S395" i="2"/>
  <c r="T395" i="2" s="1"/>
  <c r="U443" i="2"/>
  <c r="V443" i="2"/>
  <c r="V450" i="2"/>
  <c r="U450" i="2"/>
  <c r="V113" i="2"/>
  <c r="U113" i="2"/>
  <c r="R361" i="2"/>
  <c r="S366" i="2"/>
  <c r="T366" i="2" s="1"/>
  <c r="U386" i="2"/>
  <c r="V386" i="2"/>
  <c r="S399" i="2"/>
  <c r="T399" i="2" s="1"/>
  <c r="U418" i="2"/>
  <c r="V418" i="2"/>
  <c r="V442" i="2"/>
  <c r="U442" i="2"/>
  <c r="V470" i="2"/>
  <c r="U470" i="2"/>
  <c r="S503" i="2"/>
  <c r="T503" i="2" s="1"/>
  <c r="V273" i="2"/>
  <c r="U273" i="2"/>
  <c r="V337" i="2"/>
  <c r="U337" i="2"/>
  <c r="R365" i="2"/>
  <c r="Q365" i="2"/>
  <c r="U388" i="2"/>
  <c r="V388" i="2"/>
  <c r="U404" i="2"/>
  <c r="V404" i="2"/>
  <c r="U420" i="2"/>
  <c r="V420" i="2"/>
  <c r="U436" i="2"/>
  <c r="V436" i="2"/>
  <c r="S448" i="2"/>
  <c r="T448" i="2" s="1"/>
  <c r="V466" i="2"/>
  <c r="U466" i="2"/>
  <c r="U467" i="2"/>
  <c r="V467" i="2"/>
  <c r="V486" i="2"/>
  <c r="U486" i="2"/>
  <c r="S488" i="2"/>
  <c r="T488" i="2" s="1"/>
  <c r="R488" i="2"/>
  <c r="V482" i="2"/>
  <c r="U482" i="2"/>
  <c r="U483" i="2"/>
  <c r="V483" i="2"/>
  <c r="U502" i="2"/>
  <c r="V502" i="2"/>
  <c r="V28" i="2"/>
  <c r="U28" i="2"/>
  <c r="U70" i="2"/>
  <c r="V70" i="2"/>
  <c r="V109" i="2"/>
  <c r="U109" i="2"/>
  <c r="V123" i="2"/>
  <c r="U123" i="2"/>
  <c r="V180" i="2"/>
  <c r="U180" i="2"/>
  <c r="U198" i="2"/>
  <c r="V198" i="2"/>
  <c r="V237" i="2"/>
  <c r="U237" i="2"/>
  <c r="V251" i="2"/>
  <c r="U251" i="2"/>
  <c r="V305" i="2"/>
  <c r="U305" i="2"/>
  <c r="U343" i="2"/>
  <c r="V343" i="2"/>
  <c r="U378" i="2"/>
  <c r="V378" i="2"/>
  <c r="U394" i="2"/>
  <c r="V394" i="2"/>
  <c r="U410" i="2"/>
  <c r="V410" i="2"/>
  <c r="U426" i="2"/>
  <c r="V426" i="2"/>
  <c r="V458" i="2"/>
  <c r="U458" i="2"/>
  <c r="U459" i="2"/>
  <c r="V459" i="2"/>
  <c r="V478" i="2"/>
  <c r="U478" i="2"/>
  <c r="V493" i="2"/>
  <c r="U493" i="2"/>
  <c r="V474" i="2"/>
  <c r="U474" i="2"/>
  <c r="U475" i="2"/>
  <c r="V475" i="2"/>
  <c r="V500" i="2"/>
  <c r="U500" i="2"/>
  <c r="V369" i="2"/>
  <c r="V374" i="2"/>
  <c r="S385" i="2"/>
  <c r="T385" i="2" s="1"/>
  <c r="S393" i="2"/>
  <c r="T393" i="2" s="1"/>
  <c r="S425" i="2"/>
  <c r="T425" i="2" s="1"/>
  <c r="V510" i="2"/>
  <c r="U521" i="2"/>
  <c r="V521" i="2"/>
  <c r="S548" i="2"/>
  <c r="T548" i="2" s="1"/>
  <c r="S555" i="2"/>
  <c r="T555" i="2" s="1"/>
  <c r="V575" i="2"/>
  <c r="U575" i="2"/>
  <c r="S505" i="2"/>
  <c r="T505" i="2" s="1"/>
  <c r="S506" i="2"/>
  <c r="T506" i="2" s="1"/>
  <c r="S545" i="2"/>
  <c r="T545" i="2" s="1"/>
  <c r="S570" i="2"/>
  <c r="T570" i="2" s="1"/>
  <c r="S520" i="2"/>
  <c r="T520" i="2" s="1"/>
  <c r="S522" i="2"/>
  <c r="T522" i="2" s="1"/>
  <c r="V534" i="2"/>
  <c r="U534" i="2"/>
  <c r="S535" i="2"/>
  <c r="T535" i="2" s="1"/>
  <c r="U542" i="2"/>
  <c r="V542" i="2"/>
  <c r="S552" i="2"/>
  <c r="T552" i="2" s="1"/>
  <c r="S372" i="2"/>
  <c r="T372" i="2" s="1"/>
  <c r="S438" i="2"/>
  <c r="T438" i="2" s="1"/>
  <c r="S540" i="2"/>
  <c r="T540" i="2" s="1"/>
  <c r="Q540" i="2"/>
  <c r="S511" i="2"/>
  <c r="T511" i="2" s="1"/>
  <c r="S527" i="2"/>
  <c r="T527" i="2" s="1"/>
  <c r="S541" i="2"/>
  <c r="T541" i="2" s="1"/>
  <c r="Q541" i="2"/>
  <c r="V551" i="2"/>
  <c r="U269" i="2"/>
  <c r="U276" i="2"/>
  <c r="U283" i="2"/>
  <c r="V294" i="2"/>
  <c r="U301" i="2"/>
  <c r="U310" i="2"/>
  <c r="U336" i="2"/>
  <c r="U342" i="2"/>
  <c r="U508" i="2"/>
  <c r="R524" i="2"/>
  <c r="Q524" i="2"/>
  <c r="R548" i="2"/>
  <c r="U556" i="2"/>
  <c r="V556" i="2"/>
  <c r="S560" i="2"/>
  <c r="T560" i="2" s="1"/>
  <c r="S573" i="2"/>
  <c r="T573" i="2" s="1"/>
  <c r="U581" i="2"/>
  <c r="V581" i="2"/>
  <c r="S526" i="2"/>
  <c r="T526" i="2" s="1"/>
  <c r="Q425" i="2"/>
  <c r="V66" i="2"/>
  <c r="V98" i="2"/>
  <c r="V130" i="2"/>
  <c r="V162" i="2"/>
  <c r="V194" i="2"/>
  <c r="V226" i="2"/>
  <c r="V258" i="2"/>
  <c r="V290" i="2"/>
  <c r="U316" i="2"/>
  <c r="V323" i="2"/>
  <c r="U348" i="2"/>
  <c r="S389" i="2"/>
  <c r="T389" i="2" s="1"/>
  <c r="S405" i="2"/>
  <c r="T405" i="2" s="1"/>
  <c r="S429" i="2"/>
  <c r="T429" i="2" s="1"/>
  <c r="S453" i="2"/>
  <c r="T453" i="2" s="1"/>
  <c r="S457" i="2"/>
  <c r="T457" i="2" s="1"/>
  <c r="S477" i="2"/>
  <c r="T477" i="2" s="1"/>
  <c r="S489" i="2"/>
  <c r="T489" i="2" s="1"/>
  <c r="S494" i="2"/>
  <c r="T494" i="2" s="1"/>
  <c r="R495" i="2"/>
  <c r="V496" i="2"/>
  <c r="U496" i="2"/>
  <c r="S501" i="2"/>
  <c r="T501" i="2" s="1"/>
  <c r="S509" i="2"/>
  <c r="T509" i="2" s="1"/>
  <c r="S510" i="2"/>
  <c r="T510" i="2" s="1"/>
  <c r="S513" i="2"/>
  <c r="T513" i="2" s="1"/>
  <c r="U514" i="2"/>
  <c r="V514" i="2"/>
  <c r="U546" i="2"/>
  <c r="V546" i="2"/>
  <c r="V444" i="2"/>
  <c r="V452" i="2"/>
  <c r="V460" i="2"/>
  <c r="V468" i="2"/>
  <c r="V476" i="2"/>
  <c r="S476" i="2" s="1"/>
  <c r="T476" i="2" s="1"/>
  <c r="V484" i="2"/>
  <c r="S484" i="2" s="1"/>
  <c r="T484" i="2" s="1"/>
  <c r="V531" i="2"/>
  <c r="U531" i="2"/>
  <c r="S543" i="2"/>
  <c r="T543" i="2" s="1"/>
  <c r="U607" i="2"/>
  <c r="V607" i="2"/>
  <c r="S613" i="2"/>
  <c r="T613" i="2" s="1"/>
  <c r="S615" i="2"/>
  <c r="T615" i="2" s="1"/>
  <c r="S497" i="2"/>
  <c r="T497" i="2" s="1"/>
  <c r="V516" i="2"/>
  <c r="U516" i="2"/>
  <c r="S530" i="2"/>
  <c r="T530" i="2" s="1"/>
  <c r="V550" i="2"/>
  <c r="U550" i="2"/>
  <c r="V553" i="2"/>
  <c r="U553" i="2"/>
  <c r="V565" i="2"/>
  <c r="U565" i="2"/>
  <c r="S566" i="2"/>
  <c r="T566" i="2" s="1"/>
  <c r="S588" i="2"/>
  <c r="T588" i="2" s="1"/>
  <c r="V602" i="2"/>
  <c r="U602" i="2"/>
  <c r="Q592" i="2"/>
  <c r="R592" i="2"/>
  <c r="S492" i="2"/>
  <c r="T492" i="2" s="1"/>
  <c r="U518" i="2"/>
  <c r="U525" i="2"/>
  <c r="V525" i="2"/>
  <c r="S529" i="2"/>
  <c r="T529" i="2" s="1"/>
  <c r="S538" i="2"/>
  <c r="T538" i="2" s="1"/>
  <c r="V580" i="2"/>
  <c r="U580" i="2"/>
  <c r="S604" i="2"/>
  <c r="T604" i="2" s="1"/>
  <c r="V578" i="2"/>
  <c r="U578" i="2"/>
  <c r="V632" i="2"/>
  <c r="V561" i="2"/>
  <c r="U561" i="2"/>
  <c r="S572" i="2"/>
  <c r="T572" i="2" s="1"/>
  <c r="V600" i="2"/>
  <c r="U600" i="2"/>
  <c r="V605" i="2"/>
  <c r="U608" i="2"/>
  <c r="V608" i="2"/>
  <c r="S630" i="2"/>
  <c r="T630" i="2" s="1"/>
  <c r="U569" i="2"/>
  <c r="S610" i="2"/>
  <c r="T610" i="2" s="1"/>
  <c r="H651" i="2"/>
  <c r="R616" i="2"/>
  <c r="Q616" i="2"/>
  <c r="S617" i="2"/>
  <c r="T617" i="2" s="1"/>
  <c r="U623" i="2"/>
  <c r="V623" i="2"/>
  <c r="S597" i="2"/>
  <c r="T597" i="2" s="1"/>
  <c r="V611" i="2"/>
  <c r="U611" i="2"/>
  <c r="U620" i="2"/>
  <c r="V620" i="2"/>
  <c r="U622" i="2"/>
  <c r="V622" i="2"/>
  <c r="H656" i="2"/>
  <c r="S557" i="2"/>
  <c r="T557" i="2" s="1"/>
  <c r="S562" i="2"/>
  <c r="T562" i="2" s="1"/>
  <c r="V586" i="2"/>
  <c r="U586" i="2"/>
  <c r="S587" i="2"/>
  <c r="T587" i="2" s="1"/>
  <c r="S619" i="2"/>
  <c r="T619" i="2" s="1"/>
  <c r="U539" i="2"/>
  <c r="U544" i="2"/>
  <c r="U549" i="2"/>
  <c r="U571" i="2"/>
  <c r="U574" i="2"/>
  <c r="V627" i="2"/>
  <c r="U627" i="2"/>
  <c r="V637" i="2"/>
  <c r="U637" i="2"/>
  <c r="S595" i="2"/>
  <c r="T595" i="2" s="1"/>
  <c r="S638" i="2"/>
  <c r="T638" i="2" s="1"/>
  <c r="V596" i="2"/>
  <c r="U596" i="2"/>
  <c r="S612" i="2"/>
  <c r="T612" i="2" s="1"/>
  <c r="H654" i="2"/>
  <c r="R631" i="2"/>
  <c r="H652" i="2"/>
  <c r="S636" i="2"/>
  <c r="T636" i="2" s="1"/>
  <c r="H658" i="2"/>
  <c r="H650" i="2"/>
  <c r="S640" i="2"/>
  <c r="T640" i="2" s="1"/>
  <c r="V653" i="2"/>
  <c r="U653" i="2"/>
  <c r="V658" i="2"/>
  <c r="U658" i="2"/>
  <c r="AA711" i="2"/>
  <c r="Z711" i="2"/>
  <c r="H657" i="2"/>
  <c r="U645" i="2"/>
  <c r="V655" i="2"/>
  <c r="U655" i="2"/>
  <c r="V657" i="2"/>
  <c r="U657" i="2"/>
  <c r="AF664" i="2"/>
  <c r="AE664" i="2"/>
  <c r="H653" i="2"/>
  <c r="H655" i="2"/>
  <c r="H661" i="2"/>
  <c r="H673" i="2" s="1"/>
  <c r="U646" i="2"/>
  <c r="U648" i="2"/>
  <c r="U670" i="2"/>
  <c r="U651" i="2"/>
  <c r="Z709" i="2"/>
  <c r="AE663" i="2"/>
  <c r="U635" i="2"/>
  <c r="U643" i="2"/>
  <c r="H660" i="2"/>
  <c r="U650" i="2"/>
  <c r="U671" i="2"/>
  <c r="U673" i="2"/>
  <c r="U675" i="2"/>
  <c r="U677" i="2"/>
  <c r="H659" i="2"/>
  <c r="H671" i="2" s="1"/>
  <c r="Z737" i="2"/>
  <c r="U672" i="2"/>
  <c r="U674" i="2"/>
  <c r="U676" i="2"/>
  <c r="U678" i="2"/>
  <c r="U663" i="2"/>
  <c r="U664" i="2"/>
  <c r="U665" i="2"/>
  <c r="U667" i="2"/>
  <c r="X660" i="2"/>
  <c r="X664" i="2"/>
  <c r="X668" i="2"/>
  <c r="X672" i="2"/>
  <c r="X676" i="2"/>
  <c r="X680" i="2"/>
  <c r="X684" i="2"/>
  <c r="X688" i="2"/>
  <c r="X692" i="2"/>
  <c r="X696" i="2"/>
  <c r="X700" i="2"/>
  <c r="X704" i="2"/>
  <c r="X708" i="2"/>
  <c r="X712" i="2"/>
  <c r="X716" i="2"/>
  <c r="X720" i="2"/>
  <c r="X724" i="2"/>
  <c r="X728" i="2"/>
  <c r="X732" i="2"/>
  <c r="X736" i="2"/>
  <c r="U660" i="2"/>
  <c r="U662" i="2"/>
  <c r="AE669" i="2"/>
  <c r="AE670" i="2"/>
  <c r="Y660" i="2"/>
  <c r="Y664" i="2"/>
  <c r="Y668" i="2"/>
  <c r="Y672" i="2"/>
  <c r="Y676" i="2"/>
  <c r="Y680" i="2"/>
  <c r="Y684" i="2"/>
  <c r="Y688" i="2"/>
  <c r="Y692" i="2"/>
  <c r="Y696" i="2"/>
  <c r="Y700" i="2"/>
  <c r="Y704" i="2"/>
  <c r="Y708" i="2"/>
  <c r="Y712" i="2"/>
  <c r="Y716" i="2"/>
  <c r="Y720" i="2"/>
  <c r="Y724" i="2"/>
  <c r="Y728" i="2"/>
  <c r="Y732" i="2"/>
  <c r="AA663" i="2" l="1"/>
  <c r="Z681" i="2"/>
  <c r="Z713" i="2"/>
  <c r="Z725" i="2"/>
  <c r="AA661" i="2"/>
  <c r="Z722" i="2"/>
  <c r="AA694" i="2"/>
  <c r="AA666" i="2"/>
  <c r="AA734" i="2"/>
  <c r="AA715" i="2"/>
  <c r="Z705" i="2"/>
  <c r="Z702" i="2"/>
  <c r="Z726" i="2"/>
  <c r="Z690" i="2"/>
  <c r="AA665" i="2"/>
  <c r="AA706" i="2"/>
  <c r="AA679" i="2"/>
  <c r="AA685" i="2"/>
  <c r="Z719" i="2"/>
  <c r="Z669" i="2"/>
  <c r="Z670" i="2"/>
  <c r="Z731" i="2"/>
  <c r="Z695" i="2"/>
  <c r="AA703" i="2"/>
  <c r="AA658" i="2"/>
  <c r="Z721" i="2"/>
  <c r="Z693" i="2"/>
  <c r="AA723" i="2"/>
  <c r="Z699" i="2"/>
  <c r="Z710" i="2"/>
  <c r="AA683" i="2"/>
  <c r="Z683" i="2"/>
  <c r="Z674" i="2"/>
  <c r="Z667" i="2"/>
  <c r="AA667" i="2"/>
  <c r="Z689" i="2"/>
  <c r="Z707" i="2"/>
  <c r="AA729" i="2"/>
  <c r="AA678" i="2"/>
  <c r="AA698" i="2"/>
  <c r="AA727" i="2"/>
  <c r="Z697" i="2"/>
  <c r="Z682" i="2"/>
  <c r="Z717" i="2"/>
  <c r="Z730" i="2"/>
  <c r="S536" i="2"/>
  <c r="T536" i="2" s="1"/>
  <c r="S598" i="2"/>
  <c r="T598" i="2" s="1"/>
  <c r="S481" i="2"/>
  <c r="T481" i="2" s="1"/>
  <c r="Q385" i="2"/>
  <c r="S568" i="2"/>
  <c r="T568" i="2" s="1"/>
  <c r="S401" i="2"/>
  <c r="T401" i="2" s="1"/>
  <c r="S440" i="2"/>
  <c r="T440" i="2" s="1"/>
  <c r="AA671" i="2"/>
  <c r="Z671" i="2"/>
  <c r="S421" i="2"/>
  <c r="T421" i="2" s="1"/>
  <c r="Q455" i="2"/>
  <c r="R547" i="2"/>
  <c r="S547" i="2"/>
  <c r="T547" i="2" s="1"/>
  <c r="Q381" i="2"/>
  <c r="S411" i="2"/>
  <c r="T411" i="2" s="1"/>
  <c r="R536" i="2"/>
  <c r="R618" i="2"/>
  <c r="Z701" i="2"/>
  <c r="Z657" i="2"/>
  <c r="AA657" i="2"/>
  <c r="S576" i="2"/>
  <c r="T576" i="2" s="1"/>
  <c r="R368" i="2"/>
  <c r="R515" i="2"/>
  <c r="Q359" i="2"/>
  <c r="AA677" i="2"/>
  <c r="Z677" i="2"/>
  <c r="Q567" i="2"/>
  <c r="R567" i="2"/>
  <c r="Q395" i="2"/>
  <c r="R512" i="2"/>
  <c r="Q447" i="2"/>
  <c r="Q391" i="2"/>
  <c r="Q368" i="2"/>
  <c r="AA686" i="2"/>
  <c r="S532" i="2"/>
  <c r="T532" i="2" s="1"/>
  <c r="AA662" i="2"/>
  <c r="Z662" i="2"/>
  <c r="S629" i="2"/>
  <c r="T629" i="2" s="1"/>
  <c r="S606" i="2"/>
  <c r="T606" i="2" s="1"/>
  <c r="S609" i="2"/>
  <c r="T609" i="2" s="1"/>
  <c r="S624" i="2"/>
  <c r="T624" i="2" s="1"/>
  <c r="S579" i="2"/>
  <c r="T579" i="2" s="1"/>
  <c r="S431" i="2"/>
  <c r="T431" i="2" s="1"/>
  <c r="S364" i="2"/>
  <c r="T364" i="2" s="1"/>
  <c r="R360" i="2"/>
  <c r="S471" i="2"/>
  <c r="T471" i="2" s="1"/>
  <c r="AA675" i="2"/>
  <c r="Z675" i="2"/>
  <c r="S391" i="2"/>
  <c r="T391" i="2" s="1"/>
  <c r="S554" i="2"/>
  <c r="T554" i="2" s="1"/>
  <c r="S479" i="2"/>
  <c r="T479" i="2" s="1"/>
  <c r="AA733" i="2"/>
  <c r="S601" i="2"/>
  <c r="T601" i="2" s="1"/>
  <c r="Q582" i="2"/>
  <c r="Z718" i="2"/>
  <c r="Q464" i="2"/>
  <c r="R431" i="2"/>
  <c r="AA687" i="2"/>
  <c r="Z687" i="2"/>
  <c r="S498" i="2"/>
  <c r="T498" i="2" s="1"/>
  <c r="Q479" i="2"/>
  <c r="Z735" i="2"/>
  <c r="Z691" i="2"/>
  <c r="S632" i="2"/>
  <c r="T632" i="2" s="1"/>
  <c r="S577" i="2"/>
  <c r="T577" i="2" s="1"/>
  <c r="S423" i="2"/>
  <c r="T423" i="2" s="1"/>
  <c r="R375" i="2"/>
  <c r="S419" i="2"/>
  <c r="T419" i="2" s="1"/>
  <c r="Q515" i="2"/>
  <c r="AA673" i="2"/>
  <c r="Z673" i="2"/>
  <c r="S487" i="2"/>
  <c r="T487" i="2" s="1"/>
  <c r="Q417" i="2"/>
  <c r="S639" i="2"/>
  <c r="T639" i="2" s="1"/>
  <c r="S397" i="2"/>
  <c r="T397" i="2" s="1"/>
  <c r="Z659" i="2"/>
  <c r="AA659" i="2"/>
  <c r="Q423" i="2"/>
  <c r="Q358" i="2"/>
  <c r="Q618" i="2"/>
  <c r="S449" i="2"/>
  <c r="T449" i="2" s="1"/>
  <c r="R455" i="2"/>
  <c r="S614" i="2"/>
  <c r="T614" i="2" s="1"/>
  <c r="Z714" i="2"/>
  <c r="Q640" i="2"/>
  <c r="Q638" i="2"/>
  <c r="S628" i="2"/>
  <c r="T628" i="2" s="1"/>
  <c r="Q509" i="2"/>
  <c r="S445" i="2"/>
  <c r="T445" i="2" s="1"/>
  <c r="R633" i="2"/>
  <c r="R441" i="2"/>
  <c r="Q615" i="2"/>
  <c r="Q488" i="2"/>
  <c r="R541" i="2"/>
  <c r="Q356" i="2"/>
  <c r="R566" i="2"/>
  <c r="R356" i="2"/>
  <c r="R619" i="2"/>
  <c r="R358" i="2"/>
  <c r="R479" i="2"/>
  <c r="R469" i="2"/>
  <c r="Q465" i="2"/>
  <c r="R465" i="2"/>
  <c r="Q480" i="2"/>
  <c r="S647" i="2"/>
  <c r="T647" i="2" s="1"/>
  <c r="R615" i="2"/>
  <c r="S559" i="2"/>
  <c r="T559" i="2" s="1"/>
  <c r="R537" i="2"/>
  <c r="Q642" i="2"/>
  <c r="S626" i="2"/>
  <c r="T626" i="2" s="1"/>
  <c r="S584" i="2"/>
  <c r="T584" i="2" s="1"/>
  <c r="Q537" i="2"/>
  <c r="S413" i="2"/>
  <c r="T413" i="2" s="1"/>
  <c r="R560" i="2"/>
  <c r="R532" i="2"/>
  <c r="S515" i="2"/>
  <c r="T515" i="2" s="1"/>
  <c r="S523" i="2"/>
  <c r="T523" i="2" s="1"/>
  <c r="S583" i="2"/>
  <c r="T583" i="2" s="1"/>
  <c r="Q419" i="2"/>
  <c r="S589" i="2"/>
  <c r="T589" i="2" s="1"/>
  <c r="Q603" i="2"/>
  <c r="Q484" i="2"/>
  <c r="S370" i="2"/>
  <c r="T370" i="2" s="1"/>
  <c r="S528" i="2"/>
  <c r="T528" i="2" s="1"/>
  <c r="G661" i="2"/>
  <c r="K661" i="2" s="1"/>
  <c r="S603" i="2"/>
  <c r="T603" i="2" s="1"/>
  <c r="S558" i="2"/>
  <c r="T558" i="2" s="1"/>
  <c r="S519" i="2"/>
  <c r="T519" i="2" s="1"/>
  <c r="R511" i="2"/>
  <c r="Q560" i="2"/>
  <c r="R464" i="2"/>
  <c r="R387" i="2"/>
  <c r="S634" i="2"/>
  <c r="T634" i="2" s="1"/>
  <c r="S649" i="2"/>
  <c r="T649" i="2" s="1"/>
  <c r="S463" i="2"/>
  <c r="T463" i="2" s="1"/>
  <c r="S504" i="2"/>
  <c r="T504" i="2" s="1"/>
  <c r="Q409" i="2"/>
  <c r="S593" i="2"/>
  <c r="T593" i="2" s="1"/>
  <c r="G659" i="2"/>
  <c r="K659" i="2" s="1"/>
  <c r="S585" i="2"/>
  <c r="T585" i="2" s="1"/>
  <c r="R594" i="2"/>
  <c r="R613" i="2"/>
  <c r="Q372" i="2"/>
  <c r="Q401" i="2"/>
  <c r="Q526" i="2"/>
  <c r="Q511" i="2"/>
  <c r="R517" i="2"/>
  <c r="Q439" i="2"/>
  <c r="S377" i="2"/>
  <c r="T377" i="2" s="1"/>
  <c r="S379" i="2"/>
  <c r="T379" i="2" s="1"/>
  <c r="S357" i="2"/>
  <c r="T357" i="2" s="1"/>
  <c r="Q631" i="2"/>
  <c r="S362" i="2"/>
  <c r="T362" i="2" s="1"/>
  <c r="Q506" i="2"/>
  <c r="Q463" i="2"/>
  <c r="R642" i="2"/>
  <c r="Q473" i="2"/>
  <c r="R473" i="2"/>
  <c r="S644" i="2"/>
  <c r="T644" i="2" s="1"/>
  <c r="Q585" i="2"/>
  <c r="S564" i="2"/>
  <c r="T564" i="2" s="1"/>
  <c r="Q594" i="2"/>
  <c r="S590" i="2"/>
  <c r="T590" i="2" s="1"/>
  <c r="Q517" i="2"/>
  <c r="S433" i="2"/>
  <c r="T433" i="2" s="1"/>
  <c r="R472" i="2"/>
  <c r="Q427" i="2"/>
  <c r="R487" i="2"/>
  <c r="Q625" i="2"/>
  <c r="S591" i="2"/>
  <c r="T591" i="2" s="1"/>
  <c r="Q393" i="2"/>
  <c r="Q487" i="2"/>
  <c r="S507" i="2"/>
  <c r="T507" i="2" s="1"/>
  <c r="R355" i="2"/>
  <c r="Q367" i="2"/>
  <c r="S599" i="2"/>
  <c r="T599" i="2" s="1"/>
  <c r="Q587" i="2"/>
  <c r="R562" i="2"/>
  <c r="R494" i="2"/>
  <c r="Q555" i="2"/>
  <c r="Q617" i="2"/>
  <c r="Q576" i="2"/>
  <c r="R522" i="2"/>
  <c r="Q505" i="2"/>
  <c r="R555" i="2"/>
  <c r="Q415" i="2"/>
  <c r="Q613" i="2"/>
  <c r="Q513" i="2"/>
  <c r="Q501" i="2"/>
  <c r="R535" i="2"/>
  <c r="R510" i="2"/>
  <c r="R480" i="2"/>
  <c r="Q440" i="2"/>
  <c r="Q503" i="2"/>
  <c r="R415" i="2"/>
  <c r="R359" i="2"/>
  <c r="Q429" i="2"/>
  <c r="Q403" i="2"/>
  <c r="R612" i="2"/>
  <c r="R621" i="2"/>
  <c r="R597" i="2"/>
  <c r="R604" i="2"/>
  <c r="R427" i="2"/>
  <c r="R403" i="2"/>
  <c r="R407" i="2"/>
  <c r="Q379" i="2"/>
  <c r="Q619" i="2"/>
  <c r="Q579" i="2"/>
  <c r="Q604" i="2"/>
  <c r="Q588" i="2"/>
  <c r="R568" i="2"/>
  <c r="Q552" i="2"/>
  <c r="Q448" i="2"/>
  <c r="R399" i="2"/>
  <c r="Q456" i="2"/>
  <c r="R527" i="2"/>
  <c r="Q568" i="2"/>
  <c r="R552" i="2"/>
  <c r="R448" i="2"/>
  <c r="R423" i="2"/>
  <c r="R456" i="2"/>
  <c r="AA712" i="2"/>
  <c r="Z712" i="2"/>
  <c r="AA680" i="2"/>
  <c r="Z680" i="2"/>
  <c r="S635" i="2"/>
  <c r="T635" i="2" s="1"/>
  <c r="R635" i="2"/>
  <c r="Q647" i="2"/>
  <c r="R601" i="2"/>
  <c r="Q595" i="2"/>
  <c r="Q559" i="2"/>
  <c r="S605" i="2"/>
  <c r="T605" i="2" s="1"/>
  <c r="Q605" i="2"/>
  <c r="Q598" i="2"/>
  <c r="R530" i="2"/>
  <c r="S546" i="2"/>
  <c r="T546" i="2" s="1"/>
  <c r="S469" i="2"/>
  <c r="T469" i="2" s="1"/>
  <c r="Q469" i="2"/>
  <c r="Q437" i="2"/>
  <c r="Q405" i="2"/>
  <c r="Q577" i="2"/>
  <c r="S556" i="2"/>
  <c r="T556" i="2" s="1"/>
  <c r="R437" i="2"/>
  <c r="R570" i="2"/>
  <c r="Q512" i="2"/>
  <c r="Q548" i="2"/>
  <c r="Q494" i="2"/>
  <c r="S460" i="2"/>
  <c r="T460" i="2" s="1"/>
  <c r="R545" i="2"/>
  <c r="S493" i="2"/>
  <c r="T493" i="2" s="1"/>
  <c r="R476" i="2"/>
  <c r="Q522" i="2"/>
  <c r="R484" i="2"/>
  <c r="Q399" i="2"/>
  <c r="R377" i="2"/>
  <c r="S398" i="2"/>
  <c r="T398" i="2" s="1"/>
  <c r="S451" i="2"/>
  <c r="T451" i="2" s="1"/>
  <c r="S396" i="2"/>
  <c r="T396" i="2" s="1"/>
  <c r="R401" i="2"/>
  <c r="S373" i="2"/>
  <c r="T373" i="2" s="1"/>
  <c r="R373" i="2"/>
  <c r="R447" i="2"/>
  <c r="S371" i="2"/>
  <c r="T371" i="2" s="1"/>
  <c r="S416" i="2"/>
  <c r="T416" i="2" s="1"/>
  <c r="AA708" i="2"/>
  <c r="Z708" i="2"/>
  <c r="AA676" i="2"/>
  <c r="Z676" i="2"/>
  <c r="H665" i="2"/>
  <c r="H677" i="2" s="1"/>
  <c r="G653" i="2"/>
  <c r="K653" i="2" s="1"/>
  <c r="Q600" i="2"/>
  <c r="S600" i="2"/>
  <c r="T600" i="2" s="1"/>
  <c r="R600" i="2"/>
  <c r="R576" i="2"/>
  <c r="S508" i="2"/>
  <c r="T508" i="2" s="1"/>
  <c r="R429" i="2"/>
  <c r="R610" i="2"/>
  <c r="S542" i="2"/>
  <c r="T542" i="2" s="1"/>
  <c r="R542" i="2"/>
  <c r="S575" i="2"/>
  <c r="T575" i="2" s="1"/>
  <c r="Q538" i="2"/>
  <c r="Q535" i="2"/>
  <c r="S475" i="2"/>
  <c r="T475" i="2" s="1"/>
  <c r="S426" i="2"/>
  <c r="T426" i="2" s="1"/>
  <c r="S502" i="2"/>
  <c r="T502" i="2" s="1"/>
  <c r="Q502" i="2"/>
  <c r="S436" i="2"/>
  <c r="T436" i="2" s="1"/>
  <c r="Q527" i="2"/>
  <c r="R460" i="2"/>
  <c r="S424" i="2"/>
  <c r="T424" i="2" s="1"/>
  <c r="S454" i="2"/>
  <c r="T454" i="2" s="1"/>
  <c r="R393" i="2"/>
  <c r="S491" i="2"/>
  <c r="T491" i="2" s="1"/>
  <c r="S384" i="2"/>
  <c r="T384" i="2" s="1"/>
  <c r="R595" i="2"/>
  <c r="H668" i="2"/>
  <c r="G656" i="2"/>
  <c r="K656" i="2" s="1"/>
  <c r="AA736" i="2"/>
  <c r="Z736" i="2"/>
  <c r="AA704" i="2"/>
  <c r="Z704" i="2"/>
  <c r="AA672" i="2"/>
  <c r="Z672" i="2"/>
  <c r="S645" i="2"/>
  <c r="T645" i="2" s="1"/>
  <c r="R640" i="2"/>
  <c r="H670" i="2"/>
  <c r="G658" i="2"/>
  <c r="K658" i="2" s="1"/>
  <c r="S596" i="2"/>
  <c r="T596" i="2" s="1"/>
  <c r="S637" i="2"/>
  <c r="T637" i="2" s="1"/>
  <c r="S574" i="2"/>
  <c r="T574" i="2" s="1"/>
  <c r="Q632" i="2"/>
  <c r="S620" i="2"/>
  <c r="T620" i="2" s="1"/>
  <c r="H663" i="2"/>
  <c r="H675" i="2" s="1"/>
  <c r="G651" i="2"/>
  <c r="K651" i="2" s="1"/>
  <c r="Q553" i="2"/>
  <c r="S553" i="2"/>
  <c r="T553" i="2" s="1"/>
  <c r="S516" i="2"/>
  <c r="T516" i="2" s="1"/>
  <c r="S514" i="2"/>
  <c r="T514" i="2" s="1"/>
  <c r="S485" i="2"/>
  <c r="T485" i="2" s="1"/>
  <c r="Q485" i="2"/>
  <c r="S465" i="2"/>
  <c r="T465" i="2" s="1"/>
  <c r="R421" i="2"/>
  <c r="R609" i="2"/>
  <c r="R538" i="2"/>
  <c r="S452" i="2"/>
  <c r="T452" i="2" s="1"/>
  <c r="R519" i="2"/>
  <c r="S474" i="2"/>
  <c r="T474" i="2" s="1"/>
  <c r="S459" i="2"/>
  <c r="T459" i="2" s="1"/>
  <c r="S467" i="2"/>
  <c r="T467" i="2" s="1"/>
  <c r="R449" i="2"/>
  <c r="S390" i="2"/>
  <c r="T390" i="2" s="1"/>
  <c r="R457" i="2"/>
  <c r="Q435" i="2"/>
  <c r="S392" i="2"/>
  <c r="T392" i="2" s="1"/>
  <c r="Q481" i="2"/>
  <c r="S412" i="2"/>
  <c r="T412" i="2" s="1"/>
  <c r="S646" i="2"/>
  <c r="T646" i="2" s="1"/>
  <c r="AA732" i="2"/>
  <c r="Z732" i="2"/>
  <c r="AA700" i="2"/>
  <c r="Z700" i="2"/>
  <c r="AA668" i="2"/>
  <c r="Z668" i="2"/>
  <c r="H669" i="2"/>
  <c r="G657" i="2"/>
  <c r="K657" i="2" s="1"/>
  <c r="H666" i="2"/>
  <c r="H678" i="2" s="1"/>
  <c r="G654" i="2"/>
  <c r="K654" i="2" s="1"/>
  <c r="S571" i="2"/>
  <c r="T571" i="2" s="1"/>
  <c r="R632" i="2"/>
  <c r="S611" i="2"/>
  <c r="T611" i="2" s="1"/>
  <c r="S623" i="2"/>
  <c r="T623" i="2" s="1"/>
  <c r="Q623" i="2"/>
  <c r="S525" i="2"/>
  <c r="T525" i="2" s="1"/>
  <c r="R485" i="2"/>
  <c r="S461" i="2"/>
  <c r="T461" i="2" s="1"/>
  <c r="Q461" i="2"/>
  <c r="S441" i="2"/>
  <c r="T441" i="2" s="1"/>
  <c r="Q441" i="2"/>
  <c r="Q476" i="2"/>
  <c r="Q510" i="2"/>
  <c r="R413" i="2"/>
  <c r="Q590" i="2"/>
  <c r="Q520" i="2"/>
  <c r="Q545" i="2"/>
  <c r="R572" i="2"/>
  <c r="S458" i="2"/>
  <c r="T458" i="2" s="1"/>
  <c r="S410" i="2"/>
  <c r="T410" i="2" s="1"/>
  <c r="S483" i="2"/>
  <c r="T483" i="2" s="1"/>
  <c r="R483" i="2"/>
  <c r="S466" i="2"/>
  <c r="T466" i="2" s="1"/>
  <c r="S420" i="2"/>
  <c r="T420" i="2" s="1"/>
  <c r="S442" i="2"/>
  <c r="T442" i="2" s="1"/>
  <c r="S450" i="2"/>
  <c r="T450" i="2" s="1"/>
  <c r="Q366" i="2"/>
  <c r="Q457" i="2"/>
  <c r="R435" i="2"/>
  <c r="R372" i="2"/>
  <c r="Q383" i="2"/>
  <c r="S414" i="2"/>
  <c r="T414" i="2" s="1"/>
  <c r="S380" i="2"/>
  <c r="T380" i="2" s="1"/>
  <c r="AA728" i="2"/>
  <c r="Z728" i="2"/>
  <c r="AA696" i="2"/>
  <c r="Z696" i="2"/>
  <c r="Z664" i="2"/>
  <c r="AA664" i="2"/>
  <c r="H662" i="2"/>
  <c r="G650" i="2"/>
  <c r="K650" i="2" s="1"/>
  <c r="Q636" i="2"/>
  <c r="S627" i="2"/>
  <c r="T627" i="2" s="1"/>
  <c r="S549" i="2"/>
  <c r="T549" i="2" s="1"/>
  <c r="R629" i="2"/>
  <c r="R587" i="2"/>
  <c r="R557" i="2"/>
  <c r="Q610" i="2"/>
  <c r="R630" i="2"/>
  <c r="Q572" i="2"/>
  <c r="S518" i="2"/>
  <c r="T518" i="2" s="1"/>
  <c r="Q566" i="2"/>
  <c r="S550" i="2"/>
  <c r="T550" i="2" s="1"/>
  <c r="Q543" i="2"/>
  <c r="R513" i="2"/>
  <c r="R461" i="2"/>
  <c r="Q421" i="2"/>
  <c r="Q389" i="2"/>
  <c r="Q573" i="2"/>
  <c r="Q529" i="2"/>
  <c r="R540" i="2"/>
  <c r="R405" i="2"/>
  <c r="R588" i="2"/>
  <c r="S534" i="2"/>
  <c r="T534" i="2" s="1"/>
  <c r="R520" i="2"/>
  <c r="S521" i="2"/>
  <c r="T521" i="2" s="1"/>
  <c r="S444" i="2"/>
  <c r="T444" i="2" s="1"/>
  <c r="Q519" i="2"/>
  <c r="S482" i="2"/>
  <c r="T482" i="2" s="1"/>
  <c r="R503" i="2"/>
  <c r="S418" i="2"/>
  <c r="T418" i="2" s="1"/>
  <c r="R391" i="2"/>
  <c r="R395" i="2"/>
  <c r="S430" i="2"/>
  <c r="T430" i="2" s="1"/>
  <c r="R489" i="2"/>
  <c r="R363" i="2"/>
  <c r="Q407" i="2"/>
  <c r="R383" i="2"/>
  <c r="S408" i="2"/>
  <c r="T408" i="2" s="1"/>
  <c r="Q449" i="2"/>
  <c r="AA692" i="2"/>
  <c r="Z692" i="2"/>
  <c r="Z660" i="2"/>
  <c r="AA660" i="2"/>
  <c r="R636" i="2"/>
  <c r="S544" i="2"/>
  <c r="T544" i="2" s="1"/>
  <c r="S586" i="2"/>
  <c r="T586" i="2" s="1"/>
  <c r="S561" i="2"/>
  <c r="T561" i="2" s="1"/>
  <c r="Q630" i="2"/>
  <c r="R543" i="2"/>
  <c r="S496" i="2"/>
  <c r="T496" i="2" s="1"/>
  <c r="S581" i="2"/>
  <c r="T581" i="2" s="1"/>
  <c r="R529" i="2"/>
  <c r="Q563" i="2"/>
  <c r="Q612" i="2"/>
  <c r="R506" i="2"/>
  <c r="S394" i="2"/>
  <c r="T394" i="2" s="1"/>
  <c r="S404" i="2"/>
  <c r="T404" i="2" s="1"/>
  <c r="R481" i="2"/>
  <c r="R417" i="2"/>
  <c r="S462" i="2"/>
  <c r="T462" i="2" s="1"/>
  <c r="S432" i="2"/>
  <c r="T432" i="2" s="1"/>
  <c r="R497" i="2"/>
  <c r="S434" i="2"/>
  <c r="T434" i="2" s="1"/>
  <c r="S446" i="2"/>
  <c r="T446" i="2" s="1"/>
  <c r="S406" i="2"/>
  <c r="T406" i="2" s="1"/>
  <c r="S376" i="2"/>
  <c r="T376" i="2" s="1"/>
  <c r="Q438" i="2"/>
  <c r="AA720" i="2"/>
  <c r="Z720" i="2"/>
  <c r="AA688" i="2"/>
  <c r="Z688" i="2"/>
  <c r="H672" i="2"/>
  <c r="G660" i="2"/>
  <c r="K660" i="2" s="1"/>
  <c r="Q609" i="2"/>
  <c r="Q606" i="2"/>
  <c r="S539" i="2"/>
  <c r="T539" i="2" s="1"/>
  <c r="Q557" i="2"/>
  <c r="S622" i="2"/>
  <c r="T622" i="2" s="1"/>
  <c r="R617" i="2"/>
  <c r="S578" i="2"/>
  <c r="T578" i="2" s="1"/>
  <c r="S580" i="2"/>
  <c r="T580" i="2" s="1"/>
  <c r="Q601" i="2"/>
  <c r="S565" i="2"/>
  <c r="T565" i="2" s="1"/>
  <c r="Q492" i="2"/>
  <c r="S607" i="2"/>
  <c r="T607" i="2" s="1"/>
  <c r="S531" i="2"/>
  <c r="T531" i="2" s="1"/>
  <c r="R531" i="2"/>
  <c r="R477" i="2"/>
  <c r="R389" i="2"/>
  <c r="R563" i="2"/>
  <c r="S551" i="2"/>
  <c r="T551" i="2" s="1"/>
  <c r="Q597" i="2"/>
  <c r="R504" i="2"/>
  <c r="S468" i="2"/>
  <c r="T468" i="2" s="1"/>
  <c r="S500" i="2"/>
  <c r="T500" i="2" s="1"/>
  <c r="R509" i="2"/>
  <c r="S478" i="2"/>
  <c r="T478" i="2" s="1"/>
  <c r="S486" i="2"/>
  <c r="T486" i="2" s="1"/>
  <c r="Q477" i="2"/>
  <c r="R409" i="2"/>
  <c r="S386" i="2"/>
  <c r="T386" i="2" s="1"/>
  <c r="Q489" i="2"/>
  <c r="S443" i="2"/>
  <c r="T443" i="2" s="1"/>
  <c r="S422" i="2"/>
  <c r="T422" i="2" s="1"/>
  <c r="S400" i="2"/>
  <c r="T400" i="2" s="1"/>
  <c r="Q363" i="2"/>
  <c r="Q497" i="2"/>
  <c r="R379" i="2"/>
  <c r="R419" i="2"/>
  <c r="Q387" i="2"/>
  <c r="S374" i="2"/>
  <c r="T374" i="2" s="1"/>
  <c r="R366" i="2"/>
  <c r="AA724" i="2"/>
  <c r="Z724" i="2"/>
  <c r="S650" i="2"/>
  <c r="T650" i="2" s="1"/>
  <c r="G663" i="2"/>
  <c r="K663" i="2" s="1"/>
  <c r="AA716" i="2"/>
  <c r="Z716" i="2"/>
  <c r="AA684" i="2"/>
  <c r="Z684" i="2"/>
  <c r="S643" i="2"/>
  <c r="T643" i="2" s="1"/>
  <c r="S651" i="2"/>
  <c r="T651" i="2" s="1"/>
  <c r="S648" i="2"/>
  <c r="T648" i="2" s="1"/>
  <c r="H667" i="2"/>
  <c r="G655" i="2"/>
  <c r="K655" i="2" s="1"/>
  <c r="H664" i="2"/>
  <c r="H676" i="2" s="1"/>
  <c r="G652" i="2"/>
  <c r="K652" i="2" s="1"/>
  <c r="R625" i="2"/>
  <c r="Q621" i="2"/>
  <c r="R603" i="2"/>
  <c r="S569" i="2"/>
  <c r="T569" i="2" s="1"/>
  <c r="S608" i="2"/>
  <c r="T608" i="2" s="1"/>
  <c r="Q554" i="2"/>
  <c r="R598" i="2"/>
  <c r="S602" i="2"/>
  <c r="T602" i="2" s="1"/>
  <c r="R582" i="2"/>
  <c r="Q530" i="2"/>
  <c r="R492" i="2"/>
  <c r="S473" i="2"/>
  <c r="T473" i="2" s="1"/>
  <c r="R453" i="2"/>
  <c r="R577" i="2"/>
  <c r="R438" i="2"/>
  <c r="R381" i="2"/>
  <c r="Q562" i="2"/>
  <c r="Q570" i="2"/>
  <c r="S495" i="2"/>
  <c r="T495" i="2" s="1"/>
  <c r="Q495" i="2"/>
  <c r="S369" i="2"/>
  <c r="T369" i="2" s="1"/>
  <c r="R501" i="2"/>
  <c r="S378" i="2"/>
  <c r="T378" i="2" s="1"/>
  <c r="Q532" i="2"/>
  <c r="S388" i="2"/>
  <c r="T388" i="2" s="1"/>
  <c r="S470" i="2"/>
  <c r="T470" i="2" s="1"/>
  <c r="Q470" i="2"/>
  <c r="R385" i="2"/>
  <c r="Q472" i="2"/>
  <c r="S428" i="2"/>
  <c r="T428" i="2" s="1"/>
  <c r="S490" i="2"/>
  <c r="T490" i="2" s="1"/>
  <c r="R425" i="2"/>
  <c r="S402" i="2"/>
  <c r="T402" i="2" s="1"/>
  <c r="Q375" i="2"/>
  <c r="R439" i="2"/>
  <c r="S382" i="2"/>
  <c r="T382" i="2" s="1"/>
  <c r="R505" i="2"/>
  <c r="Q360" i="2"/>
  <c r="Q453" i="2"/>
  <c r="AD669" i="2" l="1"/>
  <c r="R591" i="2"/>
  <c r="Q639" i="2"/>
  <c r="R564" i="2"/>
  <c r="R452" i="2"/>
  <c r="R474" i="2"/>
  <c r="R553" i="2"/>
  <c r="Q514" i="2"/>
  <c r="AD670" i="2"/>
  <c r="Q542" i="2"/>
  <c r="R585" i="2"/>
  <c r="R471" i="2"/>
  <c r="R639" i="2"/>
  <c r="R466" i="2"/>
  <c r="R647" i="2"/>
  <c r="R614" i="2"/>
  <c r="Q370" i="2"/>
  <c r="Q411" i="2"/>
  <c r="R364" i="2"/>
  <c r="Q628" i="2"/>
  <c r="Q431" i="2"/>
  <c r="Q471" i="2"/>
  <c r="Q547" i="2"/>
  <c r="R624" i="2"/>
  <c r="R628" i="2"/>
  <c r="Q397" i="2"/>
  <c r="Q624" i="2"/>
  <c r="R498" i="2"/>
  <c r="R559" i="2"/>
  <c r="Q445" i="2"/>
  <c r="AD663" i="2"/>
  <c r="R579" i="2"/>
  <c r="Q504" i="2"/>
  <c r="R528" i="2"/>
  <c r="R397" i="2"/>
  <c r="R445" i="2"/>
  <c r="R440" i="2"/>
  <c r="Q583" i="2"/>
  <c r="Q614" i="2"/>
  <c r="S633" i="2"/>
  <c r="T633" i="2" s="1"/>
  <c r="Q633" i="2"/>
  <c r="Q466" i="2"/>
  <c r="Q364" i="2"/>
  <c r="R554" i="2"/>
  <c r="R634" i="2"/>
  <c r="Q536" i="2"/>
  <c r="R514" i="2"/>
  <c r="R411" i="2"/>
  <c r="Q629" i="2"/>
  <c r="R396" i="2"/>
  <c r="R523" i="2"/>
  <c r="R606" i="2"/>
  <c r="Q498" i="2"/>
  <c r="R384" i="2"/>
  <c r="R357" i="2"/>
  <c r="Q564" i="2"/>
  <c r="R443" i="2"/>
  <c r="R580" i="2"/>
  <c r="R622" i="2"/>
  <c r="R376" i="2"/>
  <c r="Q507" i="2"/>
  <c r="R599" i="2"/>
  <c r="Q362" i="2"/>
  <c r="Q591" i="2"/>
  <c r="Q459" i="2"/>
  <c r="Q608" i="2"/>
  <c r="Q377" i="2"/>
  <c r="Q478" i="2"/>
  <c r="Q578" i="2"/>
  <c r="R574" i="2"/>
  <c r="Q454" i="2"/>
  <c r="Q436" i="2"/>
  <c r="Q398" i="2"/>
  <c r="Q493" i="2"/>
  <c r="Q528" i="2"/>
  <c r="Q413" i="2"/>
  <c r="Q392" i="2"/>
  <c r="R467" i="2"/>
  <c r="Q574" i="2"/>
  <c r="Q384" i="2"/>
  <c r="R436" i="2"/>
  <c r="R475" i="2"/>
  <c r="R371" i="2"/>
  <c r="Q396" i="2"/>
  <c r="Q357" i="2"/>
  <c r="R590" i="2"/>
  <c r="Q589" i="2"/>
  <c r="R463" i="2"/>
  <c r="Q593" i="2"/>
  <c r="R584" i="2"/>
  <c r="R408" i="2"/>
  <c r="R558" i="2"/>
  <c r="R550" i="2"/>
  <c r="S533" i="2"/>
  <c r="T533" i="2" s="1"/>
  <c r="Q533" i="2"/>
  <c r="R626" i="2"/>
  <c r="Q382" i="2"/>
  <c r="Q602" i="2"/>
  <c r="R569" i="2"/>
  <c r="Q406" i="2"/>
  <c r="R434" i="2"/>
  <c r="R394" i="2"/>
  <c r="Q581" i="2"/>
  <c r="R544" i="2"/>
  <c r="Q408" i="2"/>
  <c r="Q550" i="2"/>
  <c r="R412" i="2"/>
  <c r="R459" i="2"/>
  <c r="Q637" i="2"/>
  <c r="R424" i="2"/>
  <c r="R593" i="2"/>
  <c r="R649" i="2"/>
  <c r="Q558" i="2"/>
  <c r="R507" i="2"/>
  <c r="Q626" i="2"/>
  <c r="R370" i="2"/>
  <c r="Q433" i="2"/>
  <c r="Q599" i="2"/>
  <c r="Q523" i="2"/>
  <c r="Q355" i="2"/>
  <c r="S355" i="2"/>
  <c r="T355" i="2" s="1"/>
  <c r="R586" i="2"/>
  <c r="R534" i="2"/>
  <c r="R605" i="2"/>
  <c r="R596" i="2"/>
  <c r="Q491" i="2"/>
  <c r="R575" i="2"/>
  <c r="Q416" i="2"/>
  <c r="R644" i="2"/>
  <c r="Q649" i="2"/>
  <c r="R362" i="2"/>
  <c r="R589" i="2"/>
  <c r="Q634" i="2"/>
  <c r="Q569" i="2"/>
  <c r="R433" i="2"/>
  <c r="Q644" i="2"/>
  <c r="R533" i="2"/>
  <c r="Q584" i="2"/>
  <c r="R583" i="2"/>
  <c r="R602" i="2"/>
  <c r="Q496" i="2"/>
  <c r="Q586" i="2"/>
  <c r="Q575" i="2"/>
  <c r="R416" i="2"/>
  <c r="Q376" i="2"/>
  <c r="Q458" i="2"/>
  <c r="Q378" i="2"/>
  <c r="Q443" i="2"/>
  <c r="Q442" i="2"/>
  <c r="R458" i="2"/>
  <c r="R493" i="2"/>
  <c r="R382" i="2"/>
  <c r="R490" i="2"/>
  <c r="R627" i="2"/>
  <c r="R651" i="2"/>
  <c r="R663" i="2" s="1"/>
  <c r="R675" i="2" s="1"/>
  <c r="Q490" i="2"/>
  <c r="Q428" i="2"/>
  <c r="R470" i="2"/>
  <c r="R648" i="2"/>
  <c r="R660" i="2" s="1"/>
  <c r="R672" i="2" s="1"/>
  <c r="R374" i="2"/>
  <c r="R420" i="2"/>
  <c r="Q483" i="2"/>
  <c r="Q645" i="2"/>
  <c r="Q657" i="2" s="1"/>
  <c r="Q669" i="2" s="1"/>
  <c r="R428" i="2"/>
  <c r="R388" i="2"/>
  <c r="Q369" i="2"/>
  <c r="R608" i="2"/>
  <c r="R650" i="2"/>
  <c r="R662" i="2" s="1"/>
  <c r="R674" i="2" s="1"/>
  <c r="Q422" i="2"/>
  <c r="Q531" i="2"/>
  <c r="Q534" i="2"/>
  <c r="Q420" i="2"/>
  <c r="R645" i="2"/>
  <c r="R657" i="2" s="1"/>
  <c r="R669" i="2" s="1"/>
  <c r="R378" i="2"/>
  <c r="Q665" i="2"/>
  <c r="Q677" i="2" s="1"/>
  <c r="Q648" i="2"/>
  <c r="Q660" i="2" s="1"/>
  <c r="Q672" i="2" s="1"/>
  <c r="Q643" i="2"/>
  <c r="R400" i="2"/>
  <c r="R486" i="2"/>
  <c r="Q374" i="2"/>
  <c r="R578" i="2"/>
  <c r="Q539" i="2"/>
  <c r="Q434" i="2"/>
  <c r="R462" i="2"/>
  <c r="Q394" i="2"/>
  <c r="Q544" i="2"/>
  <c r="Q430" i="2"/>
  <c r="R521" i="2"/>
  <c r="Q549" i="2"/>
  <c r="R380" i="2"/>
  <c r="Q525" i="2"/>
  <c r="Q611" i="2"/>
  <c r="R646" i="2"/>
  <c r="R658" i="2" s="1"/>
  <c r="R670" i="2" s="1"/>
  <c r="R392" i="2"/>
  <c r="Q474" i="2"/>
  <c r="Q596" i="2"/>
  <c r="R491" i="2"/>
  <c r="Q424" i="2"/>
  <c r="R502" i="2"/>
  <c r="R444" i="2"/>
  <c r="G664" i="2"/>
  <c r="K664" i="2" s="1"/>
  <c r="R666" i="2"/>
  <c r="R678" i="2" s="1"/>
  <c r="R525" i="2"/>
  <c r="AD664" i="2"/>
  <c r="Q373" i="2"/>
  <c r="R451" i="2"/>
  <c r="R556" i="2"/>
  <c r="R664" i="2" s="1"/>
  <c r="R676" i="2" s="1"/>
  <c r="Q551" i="2"/>
  <c r="Q386" i="2"/>
  <c r="R565" i="2"/>
  <c r="R539" i="2"/>
  <c r="R561" i="2"/>
  <c r="R430" i="2"/>
  <c r="Q571" i="2"/>
  <c r="R546" i="2"/>
  <c r="Q444" i="2"/>
  <c r="Q402" i="2"/>
  <c r="Q388" i="2"/>
  <c r="R369" i="2"/>
  <c r="R386" i="2"/>
  <c r="R478" i="2"/>
  <c r="Q565" i="2"/>
  <c r="R406" i="2"/>
  <c r="Q432" i="2"/>
  <c r="Q404" i="2"/>
  <c r="R581" i="2"/>
  <c r="R665" i="2" s="1"/>
  <c r="R677" i="2" s="1"/>
  <c r="Q561" i="2"/>
  <c r="Q482" i="2"/>
  <c r="Q627" i="2"/>
  <c r="Q414" i="2"/>
  <c r="R442" i="2"/>
  <c r="R623" i="2"/>
  <c r="R571" i="2"/>
  <c r="Q412" i="2"/>
  <c r="Q467" i="2"/>
  <c r="Q426" i="2"/>
  <c r="Q451" i="2"/>
  <c r="Q556" i="2"/>
  <c r="Q546" i="2"/>
  <c r="Q666" i="2" s="1"/>
  <c r="Q678" i="2" s="1"/>
  <c r="Q452" i="2"/>
  <c r="R402" i="2"/>
  <c r="Q651" i="2"/>
  <c r="Q650" i="2"/>
  <c r="Q662" i="2" s="1"/>
  <c r="Q674" i="2" s="1"/>
  <c r="R422" i="2"/>
  <c r="Q446" i="2"/>
  <c r="R432" i="2"/>
  <c r="R404" i="2"/>
  <c r="AD668" i="2"/>
  <c r="AD658" i="2"/>
  <c r="AD657" i="2"/>
  <c r="AD659" i="2"/>
  <c r="AD662" i="2"/>
  <c r="R482" i="2"/>
  <c r="P659" i="2"/>
  <c r="R426" i="2"/>
  <c r="Q508" i="2"/>
  <c r="Q635" i="2"/>
  <c r="R551" i="2"/>
  <c r="Q468" i="2"/>
  <c r="R518" i="2"/>
  <c r="R414" i="2"/>
  <c r="Q390" i="2"/>
  <c r="Q516" i="2"/>
  <c r="Q620" i="2"/>
  <c r="Q656" i="2" s="1"/>
  <c r="Q668" i="2" s="1"/>
  <c r="R637" i="2"/>
  <c r="R508" i="2"/>
  <c r="Q460" i="2"/>
  <c r="R643" i="2"/>
  <c r="Q486" i="2"/>
  <c r="Q500" i="2"/>
  <c r="R607" i="2"/>
  <c r="Q580" i="2"/>
  <c r="Q622" i="2"/>
  <c r="R446" i="2"/>
  <c r="Q462" i="2"/>
  <c r="R496" i="2"/>
  <c r="Q418" i="2"/>
  <c r="Q518" i="2"/>
  <c r="R549" i="2"/>
  <c r="H674" i="2"/>
  <c r="G662" i="2"/>
  <c r="K662" i="2" s="1"/>
  <c r="Q450" i="2"/>
  <c r="Q410" i="2"/>
  <c r="R516" i="2"/>
  <c r="R620" i="2"/>
  <c r="R656" i="2" s="1"/>
  <c r="R668" i="2" s="1"/>
  <c r="R454" i="2"/>
  <c r="R398" i="2"/>
  <c r="R468" i="2"/>
  <c r="Q400" i="2"/>
  <c r="R500" i="2"/>
  <c r="Q607" i="2"/>
  <c r="R418" i="2"/>
  <c r="Q521" i="2"/>
  <c r="Q380" i="2"/>
  <c r="R450" i="2"/>
  <c r="R410" i="2"/>
  <c r="R611" i="2"/>
  <c r="Q646" i="2"/>
  <c r="R390" i="2"/>
  <c r="Q475" i="2"/>
  <c r="Q371" i="2"/>
  <c r="Q661" i="2" l="1"/>
  <c r="Q673" i="2" s="1"/>
  <c r="Q663" i="2"/>
  <c r="Q675" i="2" s="1"/>
  <c r="R661" i="2"/>
  <c r="R673" i="2" s="1"/>
  <c r="Q659" i="2"/>
  <c r="Q671" i="2" s="1"/>
  <c r="Q664" i="2"/>
  <c r="Q676" i="2" s="1"/>
  <c r="R659" i="2"/>
  <c r="R671" i="2" s="1"/>
  <c r="G665" i="2"/>
  <c r="K665" i="2" s="1"/>
  <c r="Q667" i="2"/>
  <c r="S659" i="2"/>
  <c r="T659" i="2" s="1"/>
  <c r="P660" i="2"/>
  <c r="R667" i="2"/>
  <c r="Q658" i="2"/>
  <c r="Q670" i="2" s="1"/>
  <c r="O659" i="2" l="1"/>
  <c r="N659" i="2"/>
  <c r="N660" i="2"/>
  <c r="P661" i="2"/>
  <c r="S660" i="2"/>
  <c r="T660" i="2" s="1"/>
  <c r="O660" i="2"/>
  <c r="G666" i="2"/>
  <c r="K666" i="2" s="1"/>
  <c r="G667" i="2" l="1"/>
  <c r="K667" i="2" s="1"/>
  <c r="O661" i="2"/>
  <c r="N661" i="2"/>
  <c r="P662" i="2"/>
  <c r="S661" i="2"/>
  <c r="T661" i="2" s="1"/>
  <c r="N662" i="2" l="1"/>
  <c r="S662" i="2"/>
  <c r="T662" i="2" s="1"/>
  <c r="P663" i="2"/>
  <c r="O662" i="2"/>
  <c r="G668" i="2"/>
  <c r="K668" i="2" s="1"/>
  <c r="G669" i="2" l="1"/>
  <c r="K669" i="2" s="1"/>
  <c r="O663" i="2"/>
  <c r="N663" i="2"/>
  <c r="P664" i="2"/>
  <c r="S663" i="2"/>
  <c r="T663" i="2" s="1"/>
  <c r="O664" i="2" l="1"/>
  <c r="N664" i="2"/>
  <c r="P665" i="2"/>
  <c r="S664" i="2"/>
  <c r="T664" i="2" s="1"/>
  <c r="G670" i="2"/>
  <c r="K670" i="2" s="1"/>
  <c r="G671" i="2" l="1"/>
  <c r="K671" i="2" s="1"/>
  <c r="O665" i="2"/>
  <c r="N665" i="2"/>
  <c r="P666" i="2"/>
  <c r="S665" i="2"/>
  <c r="T665" i="2" s="1"/>
  <c r="S666" i="2" l="1"/>
  <c r="T666" i="2" s="1"/>
  <c r="O666" i="2"/>
  <c r="P667" i="2"/>
  <c r="N666" i="2"/>
  <c r="G672" i="2"/>
  <c r="K672" i="2" s="1"/>
  <c r="G673" i="2" l="1"/>
  <c r="K673" i="2" s="1"/>
  <c r="O667" i="2"/>
  <c r="N667" i="2"/>
  <c r="P668" i="2"/>
  <c r="S667" i="2"/>
  <c r="T667" i="2" s="1"/>
  <c r="S668" i="2" l="1"/>
  <c r="T668" i="2" s="1"/>
  <c r="P669" i="2"/>
  <c r="O668" i="2"/>
  <c r="N668" i="2"/>
  <c r="G674" i="2"/>
  <c r="K674" i="2" s="1"/>
  <c r="G675" i="2" l="1"/>
  <c r="K675" i="2" s="1"/>
  <c r="S669" i="2"/>
  <c r="T669" i="2" s="1"/>
  <c r="P670" i="2"/>
  <c r="O669" i="2"/>
  <c r="N669" i="2"/>
  <c r="S670" i="2" l="1"/>
  <c r="T670" i="2" s="1"/>
  <c r="P671" i="2"/>
  <c r="O670" i="2"/>
  <c r="N670" i="2"/>
  <c r="G676" i="2"/>
  <c r="K676" i="2" s="1"/>
  <c r="P672" i="2" l="1"/>
  <c r="S671" i="2"/>
  <c r="T671" i="2" s="1"/>
  <c r="O671" i="2"/>
  <c r="N671" i="2"/>
  <c r="G677" i="2"/>
  <c r="K677" i="2" s="1"/>
  <c r="G678" i="2" l="1"/>
  <c r="K678" i="2" s="1"/>
  <c r="O672" i="2"/>
  <c r="N672" i="2"/>
  <c r="P673" i="2"/>
  <c r="S672" i="2"/>
  <c r="T672" i="2" s="1"/>
  <c r="P674" i="2" l="1"/>
  <c r="S673" i="2"/>
  <c r="T673" i="2" s="1"/>
  <c r="O673" i="2"/>
  <c r="N673" i="2"/>
  <c r="O674" i="2" l="1"/>
  <c r="N674" i="2"/>
  <c r="P675" i="2"/>
  <c r="S674" i="2"/>
  <c r="T674" i="2" s="1"/>
  <c r="P676" i="2" l="1"/>
  <c r="S675" i="2"/>
  <c r="T675" i="2" s="1"/>
  <c r="O675" i="2"/>
  <c r="N675" i="2"/>
  <c r="O676" i="2" l="1"/>
  <c r="N676" i="2"/>
  <c r="P677" i="2"/>
  <c r="S676" i="2"/>
  <c r="T676" i="2" s="1"/>
  <c r="P678" i="2" l="1"/>
  <c r="S677" i="2"/>
  <c r="T677" i="2" s="1"/>
  <c r="O677" i="2"/>
  <c r="N677" i="2"/>
  <c r="O678" i="2" l="1"/>
  <c r="N678" i="2"/>
  <c r="S678" i="2"/>
  <c r="T678" i="2" s="1"/>
  <c r="I57" i="1" l="1"/>
  <c r="G25" i="1" a="1"/>
  <c r="H44" i="1" s="1"/>
  <c r="F14" i="1" a="1"/>
  <c r="F14" i="1" s="1"/>
  <c r="J14" i="1"/>
  <c r="F13" i="1" a="1"/>
  <c r="F13" i="1" s="1"/>
  <c r="F12" i="1" a="1"/>
  <c r="F12" i="1" s="1"/>
  <c r="AE11" i="1"/>
  <c r="F11" i="1" a="1"/>
  <c r="F11" i="1" s="1"/>
  <c r="K11" i="1" s="1"/>
  <c r="AB10" i="1"/>
  <c r="AF10" i="1" s="1"/>
  <c r="AE4" i="1"/>
  <c r="U3" i="1"/>
  <c r="H13" i="1" l="1"/>
  <c r="H14" i="1"/>
  <c r="J13" i="1"/>
  <c r="E4" i="1"/>
  <c r="E11" i="1"/>
  <c r="H12" i="1"/>
  <c r="K12" i="1" s="1"/>
  <c r="E14" i="1"/>
  <c r="E5" i="1"/>
  <c r="E6" i="1"/>
  <c r="E7" i="1"/>
  <c r="J11" i="1"/>
  <c r="E13" i="1"/>
  <c r="J12" i="1"/>
  <c r="E3" i="1"/>
  <c r="E12" i="1"/>
  <c r="G12" i="1"/>
  <c r="H35" i="1"/>
  <c r="H47" i="1"/>
  <c r="G36" i="1"/>
  <c r="I36" i="1" s="1"/>
  <c r="K5" i="1"/>
  <c r="G47" i="1"/>
  <c r="I47" i="1" s="1"/>
  <c r="G43" i="1"/>
  <c r="G39" i="1"/>
  <c r="G35" i="1"/>
  <c r="I35" i="1" s="1"/>
  <c r="G31" i="1"/>
  <c r="G27" i="1"/>
  <c r="I27" i="1" s="1"/>
  <c r="H46" i="1"/>
  <c r="H42" i="1"/>
  <c r="H38" i="1"/>
  <c r="H34" i="1"/>
  <c r="H30" i="1"/>
  <c r="H26" i="1"/>
  <c r="G37" i="1"/>
  <c r="G46" i="1"/>
  <c r="G42" i="1"/>
  <c r="I42" i="1" s="1"/>
  <c r="G38" i="1"/>
  <c r="G34" i="1"/>
  <c r="I34" i="1" s="1"/>
  <c r="G30" i="1"/>
  <c r="G26" i="1"/>
  <c r="I26" i="1" s="1"/>
  <c r="H49" i="1"/>
  <c r="H45" i="1"/>
  <c r="H41" i="1"/>
  <c r="H37" i="1"/>
  <c r="H33" i="1"/>
  <c r="H29" i="1"/>
  <c r="H25" i="1"/>
  <c r="G49" i="1"/>
  <c r="I49" i="1" s="1"/>
  <c r="I51" i="1" s="1"/>
  <c r="G45" i="1"/>
  <c r="I45" i="1" s="1"/>
  <c r="G41" i="1"/>
  <c r="G33" i="1"/>
  <c r="G29" i="1"/>
  <c r="G25" i="1"/>
  <c r="I25" i="1" s="1"/>
  <c r="G13" i="1"/>
  <c r="I13" i="1" s="1"/>
  <c r="H27" i="1"/>
  <c r="G40" i="1"/>
  <c r="H31" i="1"/>
  <c r="G32" i="1"/>
  <c r="H43" i="1"/>
  <c r="H36" i="1"/>
  <c r="G48" i="1"/>
  <c r="G28" i="1"/>
  <c r="I28" i="1" s="1"/>
  <c r="H39" i="1"/>
  <c r="H48" i="1"/>
  <c r="G14" i="1"/>
  <c r="I14" i="1" s="1"/>
  <c r="H28" i="1"/>
  <c r="H40" i="1"/>
  <c r="H32" i="1"/>
  <c r="G44" i="1"/>
  <c r="I44" i="1" s="1"/>
  <c r="K3" i="1" l="1"/>
  <c r="K7" i="1"/>
  <c r="K4" i="1"/>
  <c r="K6" i="1"/>
  <c r="K14" i="1"/>
  <c r="K13" i="1"/>
  <c r="I12" i="1"/>
  <c r="I30" i="1"/>
  <c r="I43" i="1"/>
  <c r="I32" i="1"/>
  <c r="I48" i="1"/>
  <c r="I52" i="1"/>
  <c r="I38" i="1"/>
  <c r="I29" i="1"/>
  <c r="I55" i="1" s="1"/>
  <c r="I56" i="1" s="1"/>
  <c r="I58" i="1" s="1"/>
  <c r="I39" i="1"/>
  <c r="I33" i="1"/>
  <c r="I46" i="1"/>
  <c r="I40" i="1"/>
  <c r="I41" i="1"/>
  <c r="I37" i="1"/>
  <c r="I3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<sst xmlns="http://schemas.openxmlformats.org/spreadsheetml/2006/main" count="87" uniqueCount="51">
  <si>
    <t>Corn</t>
  </si>
  <si>
    <t>CME</t>
  </si>
  <si>
    <t>Forecast</t>
  </si>
  <si>
    <t>Low</t>
  </si>
  <si>
    <t>High</t>
  </si>
  <si>
    <t>Midpoint</t>
  </si>
  <si>
    <t>Current</t>
  </si>
  <si>
    <t>Spread</t>
  </si>
  <si>
    <t>Full Carry (₵/bu.)</t>
  </si>
  <si>
    <t>Spread % of Full Carry</t>
  </si>
  <si>
    <t>Range</t>
  </si>
  <si>
    <t>Implied Corn Futures</t>
  </si>
  <si>
    <t>CME Bean/Corn Ratio</t>
  </si>
  <si>
    <t>Storage Cost Per Day</t>
  </si>
  <si>
    <t>Interest Rate</t>
  </si>
  <si>
    <t>http://www.federalreserve.gov/releases/h15/update/</t>
  </si>
  <si>
    <t>Matiff</t>
  </si>
  <si>
    <t>12-Month T-Bill</t>
  </si>
  <si>
    <t>T-Bill + 200 bps</t>
  </si>
  <si>
    <t>(€/tonne)</t>
  </si>
  <si>
    <t>Month</t>
  </si>
  <si>
    <t>Days</t>
  </si>
  <si>
    <t>Nearby Matiff Corn Futures</t>
  </si>
  <si>
    <t>Average</t>
  </si>
  <si>
    <t>Calculated days so far</t>
  </si>
  <si>
    <t>Avg price for rest of mth</t>
  </si>
  <si>
    <t>Average to date</t>
  </si>
  <si>
    <t>Sum to date</t>
  </si>
  <si>
    <t>Potential Sum</t>
  </si>
  <si>
    <t>Projected Average</t>
  </si>
  <si>
    <t>Wheat</t>
  </si>
  <si>
    <t>Average Nearby CME Futures</t>
  </si>
  <si>
    <t>US Average</t>
  </si>
  <si>
    <t>Central Illinois Basis</t>
  </si>
  <si>
    <t>Feed Outlook - Central Illinois</t>
  </si>
  <si>
    <t>Difference</t>
  </si>
  <si>
    <t>cents per pound</t>
  </si>
  <si>
    <t>Average Nearby Matiff Futures</t>
  </si>
  <si>
    <t>Matiff Premium</t>
  </si>
  <si>
    <t>High-Avg</t>
  </si>
  <si>
    <t>Low-Avg</t>
  </si>
  <si>
    <t>$/bu</t>
  </si>
  <si>
    <t>Year</t>
  </si>
  <si>
    <t>Euro</t>
  </si>
  <si>
    <t>Max</t>
  </si>
  <si>
    <t>Min</t>
  </si>
  <si>
    <t>AMS_3192</t>
  </si>
  <si>
    <t>https://www.ers.usda.gov/publications/pub-details/?pubid=99831</t>
  </si>
  <si>
    <t>Central Illinois Prices</t>
  </si>
  <si>
    <t>Nearby CME Wheat Futures</t>
  </si>
  <si>
    <t>Implied Wheat 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</si>
</sst>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mmm\-yy;@"/>
    <numFmt numFmtId="165" formatCode="0.0000"/>
    <numFmt numFmtId="166" formatCode="_-* #,##0.00_-;\-* #,##0.00_-;_-* &quot;-&quot;??_-;_-@_-"/>
    <numFmt numFmtId="167" formatCode="[$-409]d\-mmm;@"/>
    <numFmt numFmtId="168" formatCode="#,##0.0_);[Red]\(#,##0.0\)"/>
    <numFmt numFmtId="169" formatCode="0.00_);[Red]\(0.00\)"/>
    <numFmt numFmtId="170" formatCode="[$-409]mmm\ yy;@"/>
  </numFmts>
  <fonts count="25"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8"/>
      <color theme="0"/>
      <name val="Aptos Display"/>
      <family val="2"/>
    </font>
    <font>
      <b/>
      <sz val="10"/>
      <color theme="0"/>
      <name val="Aptos Display"/>
      <family val="2"/>
    </font>
    <font>
      <b/>
      <sz val="10"/>
      <color theme="0"/>
      <name val="Arial Narrow"/>
      <family val="2"/>
    </font>
    <font>
      <b/>
      <sz val="11"/>
      <color theme="0"/>
      <name val="Aptos Display"/>
      <family val="2"/>
    </font>
    <font>
      <b/>
      <sz val="18"/>
      <color rgb="FF6F0791"/>
      <name val="Aptos Display"/>
      <family val="2"/>
    </font>
    <font>
      <sz val="10"/>
      <color theme="1"/>
      <name val="Aptos Display"/>
      <family val="2"/>
    </font>
    <font>
      <b/>
      <sz val="9"/>
      <color rgb="FF6F0791"/>
      <name val="Aptos Display"/>
      <family val="2"/>
    </font>
    <font>
      <sz val="11"/>
      <color theme="1"/>
      <name val="Aptos Display"/>
      <family val="2"/>
    </font>
    <font>
      <u/>
      <sz val="10"/>
      <color theme="10"/>
      <name val="Arial Narrow"/>
      <family val="2"/>
    </font>
    <font>
      <u/>
      <sz val="10"/>
      <color theme="10"/>
      <name val="Aptos Display"/>
      <family val="2"/>
    </font>
    <font>
      <b/>
      <sz val="8"/>
      <color theme="1"/>
      <name val="Aptos Display"/>
      <family val="2"/>
    </font>
    <font>
      <sz val="11"/>
      <name val="Aptos Display"/>
      <family val="2"/>
    </font>
    <font>
      <sz val="9"/>
      <color theme="1"/>
      <name val="Aptos Display"/>
      <family val="2"/>
    </font>
    <font>
      <b/>
      <sz val="10"/>
      <color theme="1"/>
      <name val="Aptos Display"/>
      <family val="2"/>
    </font>
    <font>
      <b/>
      <sz val="9"/>
      <color theme="1"/>
      <name val="Aptos Display"/>
      <family val="2"/>
    </font>
    <font>
      <sz val="10"/>
      <name val="Aptos Display"/>
      <family val="2"/>
    </font>
    <font>
      <sz val="10"/>
      <color rgb="FF000000"/>
      <name val="Arial Unicode MS"/>
      <family val="2"/>
    </font>
    <font>
      <sz val="10"/>
      <color theme="1"/>
      <name val="Aptos Display"/>
      <family val="2"/>
    </font>
    <font>
      <b/>
      <sz val="10"/>
      <color theme="8" tint="-0.249977111117893"/>
      <name val="Aptos Display"/>
      <family val="2"/>
    </font>
    <font>
      <sz val="8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64" fontId="7" fillId="0" borderId="0" xfId="0" applyNumberFormat="1" applyFont="1"/>
    <xf numFmtId="43" fontId="7" fillId="0" borderId="0" xfId="0" applyNumberFormat="1" applyFont="1"/>
    <xf numFmtId="165" fontId="7" fillId="0" borderId="0" xfId="0" applyNumberFormat="1" applyFont="1"/>
    <xf numFmtId="9" fontId="7" fillId="0" borderId="0" xfId="2" applyFont="1"/>
    <xf numFmtId="164" fontId="9" fillId="0" borderId="0" xfId="0" applyNumberFormat="1" applyFont="1"/>
    <xf numFmtId="2" fontId="9" fillId="0" borderId="0" xfId="0" applyNumberFormat="1" applyFont="1" applyAlignment="1">
      <alignment horizontal="center"/>
    </xf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right"/>
    </xf>
    <xf numFmtId="166" fontId="7" fillId="0" borderId="0" xfId="0" applyNumberFormat="1" applyFont="1"/>
    <xf numFmtId="9" fontId="11" fillId="0" borderId="0" xfId="3" applyNumberFormat="1" applyFont="1" applyAlignment="1" applyProtection="1"/>
    <xf numFmtId="14" fontId="7" fillId="0" borderId="0" xfId="0" applyNumberFormat="1" applyFont="1"/>
    <xf numFmtId="10" fontId="7" fillId="0" borderId="0" xfId="2" applyNumberFormat="1" applyFont="1"/>
    <xf numFmtId="38" fontId="12" fillId="0" borderId="0" xfId="0" applyNumberFormat="1" applyFont="1"/>
    <xf numFmtId="40" fontId="7" fillId="0" borderId="0" xfId="0" applyNumberFormat="1" applyFont="1"/>
    <xf numFmtId="164" fontId="12" fillId="0" borderId="0" xfId="0" applyNumberFormat="1" applyFont="1" applyAlignment="1">
      <alignment horizontal="right"/>
    </xf>
    <xf numFmtId="0" fontId="9" fillId="0" borderId="0" xfId="0" applyFont="1"/>
    <xf numFmtId="0" fontId="9" fillId="0" borderId="0" xfId="0" quotePrefix="1" applyFont="1" applyAlignment="1">
      <alignment horizontal="left"/>
    </xf>
    <xf numFmtId="167" fontId="13" fillId="0" borderId="0" xfId="1" applyNumberFormat="1" applyFont="1"/>
    <xf numFmtId="43" fontId="9" fillId="0" borderId="0" xfId="1" applyFont="1"/>
    <xf numFmtId="167" fontId="13" fillId="0" borderId="0" xfId="0" applyNumberFormat="1" applyFont="1"/>
    <xf numFmtId="43" fontId="9" fillId="0" borderId="0" xfId="1" applyFont="1" applyAlignment="1">
      <alignment horizontal="right"/>
    </xf>
    <xf numFmtId="168" fontId="9" fillId="0" borderId="0" xfId="1" applyNumberFormat="1" applyFont="1"/>
    <xf numFmtId="40" fontId="9" fillId="0" borderId="0" xfId="1" applyNumberFormat="1" applyFont="1"/>
    <xf numFmtId="43" fontId="9" fillId="0" borderId="0" xfId="0" applyNumberFormat="1" applyFont="1"/>
    <xf numFmtId="0" fontId="9" fillId="0" borderId="0" xfId="0" applyFont="1" applyAlignment="1">
      <alignment horizontal="left"/>
    </xf>
    <xf numFmtId="0" fontId="9" fillId="3" borderId="0" xfId="0" applyFont="1" applyFill="1"/>
    <xf numFmtId="43" fontId="14" fillId="0" borderId="0" xfId="0" applyNumberFormat="1" applyFont="1"/>
    <xf numFmtId="17" fontId="7" fillId="0" borderId="0" xfId="0" applyNumberFormat="1" applyFont="1"/>
    <xf numFmtId="17" fontId="15" fillId="0" borderId="0" xfId="0" applyNumberFormat="1" applyFont="1" applyAlignment="1">
      <alignment horizontal="centerContinuous"/>
    </xf>
    <xf numFmtId="43" fontId="15" fillId="0" borderId="0" xfId="1" applyFont="1" applyAlignment="1">
      <alignment horizontal="centerContinuous"/>
    </xf>
    <xf numFmtId="43" fontId="7" fillId="0" borderId="0" xfId="1" applyFont="1"/>
    <xf numFmtId="43" fontId="15" fillId="0" borderId="0" xfId="1" applyFont="1" applyAlignment="1">
      <alignment horizontal="center" vertical="center" wrapText="1"/>
    </xf>
    <xf numFmtId="43" fontId="15" fillId="0" borderId="0" xfId="1" applyFont="1" applyAlignment="1">
      <alignment horizontal="center"/>
    </xf>
    <xf numFmtId="170" fontId="7" fillId="0" borderId="0" xfId="0" applyNumberFormat="1" applyFont="1"/>
    <xf numFmtId="38" fontId="7" fillId="0" borderId="0" xfId="0" applyNumberFormat="1" applyFont="1"/>
    <xf numFmtId="169" fontId="7" fillId="0" borderId="0" xfId="0" applyNumberFormat="1" applyFont="1"/>
    <xf numFmtId="4" fontId="7" fillId="0" borderId="0" xfId="0" applyNumberFormat="1" applyFont="1"/>
    <xf numFmtId="2" fontId="7" fillId="0" borderId="0" xfId="0" applyNumberFormat="1" applyFont="1"/>
    <xf numFmtId="40" fontId="17" fillId="0" borderId="0" xfId="0" applyNumberFormat="1" applyFont="1"/>
    <xf numFmtId="40" fontId="15" fillId="0" borderId="0" xfId="0" applyNumberFormat="1" applyFont="1"/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0" fontId="19" fillId="0" borderId="0" xfId="0" applyNumberFormat="1" applyFont="1"/>
    <xf numFmtId="40" fontId="20" fillId="0" borderId="0" xfId="0" applyNumberFormat="1" applyFont="1"/>
    <xf numFmtId="0" fontId="11" fillId="0" borderId="0" xfId="3" applyFont="1"/>
    <xf numFmtId="4" fontId="22" fillId="0" borderId="0" xfId="0" applyNumberFormat="1" applyFont="1"/>
    <xf numFmtId="2" fontId="22" fillId="0" borderId="0" xfId="0" applyNumberFormat="1" applyFont="1"/>
    <xf numFmtId="4" fontId="23" fillId="4" borderId="0" xfId="0" applyNumberFormat="1" applyFont="1" applyFill="1"/>
    <xf numFmtId="2" fontId="23" fillId="4" borderId="0" xfId="0" applyNumberFormat="1" applyFont="1" applyFill="1"/>
    <xf numFmtId="40" fontId="24" fillId="4" borderId="0" xfId="0" applyNumberFormat="1" applyFont="1" applyFill="1"/>
    <xf numFmtId="4" fontId="24" fillId="4" borderId="0" xfId="0" applyNumberFormat="1" applyFont="1" applyFill="1"/>
    <xf numFmtId="0" fontId="7" fillId="0" borderId="0" xfId="0" applyFont="1" applyAlignment="1">
      <alignment horizontal="center" vertical="center" wrapText="1"/>
    </xf>
    <xf numFmtId="43" fontId="15" fillId="0" borderId="0" xfId="1" applyFont="1" applyAlignment="1">
      <alignment horizontal="center" vertical="center" wrapText="1"/>
    </xf>
    <xf numFmtId="169" fontId="15" fillId="0" borderId="0" xfId="0" applyNumberFormat="1" applyFont="1" applyAlignment="1">
      <alignment horizontal="center" wrapText="1"/>
    </xf>
    <xf numFmtId="43" fontId="16" fillId="0" borderId="0" xfId="1" applyFont="1" applyAlignment="1">
      <alignment horizontal="center"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2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000" b="1"/>
              <a:t>CME Wheat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84780356402819"/>
          <c:y val="0.1859173971178131"/>
          <c:w val="0.91581700521379383"/>
          <c:h val="0.56483335809438928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Forecasts!$B$2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22225">
                <a:solidFill>
                  <a:srgbClr val="6F0791"/>
                </a:solidFill>
              </a:ln>
              <a:effectLst/>
            </c:spPr>
          </c:marker>
          <c:cat>
            <c:numRef>
              <c:f>Forecasts!$A$3:$A$7</c:f>
              <c:numCache>
                <c:formatCode>[$-409]mmm\-yy;@</c:formatCode>
                <c:ptCount val="5"/>
                <c:pt idx="0">
                  <c:v>45992</c:v>
                </c:pt>
                <c:pt idx="1">
                  <c:v>46082</c:v>
                </c:pt>
                <c:pt idx="2">
                  <c:v>46143</c:v>
                </c:pt>
                <c:pt idx="3">
                  <c:v>46204</c:v>
                </c:pt>
                <c:pt idx="4">
                  <c:v>46266</c:v>
                </c:pt>
              </c:numCache>
            </c:numRef>
          </c:cat>
          <c:val>
            <c:numRef>
              <c:f>Forecasts!$B$3:$B$7</c:f>
              <c:numCache>
                <c:formatCode>_(* #,##0.00_);_(* \(#,##0.00\);_(* "-"??_);_(@_)</c:formatCode>
                <c:ptCount val="5"/>
                <c:pt idx="0">
                  <c:v>5.310833333333334</c:v>
                </c:pt>
                <c:pt idx="1">
                  <c:v>5.3666666666666671</c:v>
                </c:pt>
                <c:pt idx="2">
                  <c:v>5.45</c:v>
                </c:pt>
                <c:pt idx="3">
                  <c:v>5.4749999999999996</c:v>
                </c:pt>
                <c:pt idx="4">
                  <c:v>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8E-4148-AFBC-D08886D570E2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Forecasts!$A$3:$A$7</c:f>
              <c:numCache>
                <c:formatCode>[$-409]mmm\-yy;@</c:formatCode>
                <c:ptCount val="5"/>
                <c:pt idx="0">
                  <c:v>45992</c:v>
                </c:pt>
                <c:pt idx="1">
                  <c:v>46082</c:v>
                </c:pt>
                <c:pt idx="2">
                  <c:v>46143</c:v>
                </c:pt>
                <c:pt idx="3">
                  <c:v>46204</c:v>
                </c:pt>
                <c:pt idx="4">
                  <c:v>46266</c:v>
                </c:pt>
              </c:numCache>
            </c:numRef>
          </c:cat>
          <c:val>
            <c:numRef>
              <c:f>Forecasts!$C$3:$C$7</c:f>
              <c:numCache>
                <c:formatCode>_(* #,##0.00_);_(* \(#,##0.00\);_(* "-"??_);_(@_)</c:formatCode>
                <c:ptCount val="5"/>
                <c:pt idx="0">
                  <c:v>5.03</c:v>
                </c:pt>
                <c:pt idx="1">
                  <c:v>5</c:v>
                </c:pt>
                <c:pt idx="2">
                  <c:v>5.18</c:v>
                </c:pt>
                <c:pt idx="3">
                  <c:v>5.25</c:v>
                </c:pt>
                <c:pt idx="4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8E-4148-AFBC-D08886D570E2}"/>
            </c:ext>
          </c:extLst>
        </c:ser>
        <c:ser>
          <c:idx val="2"/>
          <c:order val="2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Forecasts!$A$3:$A$7</c:f>
              <c:numCache>
                <c:formatCode>[$-409]mmm\-yy;@</c:formatCode>
                <c:ptCount val="5"/>
                <c:pt idx="0">
                  <c:v>45992</c:v>
                </c:pt>
                <c:pt idx="1">
                  <c:v>46082</c:v>
                </c:pt>
                <c:pt idx="2">
                  <c:v>46143</c:v>
                </c:pt>
                <c:pt idx="3">
                  <c:v>46204</c:v>
                </c:pt>
                <c:pt idx="4">
                  <c:v>46266</c:v>
                </c:pt>
              </c:numCache>
            </c:numRef>
          </c:cat>
          <c:val>
            <c:numRef>
              <c:f>Forecasts!$D$3:$D$7</c:f>
              <c:numCache>
                <c:formatCode>_(* #,##0.00_);_(* \(#,##0.00\);_(* "-"??_);_(@_)</c:formatCode>
                <c:ptCount val="5"/>
                <c:pt idx="0">
                  <c:v>5.67</c:v>
                </c:pt>
                <c:pt idx="1">
                  <c:v>5.71</c:v>
                </c:pt>
                <c:pt idx="2">
                  <c:v>5.71</c:v>
                </c:pt>
                <c:pt idx="3">
                  <c:v>5.7</c:v>
                </c:pt>
                <c:pt idx="4">
                  <c:v>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8E-4148-AFBC-D08886D570E2}"/>
            </c:ext>
          </c:extLst>
        </c:ser>
        <c:ser>
          <c:idx val="3"/>
          <c:order val="3"/>
          <c:tx>
            <c:strRef>
              <c:f>Forecasts!$F$2</c:f>
              <c:strCache>
                <c:ptCount val="1"/>
                <c:pt idx="0">
                  <c:v>Current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22225">
                <a:solidFill>
                  <a:schemeClr val="tx1"/>
                </a:solidFill>
              </a:ln>
              <a:effectLst/>
            </c:spPr>
          </c:marker>
          <c:cat>
            <c:numRef>
              <c:f>Forecasts!$A$3:$A$7</c:f>
              <c:numCache>
                <c:formatCode>[$-409]mmm\-yy;@</c:formatCode>
                <c:ptCount val="5"/>
                <c:pt idx="0">
                  <c:v>45992</c:v>
                </c:pt>
                <c:pt idx="1">
                  <c:v>46082</c:v>
                </c:pt>
                <c:pt idx="2">
                  <c:v>46143</c:v>
                </c:pt>
                <c:pt idx="3">
                  <c:v>46204</c:v>
                </c:pt>
                <c:pt idx="4">
                  <c:v>46266</c:v>
                </c:pt>
              </c:numCache>
            </c:numRef>
          </c:cat>
          <c:val>
            <c:numRef>
              <c:f>Forecasts!$F$3:$F$7</c:f>
              <c:numCache>
                <c:formatCode>_(* #,##0.00_);_(* \(#,##0.00\);_(* "-"??_);_(@_)</c:formatCode>
                <c:ptCount val="5"/>
                <c:pt idx="0">
                  <c:v>5.3125</c:v>
                </c:pt>
                <c:pt idx="1">
                  <c:v>5.2949999999999999</c:v>
                </c:pt>
                <c:pt idx="2">
                  <c:v>5.3775000000000004</c:v>
                </c:pt>
                <c:pt idx="3">
                  <c:v>5.46</c:v>
                </c:pt>
                <c:pt idx="4">
                  <c:v>5.585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8E-4148-AFBC-D08886D570E2}"/>
            </c:ext>
          </c:extLst>
        </c:ser>
        <c:ser>
          <c:idx val="4"/>
          <c:order val="4"/>
          <c:tx>
            <c:strRef>
              <c:f>Forecasts!$K$2</c:f>
              <c:strCache>
                <c:ptCount val="1"/>
                <c:pt idx="0">
                  <c:v>Implied Wheat Futures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  <a:effectLst/>
            </c:spPr>
          </c:marker>
          <c:cat>
            <c:numRef>
              <c:f>Forecasts!$A$3:$A$7</c:f>
              <c:numCache>
                <c:formatCode>[$-409]mmm\-yy;@</c:formatCode>
                <c:ptCount val="5"/>
                <c:pt idx="0">
                  <c:v>45992</c:v>
                </c:pt>
                <c:pt idx="1">
                  <c:v>46082</c:v>
                </c:pt>
                <c:pt idx="2">
                  <c:v>46143</c:v>
                </c:pt>
                <c:pt idx="3">
                  <c:v>46204</c:v>
                </c:pt>
                <c:pt idx="4">
                  <c:v>46266</c:v>
                </c:pt>
              </c:numCache>
            </c:numRef>
          </c:cat>
          <c:val>
            <c:numRef>
              <c:f>Forecasts!$K$3:$K$7</c:f>
              <c:numCache>
                <c:formatCode>_(* #,##0.00_);_(* \(#,##0.00\);_(* "-"??_);_(@_)</c:formatCode>
                <c:ptCount val="5"/>
                <c:pt idx="0">
                  <c:v>5.3125</c:v>
                </c:pt>
                <c:pt idx="1">
                  <c:v>4.9970060639269409</c:v>
                </c:pt>
                <c:pt idx="2">
                  <c:v>4.8771966940639278</c:v>
                </c:pt>
                <c:pt idx="3">
                  <c:v>4.757382694063927</c:v>
                </c:pt>
                <c:pt idx="4">
                  <c:v>4.6768288858447491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8E-4148-AFBC-D08886D57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099568"/>
        <c:axId val="722090056"/>
      </c:lineChart>
      <c:dateAx>
        <c:axId val="72209956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22090056"/>
        <c:crosses val="autoZero"/>
        <c:auto val="1"/>
        <c:lblOffset val="100"/>
        <c:baseTimeUnit val="months"/>
      </c:dateAx>
      <c:valAx>
        <c:axId val="722090056"/>
        <c:scaling>
          <c:orientation val="minMax"/>
          <c:max val="6.5"/>
          <c:min val="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22099568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5303637405036602"/>
          <c:y val="0.20914376269004115"/>
          <c:w val="0.81649347285536678"/>
          <c:h val="0.12513296686970732"/>
        </c:manualLayout>
      </c:layout>
      <c:overlay val="0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000" b="1"/>
              <a:t>Matiff Wheat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994879704412463E-2"/>
          <c:y val="0.19535126033774078"/>
          <c:w val="0.91581700521379383"/>
          <c:h val="0.52401699787526546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Forecasts!$B$2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22225">
                <a:solidFill>
                  <a:srgbClr val="6F0791"/>
                </a:solidFill>
              </a:ln>
              <a:effectLst/>
            </c:spPr>
          </c:marker>
          <c:cat>
            <c:numRef>
              <c:f>Forecasts!$A$11:$A$14</c:f>
              <c:numCache>
                <c:formatCode>[$-409]mmm\-yy;@</c:formatCode>
                <c:ptCount val="4"/>
                <c:pt idx="0">
                  <c:v>45809</c:v>
                </c:pt>
                <c:pt idx="1">
                  <c:v>45870</c:v>
                </c:pt>
                <c:pt idx="2">
                  <c:v>45962</c:v>
                </c:pt>
                <c:pt idx="3">
                  <c:v>46082</c:v>
                </c:pt>
              </c:numCache>
            </c:numRef>
          </c:cat>
          <c:val>
            <c:numRef>
              <c:f>Forecasts!$B$11:$B$14</c:f>
              <c:numCache>
                <c:formatCode>#,##0.00_);[Red]\(#,##0.00\)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9-9A43-974E-5FDD8535250D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Forecasts!$A$11:$A$14</c:f>
              <c:numCache>
                <c:formatCode>[$-409]mmm\-yy;@</c:formatCode>
                <c:ptCount val="4"/>
                <c:pt idx="0">
                  <c:v>45809</c:v>
                </c:pt>
                <c:pt idx="1">
                  <c:v>45870</c:v>
                </c:pt>
                <c:pt idx="2">
                  <c:v>45962</c:v>
                </c:pt>
                <c:pt idx="3">
                  <c:v>46082</c:v>
                </c:pt>
              </c:numCache>
            </c:numRef>
          </c:cat>
          <c:val>
            <c:numRef>
              <c:f>Forecasts!$C$11:$C$14</c:f>
              <c:numCache>
                <c:formatCode>#,##0.00_);[Red]\(#,##0.00\)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9-9A43-974E-5FDD8535250D}"/>
            </c:ext>
          </c:extLst>
        </c:ser>
        <c:ser>
          <c:idx val="2"/>
          <c:order val="2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Forecasts!$A$11:$A$14</c:f>
              <c:numCache>
                <c:formatCode>[$-409]mmm\-yy;@</c:formatCode>
                <c:ptCount val="4"/>
                <c:pt idx="0">
                  <c:v>45809</c:v>
                </c:pt>
                <c:pt idx="1">
                  <c:v>45870</c:v>
                </c:pt>
                <c:pt idx="2">
                  <c:v>45962</c:v>
                </c:pt>
                <c:pt idx="3">
                  <c:v>46082</c:v>
                </c:pt>
              </c:numCache>
            </c:numRef>
          </c:cat>
          <c:val>
            <c:numRef>
              <c:f>Forecasts!$D$11:$D$14</c:f>
              <c:numCache>
                <c:formatCode>#,##0.00_);[Red]\(#,##0.00\)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9-9A43-974E-5FDD8535250D}"/>
            </c:ext>
          </c:extLst>
        </c:ser>
        <c:ser>
          <c:idx val="3"/>
          <c:order val="3"/>
          <c:tx>
            <c:strRef>
              <c:f>Forecasts!$F$2</c:f>
              <c:strCache>
                <c:ptCount val="1"/>
                <c:pt idx="0">
                  <c:v>Current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22225">
                <a:solidFill>
                  <a:schemeClr val="tx1"/>
                </a:solidFill>
              </a:ln>
              <a:effectLst/>
            </c:spPr>
          </c:marker>
          <c:cat>
            <c:numRef>
              <c:f>Forecasts!$A$11:$A$14</c:f>
              <c:numCache>
                <c:formatCode>[$-409]mmm\-yy;@</c:formatCode>
                <c:ptCount val="4"/>
                <c:pt idx="0">
                  <c:v>45809</c:v>
                </c:pt>
                <c:pt idx="1">
                  <c:v>45870</c:v>
                </c:pt>
                <c:pt idx="2">
                  <c:v>45962</c:v>
                </c:pt>
                <c:pt idx="3">
                  <c:v>46082</c:v>
                </c:pt>
              </c:numCache>
            </c:numRef>
          </c:cat>
          <c:val>
            <c:numRef>
              <c:f>Forecasts!$F$11:$F$14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99-9A43-974E-5FDD8535250D}"/>
            </c:ext>
          </c:extLst>
        </c:ser>
        <c:ser>
          <c:idx val="4"/>
          <c:order val="4"/>
          <c:tx>
            <c:strRef>
              <c:f>Forecasts!$K$2</c:f>
              <c:strCache>
                <c:ptCount val="1"/>
                <c:pt idx="0">
                  <c:v>Implied Wheat Futures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  <a:effectLst/>
            </c:spPr>
          </c:marker>
          <c:cat>
            <c:numRef>
              <c:f>Forecasts!$A$11:$A$14</c:f>
              <c:numCache>
                <c:formatCode>[$-409]mmm\-yy;@</c:formatCode>
                <c:ptCount val="4"/>
                <c:pt idx="0">
                  <c:v>45809</c:v>
                </c:pt>
                <c:pt idx="1">
                  <c:v>45870</c:v>
                </c:pt>
                <c:pt idx="2">
                  <c:v>45962</c:v>
                </c:pt>
                <c:pt idx="3">
                  <c:v>46082</c:v>
                </c:pt>
              </c:numCache>
            </c:numRef>
          </c:cat>
          <c:val>
            <c:numRef>
              <c:f>Forecasts!$K$11:$K$14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99-9A43-974E-5FDD85352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099568"/>
        <c:axId val="722090056"/>
      </c:lineChart>
      <c:dateAx>
        <c:axId val="72209956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22090056"/>
        <c:crosses val="autoZero"/>
        <c:auto val="1"/>
        <c:lblOffset val="100"/>
        <c:baseTimeUnit val="months"/>
      </c:dateAx>
      <c:valAx>
        <c:axId val="722090056"/>
        <c:scaling>
          <c:orientation val="minMax"/>
          <c:min val="17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22099568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2745683767946273"/>
          <c:y val="0.93476743978431265"/>
          <c:w val="0.79546819237523381"/>
          <c:h val="6.3812212152726186E-2"/>
        </c:manualLayout>
      </c:layout>
      <c:overlay val="0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1</xdr:row>
      <xdr:rowOff>57150</xdr:rowOff>
    </xdr:from>
    <xdr:to>
      <xdr:col>18</xdr:col>
      <xdr:colOff>266700</xdr:colOff>
      <xdr:row>14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3889C-80E4-B248-B815-54DBAF1A7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14</xdr:row>
      <xdr:rowOff>123825</xdr:rowOff>
    </xdr:from>
    <xdr:to>
      <xdr:col>18</xdr:col>
      <xdr:colOff>276225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F8DB4D-9C3D-A44D-9198-317A34490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HISTORY">
    <ddeItems>
      <ddeItem name="@ch5[INTERVAL:DAILY,COMPRESSION:1,SORT:ASC,NDATE:1/10/2024,FDATE:1/11/2025,VERSION:1]?DATE,CLOSE" advise="1"/>
      <ddeItem name="CAm25[INTERVAL:DAILY,COMPRESSION:1,SORT:ASC,SPAN:25]?DATE,CLOSE" advise="1"/>
      <ddeItem name="StdDocumentName" ole="1" advise="1"/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QUOTE">
    <ddeItems>
      <ddeItem name="cah6?Settle" advise="1"/>
      <ddeItem name="cam5?Last" advise="1"/>
      <ddeItem name="caq5?Settle" advise="1"/>
      <ddeItem name="cax5?Settle" advise="1"/>
      <ddeItem name="StdDocumentName" ole="1" advise="1"/>
    </ddeItems>
  </ddeLin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#REF!</fb>
    <v>10</v>
    <v>38</v>
  </rv>
  <rv s="1">
    <v>10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ass.usda.gov/Charts_and_Maps/graphics/data/pricecn.txt" TargetMode="External"/><Relationship Id="rId1" Type="http://schemas.openxmlformats.org/officeDocument/2006/relationships/hyperlink" Target="https://www.ers.usda.gov/publications/pub-details/?pubid=9983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federalreserve.gov/releases/h15/upda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1756-A2E5-5740-A342-C51BE75B2581}">
  <dimension ref="A1:AI737"/>
  <sheetViews>
    <sheetView zoomScale="120" zoomScaleNormal="120" workbookViewId="0">
      <pane xSplit="1" ySplit="2" topLeftCell="B87" activePane="bottomRight" state="frozen"/>
      <selection activeCell="U16" sqref="U16"/>
      <selection pane="topRight" activeCell="U16" sqref="U16"/>
      <selection pane="bottomLeft" activeCell="U16" sqref="U16"/>
      <selection pane="bottomRight" activeCell="B92" sqref="B92"/>
    </sheetView>
  </sheetViews>
  <sheetFormatPr defaultColWidth="9.33203125" defaultRowHeight="13.5"/>
  <cols>
    <col min="1" max="8" width="9.33203125" style="8" bestFit="1" customWidth="1"/>
    <col min="9" max="9" width="9.33203125" style="46" bestFit="1" customWidth="1"/>
    <col min="10" max="10" width="10.1640625" style="8" customWidth="1"/>
    <col min="11" max="11" width="9.33203125" style="8" bestFit="1" customWidth="1"/>
    <col min="12" max="18" width="9.33203125" style="8" customWidth="1"/>
    <col min="19" max="23" width="9.33203125" style="8"/>
    <col min="24" max="24" width="12.33203125" style="8" bestFit="1" customWidth="1"/>
    <col min="25" max="27" width="9.33203125" style="8" bestFit="1" customWidth="1"/>
    <col min="28" max="28" width="9.33203125" style="8"/>
    <col min="29" max="29" width="11.83203125" style="8" bestFit="1" customWidth="1"/>
    <col min="30" max="35" width="9.33203125" style="8" bestFit="1" customWidth="1"/>
    <col min="36" max="16384" width="9.33203125" style="8"/>
  </cols>
  <sheetData>
    <row r="1" spans="1:23" ht="51" customHeight="1">
      <c r="A1" s="38"/>
      <c r="B1" s="39" t="s">
        <v>31</v>
      </c>
      <c r="C1" s="40"/>
      <c r="D1" s="40"/>
      <c r="E1" s="41"/>
      <c r="G1" s="63" t="s">
        <v>32</v>
      </c>
      <c r="H1" s="63" t="s">
        <v>33</v>
      </c>
      <c r="I1" s="64" t="s">
        <v>34</v>
      </c>
      <c r="J1" s="65" t="s">
        <v>35</v>
      </c>
      <c r="K1" s="63" t="s">
        <v>36</v>
      </c>
      <c r="L1" s="42"/>
      <c r="M1" s="38"/>
      <c r="N1" s="39" t="s">
        <v>37</v>
      </c>
      <c r="O1" s="40"/>
      <c r="P1" s="40"/>
      <c r="Q1" s="41"/>
      <c r="T1" s="62" t="s">
        <v>38</v>
      </c>
    </row>
    <row r="2" spans="1:23">
      <c r="A2" s="38" t="s">
        <v>20</v>
      </c>
      <c r="B2" s="43" t="s">
        <v>4</v>
      </c>
      <c r="C2" s="43" t="s">
        <v>3</v>
      </c>
      <c r="D2" s="43" t="s">
        <v>23</v>
      </c>
      <c r="E2" s="43" t="s">
        <v>39</v>
      </c>
      <c r="F2" s="43" t="s">
        <v>40</v>
      </c>
      <c r="G2" s="63"/>
      <c r="H2" s="63"/>
      <c r="I2" s="64"/>
      <c r="J2" s="65"/>
      <c r="K2" s="63"/>
      <c r="L2" s="42"/>
      <c r="M2" s="38" t="s">
        <v>20</v>
      </c>
      <c r="N2" s="43" t="s">
        <v>4</v>
      </c>
      <c r="O2" s="43" t="s">
        <v>3</v>
      </c>
      <c r="P2" s="43" t="s">
        <v>23</v>
      </c>
      <c r="Q2" s="43" t="s">
        <v>39</v>
      </c>
      <c r="R2" s="43" t="s">
        <v>40</v>
      </c>
      <c r="S2" s="8" t="s">
        <v>41</v>
      </c>
      <c r="T2" s="62"/>
      <c r="U2" s="8" t="s">
        <v>20</v>
      </c>
      <c r="V2" s="8" t="s">
        <v>42</v>
      </c>
      <c r="W2" s="8" t="s">
        <v>43</v>
      </c>
    </row>
    <row r="3" spans="1:23">
      <c r="A3" s="44">
        <v>43252</v>
      </c>
      <c r="B3" s="24">
        <v>3.915</v>
      </c>
      <c r="C3" s="24">
        <v>3.45</v>
      </c>
      <c r="D3" s="24">
        <v>3.6486904761904757</v>
      </c>
      <c r="E3" s="24">
        <f>B3-D3</f>
        <v>0.26630952380952433</v>
      </c>
      <c r="F3" s="24">
        <f>C3-D3</f>
        <v>-0.19869047619047553</v>
      </c>
      <c r="G3" s="45"/>
      <c r="M3" s="44">
        <f t="shared" ref="M3:M66" si="0">A3</f>
        <v>43252</v>
      </c>
      <c r="U3" s="8">
        <f t="shared" ref="U3:U66" si="1">MONTH(M3)</f>
        <v>6</v>
      </c>
      <c r="V3" s="8">
        <f t="shared" ref="V3:V66" si="2">YEAR(M3)</f>
        <v>2018</v>
      </c>
    </row>
    <row r="4" spans="1:23">
      <c r="A4" s="44">
        <v>43282</v>
      </c>
      <c r="B4" s="24">
        <v>3.7225000000000001</v>
      </c>
      <c r="C4" s="24">
        <v>3.4</v>
      </c>
      <c r="D4" s="24">
        <v>3.5302380952380954</v>
      </c>
      <c r="E4" s="24">
        <f t="shared" ref="E4" si="3">B4-D4</f>
        <v>0.19226190476190474</v>
      </c>
      <c r="F4" s="24">
        <f t="shared" ref="F4" si="4">C4-D4</f>
        <v>-0.13023809523809549</v>
      </c>
      <c r="G4" s="45"/>
      <c r="M4" s="44">
        <f t="shared" si="0"/>
        <v>43282</v>
      </c>
      <c r="U4" s="8">
        <f t="shared" si="1"/>
        <v>7</v>
      </c>
      <c r="V4" s="8">
        <f t="shared" si="2"/>
        <v>2018</v>
      </c>
    </row>
    <row r="5" spans="1:23">
      <c r="A5" s="44">
        <v>43313</v>
      </c>
      <c r="B5" s="24">
        <v>3.7124999999999999</v>
      </c>
      <c r="C5" s="24">
        <v>3.41</v>
      </c>
      <c r="D5" s="24">
        <v>3.5833695652173914</v>
      </c>
      <c r="E5" s="24">
        <f t="shared" ref="E5" si="5">B5-D5</f>
        <v>0.12913043478260855</v>
      </c>
      <c r="F5" s="24">
        <f t="shared" ref="F5" si="6">C5-D5</f>
        <v>-0.17336956521739122</v>
      </c>
      <c r="G5" s="45"/>
      <c r="M5" s="44">
        <f t="shared" si="0"/>
        <v>43313</v>
      </c>
      <c r="U5" s="8">
        <f t="shared" si="1"/>
        <v>8</v>
      </c>
      <c r="V5" s="8">
        <f t="shared" si="2"/>
        <v>2018</v>
      </c>
    </row>
    <row r="6" spans="1:23">
      <c r="A6" s="44">
        <v>43344</v>
      </c>
      <c r="B6" s="24">
        <v>3.6825000000000001</v>
      </c>
      <c r="C6" s="24">
        <v>3.4325000000000001</v>
      </c>
      <c r="D6" s="24">
        <v>3.5844736842105265</v>
      </c>
      <c r="E6" s="24">
        <f t="shared" ref="E6:E10" si="7">B6-D6</f>
        <v>9.8026315789473628E-2</v>
      </c>
      <c r="F6" s="24">
        <f t="shared" ref="F6:F10" si="8">C6-D6</f>
        <v>-0.15197368421052637</v>
      </c>
      <c r="G6" s="45"/>
      <c r="M6" s="44">
        <f t="shared" si="0"/>
        <v>43344</v>
      </c>
      <c r="U6" s="8">
        <f t="shared" si="1"/>
        <v>9</v>
      </c>
      <c r="V6" s="8">
        <f t="shared" si="2"/>
        <v>2018</v>
      </c>
    </row>
    <row r="7" spans="1:23">
      <c r="A7" s="44">
        <v>43374</v>
      </c>
      <c r="B7" s="24">
        <v>3.7825000000000002</v>
      </c>
      <c r="C7" s="24">
        <v>3.61</v>
      </c>
      <c r="D7" s="24">
        <v>3.6815217391304351</v>
      </c>
      <c r="E7" s="24">
        <f t="shared" si="7"/>
        <v>0.10097826086956507</v>
      </c>
      <c r="F7" s="24">
        <f t="shared" si="8"/>
        <v>-7.1521739130435247E-2</v>
      </c>
      <c r="G7" s="45"/>
      <c r="M7" s="44">
        <f t="shared" si="0"/>
        <v>43374</v>
      </c>
      <c r="U7" s="8">
        <f t="shared" si="1"/>
        <v>10</v>
      </c>
      <c r="V7" s="8">
        <f t="shared" si="2"/>
        <v>2018</v>
      </c>
    </row>
    <row r="8" spans="1:23">
      <c r="A8" s="44">
        <v>43405</v>
      </c>
      <c r="B8" s="24">
        <v>3.74</v>
      </c>
      <c r="C8" s="24">
        <v>3.3624999999999998</v>
      </c>
      <c r="D8" s="24">
        <v>3.6160714285714284</v>
      </c>
      <c r="E8" s="24">
        <f t="shared" si="7"/>
        <v>0.12392857142857183</v>
      </c>
      <c r="F8" s="24">
        <f t="shared" si="8"/>
        <v>-0.25357142857142856</v>
      </c>
      <c r="G8" s="45"/>
      <c r="M8" s="44">
        <f t="shared" si="0"/>
        <v>43405</v>
      </c>
      <c r="U8" s="8">
        <f t="shared" si="1"/>
        <v>11</v>
      </c>
      <c r="V8" s="8">
        <f t="shared" si="2"/>
        <v>2018</v>
      </c>
    </row>
    <row r="9" spans="1:23">
      <c r="A9" s="44">
        <v>43435</v>
      </c>
      <c r="B9" s="24">
        <v>3.855</v>
      </c>
      <c r="C9" s="24">
        <v>3.7324999999999999</v>
      </c>
      <c r="D9" s="24">
        <v>3.8116250000000003</v>
      </c>
      <c r="E9" s="24">
        <f t="shared" si="7"/>
        <v>4.3374999999999719E-2</v>
      </c>
      <c r="F9" s="24">
        <f t="shared" si="8"/>
        <v>-7.9125000000000334E-2</v>
      </c>
      <c r="G9" s="45"/>
      <c r="M9" s="44">
        <f t="shared" si="0"/>
        <v>43435</v>
      </c>
      <c r="U9" s="8">
        <f t="shared" si="1"/>
        <v>12</v>
      </c>
      <c r="V9" s="8">
        <f t="shared" si="2"/>
        <v>2018</v>
      </c>
    </row>
    <row r="10" spans="1:23">
      <c r="A10" s="44">
        <v>43466</v>
      </c>
      <c r="B10" s="24">
        <v>3.83</v>
      </c>
      <c r="C10" s="24">
        <v>3.7124999999999999</v>
      </c>
      <c r="D10" s="24">
        <v>3.7869047619047622</v>
      </c>
      <c r="E10" s="24">
        <f t="shared" si="7"/>
        <v>4.3095238095237853E-2</v>
      </c>
      <c r="F10" s="24">
        <f t="shared" si="8"/>
        <v>-7.4404761904762307E-2</v>
      </c>
      <c r="G10" s="45"/>
      <c r="M10" s="44">
        <f t="shared" si="0"/>
        <v>43466</v>
      </c>
      <c r="U10" s="8">
        <f t="shared" si="1"/>
        <v>1</v>
      </c>
      <c r="V10" s="8">
        <f t="shared" si="2"/>
        <v>2019</v>
      </c>
    </row>
    <row r="11" spans="1:23">
      <c r="A11" s="44">
        <v>43497</v>
      </c>
      <c r="B11" s="24">
        <v>3.8075000000000001</v>
      </c>
      <c r="C11" s="24">
        <v>3.6375000000000002</v>
      </c>
      <c r="D11" s="24">
        <v>3.7444444444444445</v>
      </c>
      <c r="E11" s="24">
        <f t="shared" ref="E11:E74" si="9">B11-D11</f>
        <v>6.3055555555555642E-2</v>
      </c>
      <c r="F11" s="24">
        <f t="shared" ref="F11:F74" si="10">C11-D11</f>
        <v>-0.10694444444444429</v>
      </c>
      <c r="G11" s="45"/>
      <c r="M11" s="44">
        <f t="shared" si="0"/>
        <v>43497</v>
      </c>
      <c r="U11" s="8">
        <f t="shared" si="1"/>
        <v>2</v>
      </c>
      <c r="V11" s="8">
        <f t="shared" si="2"/>
        <v>2019</v>
      </c>
    </row>
    <row r="12" spans="1:23">
      <c r="A12" s="44">
        <v>43525</v>
      </c>
      <c r="B12" s="24">
        <v>3.7974999999999999</v>
      </c>
      <c r="C12" s="24">
        <v>3.5649999999999999</v>
      </c>
      <c r="D12" s="24">
        <v>3.7110714285714281</v>
      </c>
      <c r="E12" s="24">
        <f t="shared" si="9"/>
        <v>8.6428571428571743E-2</v>
      </c>
      <c r="F12" s="24">
        <f t="shared" si="10"/>
        <v>-0.14607142857142819</v>
      </c>
      <c r="G12" s="45"/>
      <c r="M12" s="44">
        <f t="shared" si="0"/>
        <v>43525</v>
      </c>
      <c r="U12" s="8">
        <f t="shared" si="1"/>
        <v>3</v>
      </c>
      <c r="V12" s="8">
        <f t="shared" si="2"/>
        <v>2019</v>
      </c>
    </row>
    <row r="13" spans="1:23">
      <c r="A13" s="44">
        <v>43556</v>
      </c>
      <c r="B13" s="24">
        <v>3.6524999999999999</v>
      </c>
      <c r="C13" s="24">
        <v>3.4674999999999998</v>
      </c>
      <c r="D13" s="24">
        <v>3.5770238095238098</v>
      </c>
      <c r="E13" s="24">
        <f t="shared" si="9"/>
        <v>7.547619047619003E-2</v>
      </c>
      <c r="F13" s="24">
        <f t="shared" si="10"/>
        <v>-0.10952380952381002</v>
      </c>
      <c r="G13" s="45"/>
      <c r="M13" s="44">
        <f t="shared" si="0"/>
        <v>43556</v>
      </c>
      <c r="U13" s="8">
        <f t="shared" si="1"/>
        <v>4</v>
      </c>
      <c r="V13" s="8">
        <f t="shared" si="2"/>
        <v>2019</v>
      </c>
    </row>
    <row r="14" spans="1:23">
      <c r="A14" s="44">
        <v>43586</v>
      </c>
      <c r="B14" s="24">
        <v>4.3624999999999998</v>
      </c>
      <c r="C14" s="24">
        <v>3.5175000000000001</v>
      </c>
      <c r="D14" s="24">
        <v>3.8367045454545456</v>
      </c>
      <c r="E14" s="24">
        <f t="shared" si="9"/>
        <v>0.52579545454545418</v>
      </c>
      <c r="F14" s="24">
        <f t="shared" si="10"/>
        <v>-0.31920454545454557</v>
      </c>
      <c r="G14" s="45"/>
      <c r="M14" s="44">
        <f t="shared" si="0"/>
        <v>43586</v>
      </c>
      <c r="U14" s="8">
        <f t="shared" si="1"/>
        <v>5</v>
      </c>
      <c r="V14" s="8">
        <f t="shared" si="2"/>
        <v>2019</v>
      </c>
    </row>
    <row r="15" spans="1:23">
      <c r="A15" s="44">
        <v>43617</v>
      </c>
      <c r="B15" s="24">
        <v>4.5475000000000003</v>
      </c>
      <c r="C15" s="24">
        <v>4.1475</v>
      </c>
      <c r="D15" s="24">
        <v>4.3522500000000006</v>
      </c>
      <c r="E15" s="24">
        <f t="shared" si="9"/>
        <v>0.1952499999999997</v>
      </c>
      <c r="F15" s="24">
        <f t="shared" si="10"/>
        <v>-0.20475000000000065</v>
      </c>
      <c r="G15" s="45"/>
      <c r="M15" s="44">
        <f t="shared" si="0"/>
        <v>43617</v>
      </c>
      <c r="U15" s="8">
        <f t="shared" si="1"/>
        <v>6</v>
      </c>
      <c r="V15" s="8">
        <f t="shared" si="2"/>
        <v>2019</v>
      </c>
    </row>
    <row r="16" spans="1:23">
      <c r="A16" s="44">
        <v>43647</v>
      </c>
      <c r="B16" s="24">
        <v>4.5425000000000004</v>
      </c>
      <c r="C16" s="24">
        <v>4.0025000000000004</v>
      </c>
      <c r="D16" s="24">
        <v>4.2801136363636365</v>
      </c>
      <c r="E16" s="24">
        <f t="shared" si="9"/>
        <v>0.26238636363636392</v>
      </c>
      <c r="F16" s="24">
        <f t="shared" si="10"/>
        <v>-0.27761363636363612</v>
      </c>
      <c r="G16" s="45"/>
      <c r="M16" s="44">
        <f t="shared" si="0"/>
        <v>43647</v>
      </c>
      <c r="U16" s="8">
        <f t="shared" si="1"/>
        <v>7</v>
      </c>
      <c r="V16" s="8">
        <f t="shared" si="2"/>
        <v>2019</v>
      </c>
    </row>
    <row r="17" spans="1:22">
      <c r="A17" s="44">
        <v>43678</v>
      </c>
      <c r="B17" s="24">
        <v>4.2424999999999997</v>
      </c>
      <c r="C17" s="24">
        <v>3.6425000000000001</v>
      </c>
      <c r="D17" s="24">
        <v>3.7710714285714282</v>
      </c>
      <c r="E17" s="24">
        <f t="shared" si="9"/>
        <v>0.47142857142857153</v>
      </c>
      <c r="F17" s="24">
        <f t="shared" si="10"/>
        <v>-0.12857142857142811</v>
      </c>
      <c r="G17" s="45"/>
      <c r="M17" s="44">
        <f t="shared" si="0"/>
        <v>43678</v>
      </c>
      <c r="U17" s="8">
        <f t="shared" si="1"/>
        <v>8</v>
      </c>
      <c r="V17" s="8">
        <f t="shared" si="2"/>
        <v>2019</v>
      </c>
    </row>
    <row r="18" spans="1:22">
      <c r="A18" s="44">
        <v>43709</v>
      </c>
      <c r="B18" s="24">
        <v>3.8824999999999998</v>
      </c>
      <c r="C18" s="24">
        <v>3.5225</v>
      </c>
      <c r="D18" s="24">
        <v>3.6782499999999998</v>
      </c>
      <c r="E18" s="24">
        <f t="shared" si="9"/>
        <v>0.20425000000000004</v>
      </c>
      <c r="F18" s="24">
        <f t="shared" si="10"/>
        <v>-0.15574999999999983</v>
      </c>
      <c r="G18" s="45"/>
      <c r="M18" s="44">
        <f t="shared" si="0"/>
        <v>43709</v>
      </c>
      <c r="U18" s="8">
        <f t="shared" si="1"/>
        <v>9</v>
      </c>
      <c r="V18" s="8">
        <f t="shared" si="2"/>
        <v>2019</v>
      </c>
    </row>
    <row r="19" spans="1:22">
      <c r="A19" s="44">
        <v>43739</v>
      </c>
      <c r="B19" s="24">
        <v>4.0250000000000004</v>
      </c>
      <c r="C19" s="24">
        <v>3.7825000000000002</v>
      </c>
      <c r="D19" s="24">
        <v>3.8977173913043486</v>
      </c>
      <c r="E19" s="24">
        <f t="shared" si="9"/>
        <v>0.12728260869565178</v>
      </c>
      <c r="F19" s="24">
        <f t="shared" si="10"/>
        <v>-0.11521739130434838</v>
      </c>
      <c r="G19" s="45"/>
      <c r="M19" s="44">
        <f t="shared" si="0"/>
        <v>43739</v>
      </c>
      <c r="U19" s="8">
        <f t="shared" si="1"/>
        <v>10</v>
      </c>
      <c r="V19" s="8">
        <f t="shared" si="2"/>
        <v>2019</v>
      </c>
    </row>
    <row r="20" spans="1:22">
      <c r="A20" s="44">
        <v>43770</v>
      </c>
      <c r="B20" s="24">
        <v>3.9175</v>
      </c>
      <c r="C20" s="24">
        <v>3.6575000000000002</v>
      </c>
      <c r="D20" s="24">
        <v>3.7518750000000001</v>
      </c>
      <c r="E20" s="24">
        <f t="shared" si="9"/>
        <v>0.16562499999999991</v>
      </c>
      <c r="F20" s="24">
        <f t="shared" si="10"/>
        <v>-9.4374999999999876E-2</v>
      </c>
      <c r="G20" s="45"/>
      <c r="M20" s="44">
        <f t="shared" si="0"/>
        <v>43770</v>
      </c>
      <c r="U20" s="8">
        <f t="shared" si="1"/>
        <v>11</v>
      </c>
      <c r="V20" s="8">
        <f t="shared" si="2"/>
        <v>2019</v>
      </c>
    </row>
    <row r="21" spans="1:22">
      <c r="A21" s="44">
        <v>43800</v>
      </c>
      <c r="B21" s="24">
        <v>3.92</v>
      </c>
      <c r="C21" s="24">
        <v>3.7084245523809525</v>
      </c>
      <c r="D21" s="24">
        <v>3.8323809523809524</v>
      </c>
      <c r="E21" s="24">
        <f t="shared" si="9"/>
        <v>8.7619047619047485E-2</v>
      </c>
      <c r="F21" s="24">
        <f t="shared" si="10"/>
        <v>-0.12395639999999997</v>
      </c>
      <c r="M21" s="44">
        <f t="shared" si="0"/>
        <v>43800</v>
      </c>
      <c r="U21" s="8">
        <f t="shared" si="1"/>
        <v>12</v>
      </c>
      <c r="V21" s="8">
        <f t="shared" si="2"/>
        <v>2019</v>
      </c>
    </row>
    <row r="22" spans="1:22">
      <c r="A22" s="44">
        <v>43831</v>
      </c>
      <c r="B22" s="24">
        <v>3.94</v>
      </c>
      <c r="C22" s="24">
        <v>3.7524999999999999</v>
      </c>
      <c r="D22" s="24">
        <v>3.8573809523809524</v>
      </c>
      <c r="E22" s="24">
        <f t="shared" si="9"/>
        <v>8.2619047619047592E-2</v>
      </c>
      <c r="F22" s="24">
        <f t="shared" si="10"/>
        <v>-0.10488095238095241</v>
      </c>
      <c r="M22" s="44">
        <f t="shared" si="0"/>
        <v>43831</v>
      </c>
      <c r="U22" s="8">
        <f t="shared" si="1"/>
        <v>1</v>
      </c>
      <c r="V22" s="8">
        <f t="shared" si="2"/>
        <v>2020</v>
      </c>
    </row>
    <row r="23" spans="1:22">
      <c r="A23" s="44">
        <v>43862</v>
      </c>
      <c r="B23" s="24">
        <v>3.85</v>
      </c>
      <c r="C23" s="24">
        <v>3.6575000000000002</v>
      </c>
      <c r="D23" s="24">
        <v>3.7814473684210528</v>
      </c>
      <c r="E23" s="24">
        <f t="shared" si="9"/>
        <v>6.855263157894731E-2</v>
      </c>
      <c r="F23" s="24">
        <f t="shared" si="10"/>
        <v>-0.12394736842105258</v>
      </c>
      <c r="M23" s="44">
        <f t="shared" si="0"/>
        <v>43862</v>
      </c>
      <c r="U23" s="8">
        <f t="shared" si="1"/>
        <v>2</v>
      </c>
      <c r="V23" s="8">
        <f t="shared" si="2"/>
        <v>2020</v>
      </c>
    </row>
    <row r="24" spans="1:22">
      <c r="A24" s="44">
        <v>43891</v>
      </c>
      <c r="B24" s="24">
        <v>5.8</v>
      </c>
      <c r="C24" s="24">
        <v>4.9800000000000004</v>
      </c>
      <c r="D24" s="24">
        <v>5.3321590909090908</v>
      </c>
      <c r="E24" s="24">
        <f t="shared" si="9"/>
        <v>0.46784090909090903</v>
      </c>
      <c r="F24" s="24">
        <f t="shared" si="10"/>
        <v>-0.35215909090909037</v>
      </c>
      <c r="M24" s="44">
        <f t="shared" si="0"/>
        <v>43891</v>
      </c>
      <c r="U24" s="8">
        <f t="shared" si="1"/>
        <v>3</v>
      </c>
      <c r="V24" s="8">
        <f t="shared" si="2"/>
        <v>2020</v>
      </c>
    </row>
    <row r="25" spans="1:22">
      <c r="A25" s="44">
        <v>43922</v>
      </c>
      <c r="B25" s="24">
        <v>5.5650000000000004</v>
      </c>
      <c r="C25" s="24">
        <v>5.165</v>
      </c>
      <c r="D25" s="24">
        <v>5.4117857142857142</v>
      </c>
      <c r="E25" s="24">
        <f t="shared" si="9"/>
        <v>0.15321428571428619</v>
      </c>
      <c r="F25" s="24">
        <f t="shared" si="10"/>
        <v>-0.24678571428571416</v>
      </c>
      <c r="M25" s="44">
        <f t="shared" si="0"/>
        <v>43922</v>
      </c>
      <c r="U25" s="8">
        <f t="shared" si="1"/>
        <v>4</v>
      </c>
      <c r="V25" s="8">
        <f t="shared" si="2"/>
        <v>2020</v>
      </c>
    </row>
    <row r="26" spans="1:22">
      <c r="A26" s="44">
        <v>43952</v>
      </c>
      <c r="B26" s="24">
        <v>5.2249999999999996</v>
      </c>
      <c r="C26" s="24">
        <v>4.97</v>
      </c>
      <c r="D26" s="24">
        <v>5.11775</v>
      </c>
      <c r="E26" s="24">
        <f t="shared" si="9"/>
        <v>0.10724999999999962</v>
      </c>
      <c r="F26" s="24">
        <f t="shared" si="10"/>
        <v>-0.14775000000000027</v>
      </c>
      <c r="M26" s="44">
        <f t="shared" si="0"/>
        <v>43952</v>
      </c>
      <c r="U26" s="8">
        <f t="shared" si="1"/>
        <v>5</v>
      </c>
      <c r="V26" s="8">
        <f t="shared" si="2"/>
        <v>2020</v>
      </c>
    </row>
    <row r="27" spans="1:22">
      <c r="A27" s="44">
        <v>43983</v>
      </c>
      <c r="B27" s="24">
        <v>5.2374999999999998</v>
      </c>
      <c r="C27" s="24">
        <v>4.5004255047619051</v>
      </c>
      <c r="D27" s="24">
        <v>4.7575000000000003</v>
      </c>
      <c r="E27" s="24">
        <f t="shared" si="9"/>
        <v>0.47999999999999954</v>
      </c>
      <c r="F27" s="24">
        <f t="shared" si="10"/>
        <v>-0.25707449523809522</v>
      </c>
      <c r="M27" s="44">
        <f t="shared" si="0"/>
        <v>43983</v>
      </c>
      <c r="U27" s="8">
        <f t="shared" si="1"/>
        <v>6</v>
      </c>
      <c r="V27" s="8">
        <f t="shared" si="2"/>
        <v>2020</v>
      </c>
    </row>
    <row r="28" spans="1:22">
      <c r="A28" s="44">
        <v>44013</v>
      </c>
      <c r="B28" s="24">
        <v>5.5075000000000003</v>
      </c>
      <c r="C28" s="24">
        <v>4.92</v>
      </c>
      <c r="D28" s="24">
        <v>5.2386363636363633</v>
      </c>
      <c r="E28" s="24">
        <f t="shared" si="9"/>
        <v>0.26886363636363697</v>
      </c>
      <c r="F28" s="24">
        <f t="shared" si="10"/>
        <v>-0.31863636363636338</v>
      </c>
      <c r="M28" s="44">
        <f t="shared" si="0"/>
        <v>44013</v>
      </c>
      <c r="U28" s="8">
        <f t="shared" si="1"/>
        <v>7</v>
      </c>
      <c r="V28" s="8">
        <f t="shared" si="2"/>
        <v>2020</v>
      </c>
    </row>
    <row r="29" spans="1:22">
      <c r="A29" s="44">
        <v>44044</v>
      </c>
      <c r="B29" s="24">
        <v>5.4424999999999999</v>
      </c>
      <c r="C29" s="24">
        <v>4.91</v>
      </c>
      <c r="D29" s="24">
        <v>5.1426190476190463</v>
      </c>
      <c r="E29" s="24">
        <f t="shared" si="9"/>
        <v>0.29988095238095358</v>
      </c>
      <c r="F29" s="24">
        <f t="shared" si="10"/>
        <v>-0.23261904761904617</v>
      </c>
      <c r="M29" s="44">
        <f t="shared" si="0"/>
        <v>44044</v>
      </c>
      <c r="U29" s="8">
        <f t="shared" si="1"/>
        <v>8</v>
      </c>
      <c r="V29" s="8">
        <f t="shared" si="2"/>
        <v>2020</v>
      </c>
    </row>
    <row r="30" spans="1:22">
      <c r="A30" s="44">
        <v>44075</v>
      </c>
      <c r="B30" s="24">
        <v>5.78</v>
      </c>
      <c r="C30" s="24">
        <v>5.3825000000000003</v>
      </c>
      <c r="D30" s="24">
        <v>5.5213095238095242</v>
      </c>
      <c r="E30" s="24">
        <f t="shared" si="9"/>
        <v>0.25869047619047603</v>
      </c>
      <c r="F30" s="24">
        <f t="shared" si="10"/>
        <v>-0.13880952380952394</v>
      </c>
      <c r="M30" s="44">
        <f t="shared" si="0"/>
        <v>44075</v>
      </c>
      <c r="U30" s="8">
        <f t="shared" si="1"/>
        <v>9</v>
      </c>
      <c r="V30" s="8">
        <f t="shared" si="2"/>
        <v>2020</v>
      </c>
    </row>
    <row r="31" spans="1:22">
      <c r="A31" s="44">
        <v>44105</v>
      </c>
      <c r="B31" s="24">
        <v>6.3274999999999997</v>
      </c>
      <c r="C31" s="24">
        <v>5.7024999999999997</v>
      </c>
      <c r="D31" s="24">
        <v>6.062045454545455</v>
      </c>
      <c r="E31" s="24">
        <f t="shared" si="9"/>
        <v>0.26545454545454472</v>
      </c>
      <c r="F31" s="24">
        <f t="shared" si="10"/>
        <v>-0.35954545454545528</v>
      </c>
      <c r="M31" s="44">
        <f t="shared" si="0"/>
        <v>44105</v>
      </c>
      <c r="U31" s="8">
        <f t="shared" si="1"/>
        <v>10</v>
      </c>
      <c r="V31" s="8">
        <f t="shared" si="2"/>
        <v>2020</v>
      </c>
    </row>
    <row r="32" spans="1:22">
      <c r="A32" s="44">
        <v>44136</v>
      </c>
      <c r="B32" s="24">
        <v>6.1124999999999998</v>
      </c>
      <c r="C32" s="24">
        <v>5.8025000000000002</v>
      </c>
      <c r="D32" s="24">
        <v>5.98475</v>
      </c>
      <c r="E32" s="24">
        <f t="shared" si="9"/>
        <v>0.12774999999999981</v>
      </c>
      <c r="F32" s="24">
        <f t="shared" si="10"/>
        <v>-0.1822499999999998</v>
      </c>
      <c r="M32" s="44">
        <f t="shared" si="0"/>
        <v>44136</v>
      </c>
      <c r="U32" s="8">
        <f t="shared" si="1"/>
        <v>11</v>
      </c>
      <c r="V32" s="8">
        <f t="shared" si="2"/>
        <v>2020</v>
      </c>
    </row>
    <row r="33" spans="1:22">
      <c r="A33" s="44">
        <v>44166</v>
      </c>
      <c r="B33" s="24">
        <v>6.4074999999999998</v>
      </c>
      <c r="C33" s="24">
        <v>5.7</v>
      </c>
      <c r="D33" s="24">
        <v>6.0355681818181814</v>
      </c>
      <c r="E33" s="24">
        <f t="shared" si="9"/>
        <v>0.37193181818181831</v>
      </c>
      <c r="F33" s="24">
        <f t="shared" si="10"/>
        <v>-0.33556818181818127</v>
      </c>
      <c r="M33" s="44">
        <f t="shared" si="0"/>
        <v>44166</v>
      </c>
      <c r="U33" s="8">
        <f t="shared" si="1"/>
        <v>12</v>
      </c>
      <c r="V33" s="8">
        <f t="shared" si="2"/>
        <v>2020</v>
      </c>
    </row>
    <row r="34" spans="1:22">
      <c r="A34" s="44">
        <v>44197</v>
      </c>
      <c r="B34" s="24">
        <v>6.7549999999999999</v>
      </c>
      <c r="C34" s="24">
        <v>6.3449999999999998</v>
      </c>
      <c r="D34" s="24">
        <v>6.5513157894736844</v>
      </c>
      <c r="E34" s="24">
        <f t="shared" si="9"/>
        <v>0.20368421052631547</v>
      </c>
      <c r="F34" s="24">
        <f t="shared" si="10"/>
        <v>-0.20631578947368467</v>
      </c>
      <c r="M34" s="44">
        <f t="shared" si="0"/>
        <v>44197</v>
      </c>
      <c r="U34" s="8">
        <f t="shared" si="1"/>
        <v>1</v>
      </c>
      <c r="V34" s="8">
        <f t="shared" si="2"/>
        <v>2021</v>
      </c>
    </row>
    <row r="35" spans="1:22">
      <c r="A35" s="44">
        <v>44228</v>
      </c>
      <c r="B35" s="24">
        <v>6.8025000000000002</v>
      </c>
      <c r="C35" s="24">
        <v>6.335</v>
      </c>
      <c r="D35" s="24">
        <v>6.518552631578947</v>
      </c>
      <c r="E35" s="24">
        <f t="shared" si="9"/>
        <v>0.28394736842105317</v>
      </c>
      <c r="F35" s="24">
        <f t="shared" si="10"/>
        <v>-0.18355263157894708</v>
      </c>
      <c r="M35" s="44">
        <f t="shared" si="0"/>
        <v>44228</v>
      </c>
      <c r="U35" s="8">
        <f t="shared" si="1"/>
        <v>2</v>
      </c>
      <c r="V35" s="8">
        <f t="shared" si="2"/>
        <v>2021</v>
      </c>
    </row>
    <row r="36" spans="1:22">
      <c r="A36" s="44">
        <v>44256</v>
      </c>
      <c r="B36" s="24">
        <v>6.6624999999999996</v>
      </c>
      <c r="C36" s="24">
        <v>6.0175000000000001</v>
      </c>
      <c r="D36" s="24">
        <v>6.3702173913043474</v>
      </c>
      <c r="E36" s="24">
        <f t="shared" si="9"/>
        <v>0.29228260869565226</v>
      </c>
      <c r="F36" s="24">
        <f t="shared" si="10"/>
        <v>-0.35271739130434732</v>
      </c>
      <c r="M36" s="44">
        <f t="shared" si="0"/>
        <v>44256</v>
      </c>
      <c r="U36" s="8">
        <f t="shared" si="1"/>
        <v>3</v>
      </c>
      <c r="V36" s="8">
        <f t="shared" si="2"/>
        <v>2021</v>
      </c>
    </row>
    <row r="37" spans="1:22">
      <c r="A37" s="44">
        <v>44287</v>
      </c>
      <c r="B37" s="24">
        <v>7.4249999999999998</v>
      </c>
      <c r="C37" s="24">
        <v>6.11</v>
      </c>
      <c r="D37" s="24">
        <v>6.6783333333333337</v>
      </c>
      <c r="E37" s="24">
        <f t="shared" si="9"/>
        <v>0.74666666666666615</v>
      </c>
      <c r="F37" s="24">
        <f t="shared" si="10"/>
        <v>-0.56833333333333336</v>
      </c>
      <c r="M37" s="44">
        <f t="shared" si="0"/>
        <v>44287</v>
      </c>
      <c r="U37" s="8">
        <f t="shared" si="1"/>
        <v>4</v>
      </c>
      <c r="V37" s="8">
        <f t="shared" si="2"/>
        <v>2021</v>
      </c>
    </row>
    <row r="38" spans="1:22">
      <c r="A38" s="44">
        <v>44317</v>
      </c>
      <c r="B38" s="24">
        <v>7.6174999999999997</v>
      </c>
      <c r="C38" s="24">
        <v>6.4850000000000003</v>
      </c>
      <c r="D38" s="24">
        <v>7.0242499999999994</v>
      </c>
      <c r="E38" s="24">
        <f t="shared" si="9"/>
        <v>0.59325000000000028</v>
      </c>
      <c r="F38" s="24">
        <f t="shared" si="10"/>
        <v>-0.53924999999999912</v>
      </c>
      <c r="M38" s="44">
        <f t="shared" si="0"/>
        <v>44317</v>
      </c>
      <c r="U38" s="8">
        <f t="shared" si="1"/>
        <v>5</v>
      </c>
      <c r="V38" s="8">
        <f t="shared" si="2"/>
        <v>2021</v>
      </c>
    </row>
    <row r="39" spans="1:22">
      <c r="A39" s="44">
        <v>44348</v>
      </c>
      <c r="B39" s="24">
        <v>6.9349999999999996</v>
      </c>
      <c r="C39" s="24">
        <v>6.37</v>
      </c>
      <c r="D39" s="24">
        <v>6.6711363636363634</v>
      </c>
      <c r="E39" s="24">
        <f t="shared" si="9"/>
        <v>0.26386363636363619</v>
      </c>
      <c r="F39" s="24">
        <f t="shared" si="10"/>
        <v>-0.30113636363636331</v>
      </c>
      <c r="M39" s="44">
        <f t="shared" si="0"/>
        <v>44348</v>
      </c>
      <c r="U39" s="8">
        <f t="shared" si="1"/>
        <v>6</v>
      </c>
      <c r="V39" s="8">
        <f t="shared" si="2"/>
        <v>2021</v>
      </c>
    </row>
    <row r="40" spans="1:22">
      <c r="A40" s="44">
        <v>44378</v>
      </c>
      <c r="B40" s="24">
        <v>7.1074999999999999</v>
      </c>
      <c r="C40" s="24">
        <v>6.15</v>
      </c>
      <c r="D40" s="24">
        <v>6.6796428571428565</v>
      </c>
      <c r="E40" s="24">
        <f t="shared" si="9"/>
        <v>0.42785714285714338</v>
      </c>
      <c r="F40" s="24">
        <f t="shared" si="10"/>
        <v>-0.52964285714285619</v>
      </c>
      <c r="M40" s="44">
        <f t="shared" si="0"/>
        <v>44378</v>
      </c>
      <c r="U40" s="8">
        <f t="shared" si="1"/>
        <v>7</v>
      </c>
      <c r="V40" s="8">
        <f t="shared" si="2"/>
        <v>2021</v>
      </c>
    </row>
    <row r="41" spans="1:22">
      <c r="A41" s="44">
        <v>44409</v>
      </c>
      <c r="B41" s="24">
        <v>7.6224999999999996</v>
      </c>
      <c r="C41" s="24">
        <v>7.1124999999999998</v>
      </c>
      <c r="D41" s="24">
        <v>7.2753750000000004</v>
      </c>
      <c r="E41" s="24">
        <f t="shared" si="9"/>
        <v>0.34712499999999924</v>
      </c>
      <c r="F41" s="24">
        <f t="shared" si="10"/>
        <v>-0.16287500000000055</v>
      </c>
      <c r="M41" s="44">
        <f t="shared" si="0"/>
        <v>44409</v>
      </c>
      <c r="U41" s="8">
        <f t="shared" si="1"/>
        <v>8</v>
      </c>
      <c r="V41" s="8">
        <f t="shared" si="2"/>
        <v>2021</v>
      </c>
    </row>
    <row r="42" spans="1:22">
      <c r="A42" s="44">
        <v>44440</v>
      </c>
      <c r="B42" s="24">
        <v>7.2625000000000002</v>
      </c>
      <c r="C42" s="24">
        <v>6.87</v>
      </c>
      <c r="D42" s="24">
        <v>7.0914285714285707</v>
      </c>
      <c r="E42" s="24">
        <f t="shared" si="9"/>
        <v>0.17107142857142943</v>
      </c>
      <c r="F42" s="24">
        <f t="shared" si="10"/>
        <v>-0.22142857142857064</v>
      </c>
      <c r="M42" s="44">
        <f t="shared" si="0"/>
        <v>44440</v>
      </c>
      <c r="U42" s="8">
        <f t="shared" si="1"/>
        <v>9</v>
      </c>
      <c r="V42" s="8">
        <f t="shared" si="2"/>
        <v>2021</v>
      </c>
    </row>
    <row r="43" spans="1:22">
      <c r="A43" s="44">
        <v>44470</v>
      </c>
      <c r="B43" s="24">
        <v>7.7275</v>
      </c>
      <c r="C43" s="24">
        <v>7.1875</v>
      </c>
      <c r="D43" s="24">
        <v>7.4554761904761904</v>
      </c>
      <c r="E43" s="24">
        <f t="shared" si="9"/>
        <v>0.27202380952380967</v>
      </c>
      <c r="F43" s="24">
        <f t="shared" si="10"/>
        <v>-0.26797619047619037</v>
      </c>
      <c r="M43" s="44">
        <f t="shared" si="0"/>
        <v>44470</v>
      </c>
      <c r="U43" s="8">
        <f t="shared" si="1"/>
        <v>10</v>
      </c>
      <c r="V43" s="8">
        <f t="shared" si="2"/>
        <v>2021</v>
      </c>
    </row>
    <row r="44" spans="1:22">
      <c r="A44" s="44">
        <v>44501</v>
      </c>
      <c r="B44" s="24">
        <v>8.56</v>
      </c>
      <c r="C44" s="24">
        <v>7.665</v>
      </c>
      <c r="D44" s="24">
        <v>8.0647619047619052</v>
      </c>
      <c r="E44" s="24">
        <f t="shared" si="9"/>
        <v>0.49523809523809526</v>
      </c>
      <c r="F44" s="24">
        <f t="shared" si="10"/>
        <v>-0.39976190476190521</v>
      </c>
      <c r="M44" s="44">
        <f t="shared" si="0"/>
        <v>44501</v>
      </c>
      <c r="U44" s="8">
        <f t="shared" si="1"/>
        <v>11</v>
      </c>
      <c r="V44" s="8">
        <f t="shared" si="2"/>
        <v>2021</v>
      </c>
    </row>
    <row r="45" spans="1:22">
      <c r="A45" s="44">
        <v>44531</v>
      </c>
      <c r="B45" s="24">
        <v>8.15</v>
      </c>
      <c r="C45" s="24">
        <v>7.56</v>
      </c>
      <c r="D45" s="24">
        <v>7.9134523809523811</v>
      </c>
      <c r="E45" s="24">
        <f t="shared" si="9"/>
        <v>0.23654761904761923</v>
      </c>
      <c r="F45" s="24">
        <f t="shared" si="10"/>
        <v>-0.35345238095238152</v>
      </c>
      <c r="M45" s="44">
        <f t="shared" si="0"/>
        <v>44531</v>
      </c>
      <c r="U45" s="8">
        <f t="shared" si="1"/>
        <v>12</v>
      </c>
      <c r="V45" s="8">
        <f t="shared" si="2"/>
        <v>2021</v>
      </c>
    </row>
    <row r="46" spans="1:22">
      <c r="A46" s="44">
        <v>44562</v>
      </c>
      <c r="B46" s="24">
        <v>8.18</v>
      </c>
      <c r="C46" s="24">
        <v>7.415</v>
      </c>
      <c r="D46" s="24">
        <v>7.7226250000000007</v>
      </c>
      <c r="E46" s="24">
        <f t="shared" si="9"/>
        <v>0.45737499999999898</v>
      </c>
      <c r="F46" s="24">
        <f t="shared" si="10"/>
        <v>-0.3076250000000007</v>
      </c>
      <c r="M46" s="44">
        <f t="shared" si="0"/>
        <v>44562</v>
      </c>
      <c r="U46" s="8">
        <f t="shared" si="1"/>
        <v>1</v>
      </c>
      <c r="V46" s="8">
        <f t="shared" si="2"/>
        <v>2022</v>
      </c>
    </row>
    <row r="47" spans="1:22">
      <c r="A47" s="44">
        <v>44593</v>
      </c>
      <c r="B47" s="24">
        <v>9.2799999999999994</v>
      </c>
      <c r="C47" s="24">
        <v>7.5175000000000001</v>
      </c>
      <c r="D47" s="24">
        <v>8.0592105263157894</v>
      </c>
      <c r="E47" s="24">
        <f t="shared" si="9"/>
        <v>1.22078947368421</v>
      </c>
      <c r="F47" s="24">
        <f t="shared" si="10"/>
        <v>-0.54171052631578931</v>
      </c>
      <c r="M47" s="44">
        <f t="shared" si="0"/>
        <v>44593</v>
      </c>
      <c r="U47" s="8">
        <f t="shared" si="1"/>
        <v>2</v>
      </c>
      <c r="V47" s="8">
        <f t="shared" si="2"/>
        <v>2022</v>
      </c>
    </row>
    <row r="48" spans="1:22">
      <c r="A48" s="44">
        <v>44621</v>
      </c>
      <c r="B48" s="24">
        <v>12.94</v>
      </c>
      <c r="C48" s="24">
        <v>9.84</v>
      </c>
      <c r="D48" s="24">
        <v>11.077717391304347</v>
      </c>
      <c r="E48" s="24">
        <f t="shared" si="9"/>
        <v>1.8622826086956525</v>
      </c>
      <c r="F48" s="24">
        <f t="shared" si="10"/>
        <v>-1.2377173913043471</v>
      </c>
      <c r="M48" s="44">
        <f t="shared" si="0"/>
        <v>44621</v>
      </c>
      <c r="U48" s="8">
        <f t="shared" si="1"/>
        <v>3</v>
      </c>
      <c r="V48" s="8">
        <f t="shared" si="2"/>
        <v>2022</v>
      </c>
    </row>
    <row r="49" spans="1:22">
      <c r="A49" s="44">
        <v>44652</v>
      </c>
      <c r="B49" s="24">
        <v>11.205</v>
      </c>
      <c r="C49" s="24">
        <v>9.8450000000000006</v>
      </c>
      <c r="D49" s="24">
        <v>10.664375</v>
      </c>
      <c r="E49" s="24">
        <f t="shared" si="9"/>
        <v>0.54062500000000036</v>
      </c>
      <c r="F49" s="24">
        <f t="shared" si="10"/>
        <v>-0.81937499999999908</v>
      </c>
      <c r="M49" s="44">
        <f t="shared" si="0"/>
        <v>44652</v>
      </c>
      <c r="U49" s="8">
        <f t="shared" si="1"/>
        <v>4</v>
      </c>
      <c r="V49" s="8">
        <f t="shared" si="2"/>
        <v>2022</v>
      </c>
    </row>
    <row r="50" spans="1:22">
      <c r="A50" s="44">
        <v>44682</v>
      </c>
      <c r="B50" s="24">
        <v>12.775</v>
      </c>
      <c r="C50" s="24">
        <v>10.455</v>
      </c>
      <c r="D50" s="24">
        <v>11.482999999999999</v>
      </c>
      <c r="E50" s="24">
        <f t="shared" si="9"/>
        <v>1.2920000000000016</v>
      </c>
      <c r="F50" s="24">
        <f t="shared" si="10"/>
        <v>-1.0279999999999987</v>
      </c>
      <c r="M50" s="44">
        <f t="shared" si="0"/>
        <v>44682</v>
      </c>
      <c r="U50" s="8">
        <f t="shared" si="1"/>
        <v>5</v>
      </c>
      <c r="V50" s="8">
        <f t="shared" si="2"/>
        <v>2022</v>
      </c>
    </row>
    <row r="51" spans="1:22">
      <c r="A51" s="44">
        <v>44713</v>
      </c>
      <c r="B51" s="24">
        <v>10.93</v>
      </c>
      <c r="C51" s="24">
        <v>8.6875</v>
      </c>
      <c r="D51" s="24">
        <v>10.108095238095238</v>
      </c>
      <c r="E51" s="24">
        <f t="shared" si="9"/>
        <v>0.82190476190476147</v>
      </c>
      <c r="F51" s="24">
        <f t="shared" si="10"/>
        <v>-1.4205952380952382</v>
      </c>
      <c r="M51" s="44">
        <f t="shared" si="0"/>
        <v>44713</v>
      </c>
      <c r="U51" s="8">
        <f t="shared" si="1"/>
        <v>6</v>
      </c>
      <c r="V51" s="8">
        <f t="shared" si="2"/>
        <v>2022</v>
      </c>
    </row>
    <row r="52" spans="1:22">
      <c r="A52" s="44">
        <v>44743</v>
      </c>
      <c r="B52" s="24">
        <v>8.9149999999999991</v>
      </c>
      <c r="C52" s="24">
        <v>7.59</v>
      </c>
      <c r="D52" s="24">
        <v>8.1186249999999998</v>
      </c>
      <c r="E52" s="24">
        <f t="shared" si="9"/>
        <v>0.79637499999999939</v>
      </c>
      <c r="F52" s="24">
        <f t="shared" si="10"/>
        <v>-0.5286249999999999</v>
      </c>
      <c r="M52" s="44">
        <f t="shared" si="0"/>
        <v>44743</v>
      </c>
      <c r="U52" s="8">
        <f t="shared" si="1"/>
        <v>7</v>
      </c>
      <c r="V52" s="8">
        <f t="shared" si="2"/>
        <v>2022</v>
      </c>
    </row>
    <row r="53" spans="1:22">
      <c r="A53" s="44">
        <v>44774</v>
      </c>
      <c r="B53" s="24">
        <v>8.1999999999999993</v>
      </c>
      <c r="C53" s="24">
        <v>7.3150000000000004</v>
      </c>
      <c r="D53" s="24">
        <v>7.8320454545454545</v>
      </c>
      <c r="E53" s="24">
        <f t="shared" si="9"/>
        <v>0.36795454545454476</v>
      </c>
      <c r="F53" s="24">
        <f t="shared" si="10"/>
        <v>-0.51704545454545414</v>
      </c>
      <c r="M53" s="44">
        <f t="shared" si="0"/>
        <v>44774</v>
      </c>
      <c r="U53" s="8">
        <f t="shared" si="1"/>
        <v>8</v>
      </c>
      <c r="V53" s="8">
        <f t="shared" si="2"/>
        <v>2022</v>
      </c>
    </row>
    <row r="54" spans="1:22">
      <c r="A54" s="44">
        <v>44805</v>
      </c>
      <c r="B54" s="24">
        <v>9.1074999999999999</v>
      </c>
      <c r="C54" s="24">
        <v>7.9424999999999999</v>
      </c>
      <c r="D54" s="24">
        <v>8.604750000000001</v>
      </c>
      <c r="E54" s="24">
        <f t="shared" si="9"/>
        <v>0.50274999999999892</v>
      </c>
      <c r="F54" s="24">
        <f t="shared" si="10"/>
        <v>-0.66225000000000112</v>
      </c>
      <c r="M54" s="44">
        <f t="shared" si="0"/>
        <v>44805</v>
      </c>
      <c r="U54" s="8">
        <f t="shared" si="1"/>
        <v>9</v>
      </c>
      <c r="V54" s="8">
        <f t="shared" si="2"/>
        <v>2022</v>
      </c>
    </row>
    <row r="55" spans="1:22">
      <c r="A55" s="44">
        <v>44835</v>
      </c>
      <c r="B55" s="24">
        <v>9.3800000000000008</v>
      </c>
      <c r="C55" s="24">
        <v>8.3475000000000001</v>
      </c>
      <c r="D55" s="24">
        <v>8.7125000000000004</v>
      </c>
      <c r="E55" s="24">
        <f t="shared" si="9"/>
        <v>0.66750000000000043</v>
      </c>
      <c r="F55" s="24">
        <f t="shared" si="10"/>
        <v>-0.36500000000000021</v>
      </c>
      <c r="M55" s="44">
        <f t="shared" si="0"/>
        <v>44835</v>
      </c>
      <c r="U55" s="8">
        <f t="shared" si="1"/>
        <v>10</v>
      </c>
      <c r="V55" s="8">
        <f t="shared" si="2"/>
        <v>2022</v>
      </c>
    </row>
    <row r="56" spans="1:22">
      <c r="A56" s="44">
        <v>44866</v>
      </c>
      <c r="B56" s="24">
        <v>9.0250000000000004</v>
      </c>
      <c r="C56" s="24">
        <v>7.5674999999999999</v>
      </c>
      <c r="D56" s="24">
        <v>8.1209523809523816</v>
      </c>
      <c r="E56" s="24">
        <f t="shared" si="9"/>
        <v>0.90404761904761877</v>
      </c>
      <c r="F56" s="24">
        <f t="shared" si="10"/>
        <v>-0.5534523809523817</v>
      </c>
      <c r="M56" s="44">
        <f t="shared" si="0"/>
        <v>44866</v>
      </c>
      <c r="U56" s="8">
        <f t="shared" si="1"/>
        <v>11</v>
      </c>
      <c r="V56" s="8">
        <f t="shared" si="2"/>
        <v>2022</v>
      </c>
    </row>
    <row r="57" spans="1:22">
      <c r="A57" s="44">
        <v>44896</v>
      </c>
      <c r="B57" s="24">
        <v>7.92</v>
      </c>
      <c r="C57" s="24">
        <v>7.29</v>
      </c>
      <c r="D57" s="24">
        <v>7.5897619047619047</v>
      </c>
      <c r="E57" s="24">
        <f t="shared" si="9"/>
        <v>0.33023809523809522</v>
      </c>
      <c r="F57" s="24">
        <f t="shared" si="10"/>
        <v>-0.29976190476190467</v>
      </c>
      <c r="M57" s="44">
        <f t="shared" si="0"/>
        <v>44896</v>
      </c>
      <c r="U57" s="8">
        <f t="shared" si="1"/>
        <v>12</v>
      </c>
      <c r="V57" s="8">
        <f t="shared" si="2"/>
        <v>2022</v>
      </c>
    </row>
    <row r="58" spans="1:22">
      <c r="A58" s="44">
        <v>44927</v>
      </c>
      <c r="B58" s="24">
        <v>7.7549999999999999</v>
      </c>
      <c r="C58" s="24">
        <v>7.2</v>
      </c>
      <c r="D58" s="24">
        <v>7.44625</v>
      </c>
      <c r="E58" s="24">
        <f t="shared" si="9"/>
        <v>0.30874999999999986</v>
      </c>
      <c r="F58" s="24">
        <f t="shared" si="10"/>
        <v>-0.24624999999999986</v>
      </c>
      <c r="M58" s="44">
        <f t="shared" si="0"/>
        <v>44927</v>
      </c>
      <c r="U58" s="8">
        <f t="shared" si="1"/>
        <v>1</v>
      </c>
      <c r="V58" s="8">
        <f t="shared" si="2"/>
        <v>2023</v>
      </c>
    </row>
    <row r="59" spans="1:22">
      <c r="A59" s="44">
        <v>44958</v>
      </c>
      <c r="B59" s="24">
        <v>7.92</v>
      </c>
      <c r="C59" s="24">
        <v>6.915</v>
      </c>
      <c r="D59" s="24">
        <v>7.5180263157894736</v>
      </c>
      <c r="E59" s="24">
        <f t="shared" si="9"/>
        <v>0.40197368421052637</v>
      </c>
      <c r="F59" s="24">
        <f t="shared" si="10"/>
        <v>-0.60302631578947352</v>
      </c>
      <c r="M59" s="44">
        <f t="shared" si="0"/>
        <v>44958</v>
      </c>
      <c r="U59" s="8">
        <f t="shared" si="1"/>
        <v>2</v>
      </c>
      <c r="V59" s="8">
        <f t="shared" si="2"/>
        <v>2023</v>
      </c>
    </row>
    <row r="60" spans="1:22">
      <c r="A60" s="44">
        <v>44986</v>
      </c>
      <c r="B60" s="24">
        <v>7.1275000000000004</v>
      </c>
      <c r="C60" s="24">
        <v>6.62</v>
      </c>
      <c r="D60" s="24">
        <v>6.9283695652173911</v>
      </c>
      <c r="E60" s="24">
        <f t="shared" si="9"/>
        <v>0.19913043478260928</v>
      </c>
      <c r="F60" s="24">
        <f t="shared" si="10"/>
        <v>-0.30836956521739101</v>
      </c>
      <c r="M60" s="44">
        <f t="shared" si="0"/>
        <v>44986</v>
      </c>
      <c r="U60" s="8">
        <f t="shared" si="1"/>
        <v>3</v>
      </c>
      <c r="V60" s="8">
        <f t="shared" si="2"/>
        <v>2023</v>
      </c>
    </row>
    <row r="61" spans="1:22">
      <c r="A61" s="44">
        <v>45017</v>
      </c>
      <c r="B61" s="24">
        <v>6.98</v>
      </c>
      <c r="C61" s="24">
        <v>6.1475</v>
      </c>
      <c r="D61" s="24">
        <v>6.6703947368421055</v>
      </c>
      <c r="E61" s="24">
        <f t="shared" si="9"/>
        <v>0.30960526315789494</v>
      </c>
      <c r="F61" s="24">
        <f t="shared" si="10"/>
        <v>-0.52289473684210552</v>
      </c>
      <c r="M61" s="44">
        <f t="shared" si="0"/>
        <v>45017</v>
      </c>
      <c r="U61" s="8">
        <f t="shared" si="1"/>
        <v>4</v>
      </c>
      <c r="V61" s="8">
        <f t="shared" si="2"/>
        <v>2023</v>
      </c>
    </row>
    <row r="62" spans="1:22">
      <c r="A62" s="44">
        <v>45047</v>
      </c>
      <c r="B62" s="24">
        <v>6.6074999999999999</v>
      </c>
      <c r="C62" s="24">
        <v>5.91</v>
      </c>
      <c r="D62" s="24">
        <v>6.2564772727272722</v>
      </c>
      <c r="E62" s="24">
        <f t="shared" si="9"/>
        <v>0.35102272727272776</v>
      </c>
      <c r="F62" s="24">
        <f t="shared" si="10"/>
        <v>-0.34647727272727202</v>
      </c>
      <c r="M62" s="44">
        <f t="shared" si="0"/>
        <v>45047</v>
      </c>
      <c r="U62" s="8">
        <f t="shared" si="1"/>
        <v>5</v>
      </c>
      <c r="V62" s="8">
        <f t="shared" si="2"/>
        <v>2023</v>
      </c>
    </row>
    <row r="63" spans="1:22">
      <c r="A63" s="44">
        <v>45078</v>
      </c>
      <c r="B63" s="24">
        <v>7.39</v>
      </c>
      <c r="C63" s="24">
        <v>6.1074999999999999</v>
      </c>
      <c r="D63" s="24">
        <v>6.6005952380952388</v>
      </c>
      <c r="E63" s="24">
        <f t="shared" si="9"/>
        <v>0.78940476190476083</v>
      </c>
      <c r="F63" s="24">
        <f t="shared" si="10"/>
        <v>-0.49309523809523892</v>
      </c>
      <c r="G63" s="47">
        <v>3</v>
      </c>
      <c r="K63" s="48">
        <f>G63/56*100</f>
        <v>5.3571428571428568</v>
      </c>
      <c r="L63" s="48"/>
      <c r="M63" s="44">
        <f t="shared" si="0"/>
        <v>45078</v>
      </c>
      <c r="N63" s="48"/>
      <c r="O63" s="48"/>
      <c r="P63" s="48"/>
      <c r="Q63" s="48"/>
      <c r="R63" s="48"/>
      <c r="U63" s="8">
        <f t="shared" si="1"/>
        <v>6</v>
      </c>
      <c r="V63" s="8">
        <f t="shared" si="2"/>
        <v>2023</v>
      </c>
    </row>
    <row r="64" spans="1:22">
      <c r="A64" s="44">
        <v>45108</v>
      </c>
      <c r="B64" s="24">
        <v>7.6025</v>
      </c>
      <c r="C64" s="24">
        <v>6.3274999999999997</v>
      </c>
      <c r="D64" s="24">
        <v>6.8307500000000001</v>
      </c>
      <c r="E64" s="24">
        <f t="shared" si="9"/>
        <v>0.77174999999999994</v>
      </c>
      <c r="F64" s="24">
        <f t="shared" si="10"/>
        <v>-0.50325000000000042</v>
      </c>
      <c r="G64" s="47">
        <v>2.52</v>
      </c>
      <c r="K64" s="48">
        <f t="shared" ref="K64:K127" si="11">G64/56*100</f>
        <v>4.5</v>
      </c>
      <c r="L64" s="48"/>
      <c r="M64" s="44">
        <f t="shared" si="0"/>
        <v>45108</v>
      </c>
      <c r="N64" s="48"/>
      <c r="O64" s="48"/>
      <c r="P64" s="48"/>
      <c r="Q64" s="48"/>
      <c r="R64" s="48"/>
      <c r="U64" s="8">
        <f t="shared" si="1"/>
        <v>7</v>
      </c>
      <c r="V64" s="8">
        <f t="shared" si="2"/>
        <v>2023</v>
      </c>
    </row>
    <row r="65" spans="1:22">
      <c r="A65" s="44">
        <v>45139</v>
      </c>
      <c r="B65" s="24">
        <v>6.5750000000000002</v>
      </c>
      <c r="C65" s="24">
        <v>5.6974999999999998</v>
      </c>
      <c r="D65" s="24">
        <v>6.1298913043478258</v>
      </c>
      <c r="E65" s="24">
        <f t="shared" si="9"/>
        <v>0.44510869565217437</v>
      </c>
      <c r="F65" s="24">
        <f t="shared" si="10"/>
        <v>-0.43239130434782602</v>
      </c>
      <c r="G65" s="47">
        <v>2.4</v>
      </c>
      <c r="K65" s="48">
        <f t="shared" si="11"/>
        <v>4.2857142857142856</v>
      </c>
      <c r="L65" s="48"/>
      <c r="M65" s="44">
        <f t="shared" si="0"/>
        <v>45139</v>
      </c>
      <c r="N65" s="48"/>
      <c r="O65" s="48"/>
      <c r="P65" s="48"/>
      <c r="Q65" s="48"/>
      <c r="R65" s="48"/>
      <c r="U65" s="8">
        <f t="shared" si="1"/>
        <v>8</v>
      </c>
      <c r="V65" s="8">
        <f t="shared" si="2"/>
        <v>2023</v>
      </c>
    </row>
    <row r="66" spans="1:22">
      <c r="A66" s="44">
        <v>45170</v>
      </c>
      <c r="B66" s="24">
        <v>6.09</v>
      </c>
      <c r="C66" s="24">
        <v>5.415</v>
      </c>
      <c r="D66" s="24">
        <v>5.8817499999999994</v>
      </c>
      <c r="E66" s="24">
        <f t="shared" si="9"/>
        <v>0.20825000000000049</v>
      </c>
      <c r="F66" s="24">
        <f t="shared" si="10"/>
        <v>-0.46674999999999933</v>
      </c>
      <c r="G66" s="47">
        <v>2.46</v>
      </c>
      <c r="K66" s="48">
        <f t="shared" si="11"/>
        <v>4.3928571428571423</v>
      </c>
      <c r="L66" s="48"/>
      <c r="M66" s="44">
        <f t="shared" si="0"/>
        <v>45170</v>
      </c>
      <c r="N66" s="48"/>
      <c r="O66" s="48"/>
      <c r="P66" s="48"/>
      <c r="Q66" s="48"/>
      <c r="R66" s="48"/>
      <c r="U66" s="8">
        <f t="shared" si="1"/>
        <v>9</v>
      </c>
      <c r="V66" s="8">
        <f t="shared" si="2"/>
        <v>2023</v>
      </c>
    </row>
    <row r="67" spans="1:22">
      <c r="A67" s="44">
        <v>45200</v>
      </c>
      <c r="B67" s="24">
        <v>5.94</v>
      </c>
      <c r="C67" s="24">
        <v>5.56</v>
      </c>
      <c r="D67" s="24">
        <v>5.7271590909090913</v>
      </c>
      <c r="E67" s="24">
        <f t="shared" si="9"/>
        <v>0.21284090909090914</v>
      </c>
      <c r="F67" s="24">
        <f t="shared" si="10"/>
        <v>-0.16715909090909165</v>
      </c>
      <c r="G67" s="47">
        <v>2.46</v>
      </c>
      <c r="K67" s="48">
        <f t="shared" si="11"/>
        <v>4.3928571428571423</v>
      </c>
      <c r="L67" s="48"/>
      <c r="M67" s="44">
        <f t="shared" ref="M67:M130" si="12">A67</f>
        <v>45200</v>
      </c>
      <c r="N67" s="48"/>
      <c r="O67" s="48"/>
      <c r="P67" s="48"/>
      <c r="Q67" s="48"/>
      <c r="R67" s="48"/>
      <c r="U67" s="8">
        <f t="shared" ref="U67:U130" si="13">MONTH(M67)</f>
        <v>10</v>
      </c>
      <c r="V67" s="8">
        <f t="shared" ref="V67:V130" si="14">YEAR(M67)</f>
        <v>2023</v>
      </c>
    </row>
    <row r="68" spans="1:22">
      <c r="A68" s="44">
        <v>45231</v>
      </c>
      <c r="B68" s="24">
        <v>5.9225000000000003</v>
      </c>
      <c r="C68" s="24">
        <v>5.3425000000000002</v>
      </c>
      <c r="D68" s="24">
        <v>5.6271428571428563</v>
      </c>
      <c r="E68" s="24">
        <f t="shared" si="9"/>
        <v>0.29535714285714398</v>
      </c>
      <c r="F68" s="24">
        <f t="shared" si="10"/>
        <v>-0.28464285714285609</v>
      </c>
      <c r="G68" s="47">
        <v>2.5299999999999998</v>
      </c>
      <c r="K68" s="48">
        <f t="shared" si="11"/>
        <v>4.5178571428571423</v>
      </c>
      <c r="L68" s="48"/>
      <c r="M68" s="44">
        <f t="shared" si="12"/>
        <v>45231</v>
      </c>
      <c r="N68" s="48"/>
      <c r="O68" s="48"/>
      <c r="P68" s="48"/>
      <c r="Q68" s="48"/>
      <c r="R68" s="48"/>
      <c r="U68" s="8">
        <f t="shared" si="13"/>
        <v>11</v>
      </c>
      <c r="V68" s="8">
        <f t="shared" si="14"/>
        <v>2023</v>
      </c>
    </row>
    <row r="69" spans="1:22">
      <c r="A69" s="44">
        <v>45261</v>
      </c>
      <c r="B69" s="24">
        <v>6.4225000000000003</v>
      </c>
      <c r="C69" s="24">
        <v>6.0274999999999999</v>
      </c>
      <c r="D69" s="24">
        <v>6.2222499999999998</v>
      </c>
      <c r="E69" s="24">
        <f t="shared" si="9"/>
        <v>0.20025000000000048</v>
      </c>
      <c r="F69" s="24">
        <f t="shared" si="10"/>
        <v>-0.19474999999999998</v>
      </c>
      <c r="G69" s="47">
        <v>2.54</v>
      </c>
      <c r="K69" s="48">
        <f t="shared" si="11"/>
        <v>4.5357142857142856</v>
      </c>
      <c r="L69" s="48"/>
      <c r="M69" s="44">
        <f t="shared" si="12"/>
        <v>45261</v>
      </c>
      <c r="N69" s="48"/>
      <c r="O69" s="48"/>
      <c r="P69" s="48"/>
      <c r="Q69" s="48"/>
      <c r="R69" s="48"/>
      <c r="U69" s="8">
        <f t="shared" si="13"/>
        <v>12</v>
      </c>
      <c r="V69" s="8">
        <f t="shared" si="14"/>
        <v>2023</v>
      </c>
    </row>
    <row r="70" spans="1:22">
      <c r="A70" s="44">
        <v>45292</v>
      </c>
      <c r="B70" s="24">
        <v>6.16</v>
      </c>
      <c r="C70" s="24">
        <v>5.82</v>
      </c>
      <c r="D70" s="24">
        <v>6.0033333333333339</v>
      </c>
      <c r="E70" s="24">
        <f t="shared" si="9"/>
        <v>0.15666666666666629</v>
      </c>
      <c r="F70" s="24">
        <f t="shared" si="10"/>
        <v>-0.18333333333333357</v>
      </c>
      <c r="G70" s="47">
        <v>2.52</v>
      </c>
      <c r="K70" s="48">
        <f t="shared" si="11"/>
        <v>4.5</v>
      </c>
      <c r="L70" s="48"/>
      <c r="M70" s="44">
        <f t="shared" si="12"/>
        <v>45292</v>
      </c>
      <c r="N70" s="48"/>
      <c r="O70" s="48"/>
      <c r="P70" s="48"/>
      <c r="Q70" s="48"/>
      <c r="R70" s="48"/>
      <c r="U70" s="8">
        <f t="shared" si="13"/>
        <v>1</v>
      </c>
      <c r="V70" s="8">
        <f t="shared" si="14"/>
        <v>2024</v>
      </c>
    </row>
    <row r="71" spans="1:22">
      <c r="A71" s="44">
        <v>45323</v>
      </c>
      <c r="B71" s="24">
        <v>6.0149999999999997</v>
      </c>
      <c r="C71" s="24">
        <v>5.6050000000000004</v>
      </c>
      <c r="D71" s="24">
        <v>5.8581250000000002</v>
      </c>
      <c r="E71" s="24">
        <f t="shared" si="9"/>
        <v>0.15687499999999943</v>
      </c>
      <c r="F71" s="24">
        <f t="shared" si="10"/>
        <v>-0.25312499999999982</v>
      </c>
      <c r="G71" s="47">
        <v>2.65</v>
      </c>
      <c r="K71" s="48">
        <f t="shared" si="11"/>
        <v>4.7321428571428568</v>
      </c>
      <c r="L71" s="48"/>
      <c r="M71" s="44">
        <f t="shared" si="12"/>
        <v>45323</v>
      </c>
      <c r="N71" s="48"/>
      <c r="O71" s="48"/>
      <c r="P71" s="48"/>
      <c r="Q71" s="48"/>
      <c r="R71" s="48"/>
      <c r="U71" s="8">
        <f t="shared" si="13"/>
        <v>2</v>
      </c>
      <c r="V71" s="8">
        <f t="shared" si="14"/>
        <v>2024</v>
      </c>
    </row>
    <row r="72" spans="1:22">
      <c r="A72" s="44">
        <v>45352</v>
      </c>
      <c r="B72" s="24">
        <v>5.64</v>
      </c>
      <c r="C72" s="24">
        <v>5.2850000000000001</v>
      </c>
      <c r="D72" s="24">
        <v>5.4588750000000008</v>
      </c>
      <c r="E72" s="24">
        <f t="shared" si="9"/>
        <v>0.18112499999999887</v>
      </c>
      <c r="F72" s="24">
        <f t="shared" si="10"/>
        <v>-0.17387500000000067</v>
      </c>
      <c r="G72" s="47">
        <v>2.78</v>
      </c>
      <c r="K72" s="48">
        <f t="shared" si="11"/>
        <v>4.9642857142857144</v>
      </c>
      <c r="L72" s="48"/>
      <c r="M72" s="44">
        <f t="shared" si="12"/>
        <v>45352</v>
      </c>
      <c r="N72" s="48"/>
      <c r="O72" s="48"/>
      <c r="P72" s="48"/>
      <c r="Q72" s="48"/>
      <c r="R72" s="48"/>
      <c r="U72" s="8">
        <f t="shared" si="13"/>
        <v>3</v>
      </c>
      <c r="V72" s="8">
        <f t="shared" si="14"/>
        <v>2024</v>
      </c>
    </row>
    <row r="73" spans="1:22">
      <c r="A73" s="44">
        <v>45383</v>
      </c>
      <c r="B73" s="24">
        <v>6.0324999999999998</v>
      </c>
      <c r="C73" s="24">
        <v>5.3674999999999997</v>
      </c>
      <c r="D73" s="24">
        <v>5.648863636363636</v>
      </c>
      <c r="E73" s="24">
        <f t="shared" si="9"/>
        <v>0.38363636363636378</v>
      </c>
      <c r="F73" s="24">
        <f t="shared" si="10"/>
        <v>-0.28136363636363626</v>
      </c>
      <c r="G73" s="47">
        <v>2.81</v>
      </c>
      <c r="K73" s="48">
        <f t="shared" si="11"/>
        <v>5.0178571428571423</v>
      </c>
      <c r="L73" s="48"/>
      <c r="M73" s="44">
        <f t="shared" si="12"/>
        <v>45383</v>
      </c>
      <c r="N73" s="48"/>
      <c r="O73" s="48"/>
      <c r="P73" s="48"/>
      <c r="Q73" s="48"/>
      <c r="R73" s="48"/>
      <c r="U73" s="8">
        <f t="shared" si="13"/>
        <v>4</v>
      </c>
      <c r="V73" s="8">
        <f t="shared" si="14"/>
        <v>2024</v>
      </c>
    </row>
    <row r="74" spans="1:22">
      <c r="A74" s="44">
        <v>45413</v>
      </c>
      <c r="B74" s="24">
        <v>7.0025000000000004</v>
      </c>
      <c r="C74" s="24">
        <v>5.9924999999999997</v>
      </c>
      <c r="D74" s="24">
        <v>6.6451136363636358</v>
      </c>
      <c r="E74" s="24">
        <f t="shared" si="9"/>
        <v>0.35738636363636456</v>
      </c>
      <c r="F74" s="24">
        <f t="shared" si="10"/>
        <v>-0.65261363636363612</v>
      </c>
      <c r="G74" s="47">
        <v>2.67</v>
      </c>
      <c r="K74" s="48">
        <f t="shared" si="11"/>
        <v>4.7678571428571423</v>
      </c>
      <c r="L74" s="48"/>
      <c r="M74" s="44">
        <f t="shared" si="12"/>
        <v>45413</v>
      </c>
      <c r="N74" s="48"/>
      <c r="O74" s="48"/>
      <c r="P74" s="48"/>
      <c r="Q74" s="48"/>
      <c r="R74" s="48"/>
      <c r="U74" s="8">
        <f t="shared" si="13"/>
        <v>5</v>
      </c>
      <c r="V74" s="8">
        <f t="shared" si="14"/>
        <v>2024</v>
      </c>
    </row>
    <row r="75" spans="1:22">
      <c r="A75" s="44">
        <v>45444</v>
      </c>
      <c r="B75" s="24">
        <v>6.7275</v>
      </c>
      <c r="C75" s="24">
        <v>5.4124999999999996</v>
      </c>
      <c r="D75" s="24">
        <v>5.992105263157895</v>
      </c>
      <c r="E75" s="24">
        <f t="shared" ref="E75:E138" si="15">B75-D75</f>
        <v>0.73539473684210499</v>
      </c>
      <c r="F75" s="24">
        <f t="shared" ref="F75:F138" si="16">C75-D75</f>
        <v>-0.5796052631578954</v>
      </c>
      <c r="G75" s="47">
        <v>2.57</v>
      </c>
      <c r="K75" s="48">
        <f t="shared" si="11"/>
        <v>4.5892857142857135</v>
      </c>
      <c r="L75" s="48"/>
      <c r="M75" s="44">
        <f t="shared" si="12"/>
        <v>45444</v>
      </c>
      <c r="N75" s="48"/>
      <c r="O75" s="48"/>
      <c r="P75" s="48"/>
      <c r="Q75" s="48"/>
      <c r="R75" s="48"/>
      <c r="U75" s="8">
        <f t="shared" si="13"/>
        <v>6</v>
      </c>
      <c r="V75" s="8">
        <f t="shared" si="14"/>
        <v>2024</v>
      </c>
    </row>
    <row r="76" spans="1:22">
      <c r="A76" s="44">
        <v>45474</v>
      </c>
      <c r="B76" s="24">
        <v>5.9050000000000002</v>
      </c>
      <c r="C76" s="24">
        <v>5.2350000000000003</v>
      </c>
      <c r="D76" s="24">
        <v>5.5106818181818191</v>
      </c>
      <c r="E76" s="24">
        <f t="shared" si="15"/>
        <v>0.39431818181818112</v>
      </c>
      <c r="F76" s="24">
        <f t="shared" si="16"/>
        <v>-0.27568181818181881</v>
      </c>
      <c r="G76" s="47">
        <v>2.2999999999999998</v>
      </c>
      <c r="K76" s="48">
        <f t="shared" si="11"/>
        <v>4.1071428571428568</v>
      </c>
      <c r="L76" s="48"/>
      <c r="M76" s="44">
        <f t="shared" si="12"/>
        <v>45474</v>
      </c>
      <c r="N76" s="48"/>
      <c r="O76" s="48"/>
      <c r="P76" s="48"/>
      <c r="Q76" s="48"/>
      <c r="R76" s="48"/>
      <c r="U76" s="8">
        <f t="shared" si="13"/>
        <v>7</v>
      </c>
      <c r="V76" s="8">
        <f t="shared" si="14"/>
        <v>2024</v>
      </c>
    </row>
    <row r="77" spans="1:22">
      <c r="A77" s="44">
        <v>45505</v>
      </c>
      <c r="B77" s="24">
        <v>5.4325000000000001</v>
      </c>
      <c r="C77" s="24">
        <v>4.9800000000000004</v>
      </c>
      <c r="D77" s="24">
        <v>5.2740909090909085</v>
      </c>
      <c r="E77" s="24">
        <f t="shared" si="15"/>
        <v>0.15840909090909161</v>
      </c>
      <c r="F77" s="24">
        <f t="shared" si="16"/>
        <v>-0.29409090909090807</v>
      </c>
      <c r="G77" s="47">
        <v>2.14</v>
      </c>
      <c r="K77" s="48">
        <f t="shared" si="11"/>
        <v>3.8214285714285716</v>
      </c>
      <c r="L77" s="48"/>
      <c r="M77" s="44">
        <f t="shared" si="12"/>
        <v>45505</v>
      </c>
      <c r="N77" s="48"/>
      <c r="O77" s="48"/>
      <c r="P77" s="48"/>
      <c r="Q77" s="48"/>
      <c r="R77" s="48"/>
      <c r="U77" s="8">
        <f t="shared" si="13"/>
        <v>8</v>
      </c>
      <c r="V77" s="8">
        <f t="shared" si="14"/>
        <v>2024</v>
      </c>
    </row>
    <row r="78" spans="1:22">
      <c r="A78" s="44">
        <v>45536</v>
      </c>
      <c r="B78" s="24">
        <v>5.9474999999999998</v>
      </c>
      <c r="C78" s="24">
        <v>5.6550000000000002</v>
      </c>
      <c r="D78" s="24">
        <v>5.7732500000000009</v>
      </c>
      <c r="E78" s="24">
        <f t="shared" si="15"/>
        <v>0.17424999999999891</v>
      </c>
      <c r="F78" s="24">
        <f t="shared" si="16"/>
        <v>-0.11825000000000063</v>
      </c>
      <c r="G78" s="47">
        <v>2.3199999999999998</v>
      </c>
      <c r="K78" s="48">
        <f t="shared" si="11"/>
        <v>4.1428571428571423</v>
      </c>
      <c r="L78" s="48"/>
      <c r="M78" s="44">
        <f t="shared" si="12"/>
        <v>45536</v>
      </c>
      <c r="N78" s="48"/>
      <c r="O78" s="48"/>
      <c r="P78" s="48"/>
      <c r="Q78" s="48"/>
      <c r="R78" s="48"/>
      <c r="U78" s="8">
        <f t="shared" si="13"/>
        <v>9</v>
      </c>
      <c r="V78" s="8">
        <f t="shared" si="14"/>
        <v>2024</v>
      </c>
    </row>
    <row r="79" spans="1:22">
      <c r="A79" s="44">
        <v>45566</v>
      </c>
      <c r="B79" s="24">
        <v>6.1524999999999999</v>
      </c>
      <c r="C79" s="24">
        <v>5.5875000000000004</v>
      </c>
      <c r="D79" s="24">
        <v>5.8516304347826091</v>
      </c>
      <c r="E79" s="24">
        <f t="shared" si="15"/>
        <v>0.30086956521739072</v>
      </c>
      <c r="F79" s="24">
        <f t="shared" si="16"/>
        <v>-0.26413043478260878</v>
      </c>
      <c r="G79" s="47">
        <v>2.37</v>
      </c>
      <c r="K79" s="48">
        <f t="shared" si="11"/>
        <v>4.2321428571428577</v>
      </c>
      <c r="L79" s="48"/>
      <c r="M79" s="44">
        <f t="shared" si="12"/>
        <v>45566</v>
      </c>
      <c r="N79" s="48"/>
      <c r="O79" s="48"/>
      <c r="P79" s="48"/>
      <c r="Q79" s="48"/>
      <c r="R79" s="48"/>
      <c r="U79" s="8">
        <f t="shared" si="13"/>
        <v>10</v>
      </c>
      <c r="V79" s="8">
        <f t="shared" si="14"/>
        <v>2024</v>
      </c>
    </row>
    <row r="80" spans="1:22">
      <c r="A80" s="44">
        <v>45597</v>
      </c>
      <c r="B80" s="24">
        <v>5.7324999999999999</v>
      </c>
      <c r="C80" s="24">
        <v>5.3025000000000002</v>
      </c>
      <c r="D80" s="24">
        <v>5.6951250000000009</v>
      </c>
      <c r="E80" s="24">
        <f t="shared" si="15"/>
        <v>3.7374999999999048E-2</v>
      </c>
      <c r="F80" s="24">
        <f t="shared" si="16"/>
        <v>-0.39262500000000067</v>
      </c>
      <c r="G80" s="47">
        <v>2.36</v>
      </c>
      <c r="K80" s="48">
        <f t="shared" si="11"/>
        <v>4.2142857142857144</v>
      </c>
      <c r="L80" s="48"/>
      <c r="M80" s="44">
        <f t="shared" si="12"/>
        <v>45597</v>
      </c>
      <c r="N80" s="48"/>
      <c r="O80" s="48"/>
      <c r="P80" s="48"/>
      <c r="Q80" s="48"/>
      <c r="R80" s="48"/>
      <c r="U80" s="8">
        <f t="shared" si="13"/>
        <v>11</v>
      </c>
      <c r="V80" s="8">
        <f t="shared" si="14"/>
        <v>2024</v>
      </c>
    </row>
    <row r="81" spans="1:22">
      <c r="A81" s="44">
        <v>45627</v>
      </c>
      <c r="B81" s="24">
        <v>5.6325000000000003</v>
      </c>
      <c r="C81" s="24">
        <v>5.33</v>
      </c>
      <c r="D81" s="24">
        <v>5.4831250000000002</v>
      </c>
      <c r="E81" s="24">
        <f t="shared" si="15"/>
        <v>0.14937500000000004</v>
      </c>
      <c r="F81" s="24">
        <f t="shared" si="16"/>
        <v>-0.15312500000000018</v>
      </c>
      <c r="G81" s="47">
        <v>2.37</v>
      </c>
      <c r="K81" s="48">
        <f t="shared" si="11"/>
        <v>4.2321428571428577</v>
      </c>
      <c r="L81" s="48"/>
      <c r="M81" s="44">
        <f t="shared" si="12"/>
        <v>45627</v>
      </c>
      <c r="N81" s="48"/>
      <c r="O81" s="48"/>
      <c r="P81" s="48"/>
      <c r="Q81" s="48"/>
      <c r="R81" s="48"/>
      <c r="U81" s="8">
        <f t="shared" si="13"/>
        <v>12</v>
      </c>
      <c r="V81" s="8">
        <f t="shared" si="14"/>
        <v>2024</v>
      </c>
    </row>
    <row r="82" spans="1:22">
      <c r="A82" s="44">
        <v>45658</v>
      </c>
      <c r="B82" s="24">
        <v>5.665</v>
      </c>
      <c r="C82" s="24">
        <v>5.2925000000000004</v>
      </c>
      <c r="D82" s="24">
        <v>5.4540476190476195</v>
      </c>
      <c r="E82" s="24">
        <f t="shared" si="15"/>
        <v>0.21095238095238056</v>
      </c>
      <c r="F82" s="24">
        <f t="shared" si="16"/>
        <v>-0.16154761904761905</v>
      </c>
      <c r="G82" s="47">
        <v>2.35</v>
      </c>
      <c r="K82" s="48">
        <f t="shared" si="11"/>
        <v>4.1964285714285721</v>
      </c>
      <c r="L82" s="48"/>
      <c r="M82" s="44">
        <f t="shared" si="12"/>
        <v>45658</v>
      </c>
      <c r="N82" s="48"/>
      <c r="O82" s="48"/>
      <c r="P82" s="48"/>
      <c r="Q82" s="48"/>
      <c r="R82" s="48"/>
      <c r="U82" s="8">
        <f t="shared" si="13"/>
        <v>1</v>
      </c>
      <c r="V82" s="8">
        <f t="shared" si="14"/>
        <v>2025</v>
      </c>
    </row>
    <row r="83" spans="1:22">
      <c r="A83" s="44">
        <v>45689</v>
      </c>
      <c r="B83" s="24">
        <v>6.0475000000000003</v>
      </c>
      <c r="C83" s="24">
        <v>5.37</v>
      </c>
      <c r="D83" s="24">
        <v>5.7730263157894743</v>
      </c>
      <c r="E83" s="24">
        <f t="shared" si="15"/>
        <v>0.27447368421052598</v>
      </c>
      <c r="F83" s="24">
        <f t="shared" si="16"/>
        <v>-0.40302631578947423</v>
      </c>
      <c r="G83" s="47">
        <v>2.2599999999999998</v>
      </c>
      <c r="K83" s="48">
        <f t="shared" si="11"/>
        <v>4.0357142857142856</v>
      </c>
      <c r="L83" s="48"/>
      <c r="M83" s="44">
        <f t="shared" si="12"/>
        <v>45689</v>
      </c>
      <c r="N83" s="48"/>
      <c r="O83" s="48"/>
      <c r="P83" s="48"/>
      <c r="Q83" s="48"/>
      <c r="R83" s="48"/>
      <c r="U83" s="8">
        <f t="shared" si="13"/>
        <v>2</v>
      </c>
      <c r="V83" s="8">
        <f t="shared" si="14"/>
        <v>2025</v>
      </c>
    </row>
    <row r="84" spans="1:22">
      <c r="A84" s="44">
        <v>45717</v>
      </c>
      <c r="B84" s="24">
        <v>5.6849999999999996</v>
      </c>
      <c r="C84" s="24">
        <v>5.2824999999999998</v>
      </c>
      <c r="D84" s="24">
        <v>5.5082142857142857</v>
      </c>
      <c r="E84" s="24">
        <f t="shared" si="15"/>
        <v>0.17678571428571388</v>
      </c>
      <c r="F84" s="24">
        <f t="shared" si="16"/>
        <v>-0.22571428571428598</v>
      </c>
      <c r="G84" s="47">
        <v>2.12</v>
      </c>
      <c r="K84" s="48">
        <f t="shared" si="11"/>
        <v>3.785714285714286</v>
      </c>
      <c r="L84" s="48"/>
      <c r="M84" s="44">
        <f t="shared" si="12"/>
        <v>45717</v>
      </c>
      <c r="N84" s="48"/>
      <c r="O84" s="48"/>
      <c r="P84" s="48"/>
      <c r="Q84" s="48"/>
      <c r="R84" s="48"/>
      <c r="U84" s="8">
        <f t="shared" si="13"/>
        <v>3</v>
      </c>
      <c r="V84" s="8">
        <f t="shared" si="14"/>
        <v>2025</v>
      </c>
    </row>
    <row r="85" spans="1:22">
      <c r="A85" s="44">
        <v>45748</v>
      </c>
      <c r="B85" s="24">
        <v>5.5575000000000001</v>
      </c>
      <c r="C85" s="24">
        <v>5.0575000000000001</v>
      </c>
      <c r="D85" s="24">
        <v>5.3524000000000003</v>
      </c>
      <c r="E85" s="24">
        <f t="shared" si="15"/>
        <v>0.20509999999999984</v>
      </c>
      <c r="F85" s="24">
        <f t="shared" si="16"/>
        <v>-0.29490000000000016</v>
      </c>
      <c r="G85" s="47">
        <v>1.88</v>
      </c>
      <c r="K85" s="48">
        <f t="shared" si="11"/>
        <v>3.3571428571428572</v>
      </c>
      <c r="L85" s="48"/>
      <c r="M85" s="44">
        <f t="shared" si="12"/>
        <v>45748</v>
      </c>
      <c r="N85" s="48"/>
      <c r="O85" s="48"/>
      <c r="P85" s="48"/>
      <c r="Q85" s="48"/>
      <c r="R85" s="48"/>
      <c r="U85" s="8">
        <f t="shared" si="13"/>
        <v>4</v>
      </c>
      <c r="V85" s="8">
        <f t="shared" si="14"/>
        <v>2025</v>
      </c>
    </row>
    <row r="86" spans="1:22">
      <c r="A86" s="44">
        <v>45778</v>
      </c>
      <c r="B86" s="58">
        <f t="shared" ref="B86" si="17">D86+AVERAGE(E74,E62,E50,E38,E26)</f>
        <v>5.8901818181818193</v>
      </c>
      <c r="C86" s="58">
        <f t="shared" ref="C86" si="18">D86+AVERAGE(F74,F62,F50,F38,F26)</f>
        <v>4.8071818181818191</v>
      </c>
      <c r="D86" s="59">
        <f>MROUND(D85+AVERAGE(D62-D61,D50-D49,D38-D37,D26-D25),0.05)-0.1</f>
        <v>5.3500000000000005</v>
      </c>
      <c r="E86" s="60">
        <f t="shared" si="15"/>
        <v>0.54018181818181876</v>
      </c>
      <c r="F86" s="60">
        <f t="shared" si="16"/>
        <v>-0.54281818181818142</v>
      </c>
      <c r="G86" s="61">
        <v>1.61</v>
      </c>
      <c r="K86" s="48">
        <f t="shared" si="11"/>
        <v>2.875</v>
      </c>
      <c r="L86" s="48"/>
      <c r="M86" s="44">
        <f t="shared" si="12"/>
        <v>45778</v>
      </c>
      <c r="N86" s="48"/>
      <c r="O86" s="48"/>
      <c r="P86" s="48"/>
      <c r="Q86" s="48"/>
      <c r="R86" s="48"/>
      <c r="U86" s="8">
        <f t="shared" si="13"/>
        <v>5</v>
      </c>
      <c r="V86" s="8">
        <f t="shared" si="14"/>
        <v>2025</v>
      </c>
    </row>
    <row r="87" spans="1:22">
      <c r="A87" s="44">
        <v>45809</v>
      </c>
      <c r="B87" s="58">
        <f t="shared" ref="B87:B99" si="19">D87+AVERAGE(E75,E63,E51,E39,E27)</f>
        <v>5.5181135794030531</v>
      </c>
      <c r="C87" s="58">
        <f t="shared" ref="C87:C99" si="20">D87+AVERAGE(F75,F63,F51,F39,F27)</f>
        <v>4.2896986803554338</v>
      </c>
      <c r="D87" s="59">
        <f>MROUND(D86+AVERAGE(D63-D62,D51-D50,D39-D38,D27-D26),0.05)</f>
        <v>4.9000000000000004</v>
      </c>
      <c r="E87" s="60">
        <f t="shared" si="15"/>
        <v>0.61811357940305278</v>
      </c>
      <c r="F87" s="60">
        <f t="shared" si="16"/>
        <v>-0.61030131964456658</v>
      </c>
      <c r="G87" s="61">
        <v>1.58</v>
      </c>
      <c r="K87" s="48">
        <f t="shared" si="11"/>
        <v>2.8214285714285716</v>
      </c>
      <c r="L87" s="48"/>
      <c r="M87" s="44">
        <f t="shared" si="12"/>
        <v>45809</v>
      </c>
      <c r="N87" s="48"/>
      <c r="O87" s="48"/>
      <c r="P87" s="48"/>
      <c r="Q87" s="48"/>
      <c r="R87" s="48"/>
      <c r="U87" s="8">
        <f t="shared" si="13"/>
        <v>6</v>
      </c>
      <c r="V87" s="8">
        <f t="shared" si="14"/>
        <v>2025</v>
      </c>
    </row>
    <row r="88" spans="1:22">
      <c r="A88" s="44">
        <v>45839</v>
      </c>
      <c r="B88" s="58">
        <f>D88+AVERAGE(E76,E64,E52,E40,E28)</f>
        <v>5.9318327922077927</v>
      </c>
      <c r="C88" s="58">
        <f t="shared" si="20"/>
        <v>4.9688327922077926</v>
      </c>
      <c r="D88" s="59">
        <v>5.4</v>
      </c>
      <c r="E88" s="60">
        <f t="shared" si="15"/>
        <v>0.53183279220779234</v>
      </c>
      <c r="F88" s="60">
        <f t="shared" si="16"/>
        <v>-0.43116720779220774</v>
      </c>
      <c r="G88" s="61">
        <v>1.68</v>
      </c>
      <c r="K88" s="48">
        <f t="shared" si="11"/>
        <v>3</v>
      </c>
      <c r="L88" s="48"/>
      <c r="M88" s="44">
        <f t="shared" si="12"/>
        <v>45839</v>
      </c>
      <c r="N88" s="48"/>
      <c r="O88" s="48"/>
      <c r="P88" s="48"/>
      <c r="Q88" s="48"/>
      <c r="R88" s="48"/>
      <c r="U88" s="8">
        <f t="shared" si="13"/>
        <v>7</v>
      </c>
      <c r="V88" s="8">
        <f t="shared" si="14"/>
        <v>2025</v>
      </c>
    </row>
    <row r="89" spans="1:22">
      <c r="A89" s="44">
        <v>45870</v>
      </c>
      <c r="B89" s="58">
        <f t="shared" si="19"/>
        <v>5.5736956568793525</v>
      </c>
      <c r="C89" s="58">
        <f t="shared" si="20"/>
        <v>4.922195656879353</v>
      </c>
      <c r="D89" s="59">
        <v>5.25</v>
      </c>
      <c r="E89" s="60">
        <f t="shared" si="15"/>
        <v>0.32369565687935253</v>
      </c>
      <c r="F89" s="60">
        <f t="shared" si="16"/>
        <v>-0.32780434312064699</v>
      </c>
      <c r="G89" s="61">
        <v>2.0299999999999998</v>
      </c>
      <c r="K89" s="48">
        <f t="shared" si="11"/>
        <v>3.6249999999999996</v>
      </c>
      <c r="L89" s="48"/>
      <c r="M89" s="44">
        <f t="shared" si="12"/>
        <v>45870</v>
      </c>
      <c r="N89" s="48"/>
      <c r="O89" s="48"/>
      <c r="P89" s="48"/>
      <c r="Q89" s="48"/>
      <c r="R89" s="48"/>
      <c r="U89" s="8">
        <f t="shared" si="13"/>
        <v>8</v>
      </c>
      <c r="V89" s="8">
        <f t="shared" si="14"/>
        <v>2025</v>
      </c>
    </row>
    <row r="90" spans="1:22">
      <c r="A90" s="44">
        <v>45901</v>
      </c>
      <c r="B90" s="56">
        <f t="shared" si="19"/>
        <v>5.445502380952381</v>
      </c>
      <c r="C90" s="56">
        <f t="shared" si="20"/>
        <v>4.8610023809523808</v>
      </c>
      <c r="D90" s="57">
        <v>5.1825000000000001</v>
      </c>
      <c r="E90" s="24">
        <f t="shared" si="15"/>
        <v>0.26300238095238093</v>
      </c>
      <c r="F90" s="24">
        <f t="shared" si="16"/>
        <v>-0.32149761904761931</v>
      </c>
      <c r="G90" s="47">
        <v>2.08</v>
      </c>
      <c r="K90" s="48">
        <f t="shared" si="11"/>
        <v>3.7142857142857144</v>
      </c>
      <c r="L90" s="48"/>
      <c r="M90" s="44">
        <f t="shared" si="12"/>
        <v>45901</v>
      </c>
      <c r="N90" s="48"/>
      <c r="O90" s="48"/>
      <c r="P90" s="48"/>
      <c r="Q90" s="48"/>
      <c r="R90" s="48"/>
      <c r="U90" s="8">
        <f t="shared" si="13"/>
        <v>9</v>
      </c>
      <c r="V90" s="8">
        <f t="shared" si="14"/>
        <v>2025</v>
      </c>
    </row>
    <row r="91" spans="1:22">
      <c r="A91" s="44">
        <v>45931</v>
      </c>
      <c r="B91" s="56">
        <f t="shared" si="19"/>
        <v>5.7437377658573316</v>
      </c>
      <c r="C91" s="56">
        <f t="shared" si="20"/>
        <v>5.1152377658573309</v>
      </c>
      <c r="D91" s="57">
        <f>MROUND(D90+AVERAGE(D67-D66,D55-D54,D43-D42,D31-D30),0.05)</f>
        <v>5.4</v>
      </c>
      <c r="E91" s="24">
        <f t="shared" si="15"/>
        <v>0.34373776585733129</v>
      </c>
      <c r="F91" s="24">
        <f t="shared" si="16"/>
        <v>-0.28476223414266943</v>
      </c>
      <c r="G91" s="47">
        <v>2.04</v>
      </c>
      <c r="K91" s="48">
        <f t="shared" si="11"/>
        <v>3.6428571428571428</v>
      </c>
      <c r="L91" s="48"/>
      <c r="M91" s="44">
        <f t="shared" si="12"/>
        <v>45931</v>
      </c>
      <c r="N91" s="48"/>
      <c r="O91" s="48"/>
      <c r="P91" s="48"/>
      <c r="Q91" s="48"/>
      <c r="R91" s="48"/>
      <c r="U91" s="8">
        <f t="shared" si="13"/>
        <v>10</v>
      </c>
      <c r="V91" s="8">
        <f t="shared" si="14"/>
        <v>2025</v>
      </c>
    </row>
    <row r="92" spans="1:22">
      <c r="A92" s="44">
        <v>45962</v>
      </c>
      <c r="B92" s="56">
        <f t="shared" si="19"/>
        <v>5.7219535714285721</v>
      </c>
      <c r="C92" s="56">
        <f t="shared" si="20"/>
        <v>4.9874535714285715</v>
      </c>
      <c r="D92" s="57">
        <f t="shared" ref="D92:D99" si="21">MROUND(D91+AVERAGE(D68-D67,D56-D55,D44-D43,D32-D31),0.05)</f>
        <v>5.3500000000000005</v>
      </c>
      <c r="E92" s="24">
        <f t="shared" si="15"/>
        <v>0.37195357142857155</v>
      </c>
      <c r="F92" s="24">
        <f t="shared" si="16"/>
        <v>-0.36254642857142905</v>
      </c>
      <c r="G92" s="47">
        <v>2.06</v>
      </c>
      <c r="K92" s="48">
        <f t="shared" si="11"/>
        <v>3.6785714285714288</v>
      </c>
      <c r="L92" s="48"/>
      <c r="M92" s="44">
        <f t="shared" si="12"/>
        <v>45962</v>
      </c>
      <c r="N92" s="48"/>
      <c r="O92" s="48"/>
      <c r="P92" s="48"/>
      <c r="Q92" s="48"/>
      <c r="R92" s="48"/>
      <c r="U92" s="8">
        <f t="shared" si="13"/>
        <v>11</v>
      </c>
      <c r="V92" s="8">
        <f t="shared" si="14"/>
        <v>2025</v>
      </c>
    </row>
    <row r="93" spans="1:22">
      <c r="A93" s="44">
        <v>45992</v>
      </c>
      <c r="B93" s="56">
        <f t="shared" si="19"/>
        <v>5.607668506493507</v>
      </c>
      <c r="C93" s="56">
        <f t="shared" si="20"/>
        <v>5.0826685064935067</v>
      </c>
      <c r="D93" s="57">
        <f t="shared" si="21"/>
        <v>5.3500000000000005</v>
      </c>
      <c r="E93" s="24">
        <f t="shared" si="15"/>
        <v>0.25766850649350648</v>
      </c>
      <c r="F93" s="24">
        <f t="shared" si="16"/>
        <v>-0.26733149350649388</v>
      </c>
      <c r="G93" s="47">
        <v>2.2000000000000002</v>
      </c>
      <c r="K93" s="48">
        <f t="shared" si="11"/>
        <v>3.9285714285714293</v>
      </c>
      <c r="L93" s="48"/>
      <c r="M93" s="44">
        <f t="shared" si="12"/>
        <v>45992</v>
      </c>
      <c r="N93" s="48"/>
      <c r="O93" s="48"/>
      <c r="P93" s="48"/>
      <c r="Q93" s="48"/>
      <c r="R93" s="48"/>
      <c r="U93" s="8">
        <f t="shared" si="13"/>
        <v>12</v>
      </c>
      <c r="V93" s="8">
        <f t="shared" si="14"/>
        <v>2025</v>
      </c>
    </row>
    <row r="94" spans="1:22">
      <c r="A94" s="44">
        <v>46023</v>
      </c>
      <c r="B94" s="56">
        <f t="shared" si="19"/>
        <v>5.6174856516290728</v>
      </c>
      <c r="C94" s="56">
        <f t="shared" si="20"/>
        <v>5.1289856516290726</v>
      </c>
      <c r="D94" s="57">
        <f t="shared" si="21"/>
        <v>5.3500000000000005</v>
      </c>
      <c r="E94" s="24">
        <f t="shared" si="15"/>
        <v>0.26748565162907223</v>
      </c>
      <c r="F94" s="24">
        <f t="shared" si="16"/>
        <v>-0.22101434837092793</v>
      </c>
      <c r="G94" s="47">
        <v>2.31</v>
      </c>
      <c r="K94" s="48">
        <f t="shared" si="11"/>
        <v>4.125</v>
      </c>
      <c r="L94" s="48"/>
      <c r="M94" s="44">
        <f t="shared" si="12"/>
        <v>46023</v>
      </c>
      <c r="N94" s="48"/>
      <c r="O94" s="48"/>
      <c r="P94" s="48"/>
      <c r="Q94" s="48"/>
      <c r="R94" s="48"/>
      <c r="U94" s="8">
        <f t="shared" si="13"/>
        <v>1</v>
      </c>
      <c r="V94" s="8">
        <f t="shared" si="14"/>
        <v>2026</v>
      </c>
    </row>
    <row r="95" spans="1:22">
      <c r="A95" s="44">
        <v>46054</v>
      </c>
      <c r="B95" s="56">
        <f t="shared" si="19"/>
        <v>5.867611842105263</v>
      </c>
      <c r="C95" s="56">
        <f t="shared" si="20"/>
        <v>5.0031118421052634</v>
      </c>
      <c r="D95" s="57">
        <f t="shared" si="21"/>
        <v>5.4</v>
      </c>
      <c r="E95" s="24">
        <f t="shared" si="15"/>
        <v>0.46761184210526263</v>
      </c>
      <c r="F95" s="24">
        <f t="shared" si="16"/>
        <v>-0.39688815789473697</v>
      </c>
      <c r="G95" s="47">
        <v>2.34</v>
      </c>
      <c r="K95" s="48">
        <f t="shared" si="11"/>
        <v>4.1785714285714279</v>
      </c>
      <c r="L95" s="48"/>
      <c r="M95" s="44">
        <f t="shared" si="12"/>
        <v>46054</v>
      </c>
      <c r="N95" s="48"/>
      <c r="O95" s="48"/>
      <c r="P95" s="48"/>
      <c r="Q95" s="48"/>
      <c r="R95" s="48"/>
      <c r="U95" s="8">
        <f t="shared" si="13"/>
        <v>2</v>
      </c>
      <c r="V95" s="8">
        <f t="shared" si="14"/>
        <v>2026</v>
      </c>
    </row>
    <row r="96" spans="1:22">
      <c r="A96" s="44">
        <v>46082</v>
      </c>
      <c r="B96" s="56">
        <f t="shared" si="19"/>
        <v>6.3923212732919259</v>
      </c>
      <c r="C96" s="56">
        <f t="shared" si="20"/>
        <v>5.3903212732919261</v>
      </c>
      <c r="D96" s="57">
        <f t="shared" si="21"/>
        <v>5.8500000000000005</v>
      </c>
      <c r="E96" s="24">
        <f t="shared" si="15"/>
        <v>0.54232127329192537</v>
      </c>
      <c r="F96" s="24">
        <f t="shared" si="16"/>
        <v>-0.45967872670807441</v>
      </c>
      <c r="G96" s="47">
        <v>2.3199999999999998</v>
      </c>
      <c r="K96" s="48">
        <f t="shared" si="11"/>
        <v>4.1428571428571423</v>
      </c>
      <c r="L96" s="48"/>
      <c r="M96" s="44">
        <f t="shared" si="12"/>
        <v>46082</v>
      </c>
      <c r="N96" s="48"/>
      <c r="O96" s="48"/>
      <c r="P96" s="48"/>
      <c r="Q96" s="48"/>
      <c r="R96" s="48"/>
      <c r="U96" s="8">
        <f t="shared" si="13"/>
        <v>3</v>
      </c>
      <c r="V96" s="8">
        <f t="shared" si="14"/>
        <v>2026</v>
      </c>
    </row>
    <row r="97" spans="1:22">
      <c r="A97" s="44">
        <v>46113</v>
      </c>
      <c r="B97" s="56">
        <f t="shared" si="19"/>
        <v>6.2371266586921861</v>
      </c>
      <c r="C97" s="56">
        <f t="shared" si="20"/>
        <v>5.3026266586921862</v>
      </c>
      <c r="D97" s="57">
        <f t="shared" si="21"/>
        <v>5.8000000000000007</v>
      </c>
      <c r="E97" s="24">
        <f t="shared" si="15"/>
        <v>0.43712665869218537</v>
      </c>
      <c r="F97" s="24">
        <f t="shared" si="16"/>
        <v>-0.49737334130781452</v>
      </c>
      <c r="G97" s="47">
        <v>2.11</v>
      </c>
      <c r="K97" s="48">
        <f t="shared" si="11"/>
        <v>3.7678571428571428</v>
      </c>
      <c r="L97" s="48"/>
      <c r="M97" s="44">
        <f t="shared" si="12"/>
        <v>46113</v>
      </c>
      <c r="N97" s="48"/>
      <c r="O97" s="48"/>
      <c r="P97" s="48"/>
      <c r="Q97" s="48"/>
      <c r="R97" s="48"/>
      <c r="U97" s="8">
        <f t="shared" si="13"/>
        <v>4</v>
      </c>
      <c r="V97" s="8">
        <f t="shared" si="14"/>
        <v>2026</v>
      </c>
    </row>
    <row r="98" spans="1:22">
      <c r="A98" s="44">
        <v>46143</v>
      </c>
      <c r="B98" s="56">
        <f t="shared" si="19"/>
        <v>6.8767681818181829</v>
      </c>
      <c r="C98" s="56">
        <f t="shared" si="20"/>
        <v>5.6281681818181823</v>
      </c>
      <c r="D98" s="57">
        <f t="shared" si="21"/>
        <v>6.25</v>
      </c>
      <c r="E98" s="24">
        <f t="shared" si="15"/>
        <v>0.62676818181818295</v>
      </c>
      <c r="F98" s="24">
        <f t="shared" si="16"/>
        <v>-0.62183181818181765</v>
      </c>
      <c r="G98" s="47">
        <v>1.98</v>
      </c>
      <c r="K98" s="48">
        <f t="shared" si="11"/>
        <v>3.5357142857142856</v>
      </c>
      <c r="L98" s="48"/>
      <c r="M98" s="44">
        <f t="shared" si="12"/>
        <v>46143</v>
      </c>
      <c r="N98" s="48"/>
      <c r="O98" s="48"/>
      <c r="P98" s="48"/>
      <c r="Q98" s="48"/>
      <c r="R98" s="48"/>
      <c r="U98" s="8">
        <f t="shared" si="13"/>
        <v>5</v>
      </c>
      <c r="V98" s="8">
        <f t="shared" si="14"/>
        <v>2026</v>
      </c>
    </row>
    <row r="99" spans="1:22">
      <c r="A99" s="44">
        <v>46174</v>
      </c>
      <c r="B99" s="56">
        <f t="shared" si="19"/>
        <v>6.3957362952836636</v>
      </c>
      <c r="C99" s="56">
        <f t="shared" si="20"/>
        <v>5.0690533154741395</v>
      </c>
      <c r="D99" s="57">
        <f t="shared" si="21"/>
        <v>5.75</v>
      </c>
      <c r="E99" s="24">
        <f t="shared" si="15"/>
        <v>0.64573629528366361</v>
      </c>
      <c r="F99" s="24">
        <f t="shared" si="16"/>
        <v>-0.68094668452586049</v>
      </c>
      <c r="G99" s="47">
        <v>1.92</v>
      </c>
      <c r="K99" s="48">
        <f t="shared" si="11"/>
        <v>3.4285714285714288</v>
      </c>
      <c r="L99" s="48"/>
      <c r="M99" s="44">
        <f t="shared" si="12"/>
        <v>46174</v>
      </c>
      <c r="N99" s="48"/>
      <c r="O99" s="48"/>
      <c r="P99" s="48"/>
      <c r="Q99" s="48"/>
      <c r="R99" s="48"/>
      <c r="U99" s="8">
        <f t="shared" si="13"/>
        <v>6</v>
      </c>
      <c r="V99" s="8">
        <f t="shared" si="14"/>
        <v>2026</v>
      </c>
    </row>
    <row r="100" spans="1:22">
      <c r="A100" s="44">
        <v>46204</v>
      </c>
      <c r="B100" s="56">
        <f t="shared" ref="B100:B107" si="22">D100+AVERAGE(E88,E76,E64,E52,E40)</f>
        <v>5.7844266233766231</v>
      </c>
      <c r="C100" s="56">
        <f t="shared" ref="C100:C107" si="23">D100+AVERAGE(F88,F76,F64,F52,F40)</f>
        <v>4.7463266233766239</v>
      </c>
      <c r="D100" s="57">
        <f t="shared" ref="D100:D107" si="24">MROUND(D99+AVERAGE(D76-D75,D64-D63,D52-D51,D40-D39),0.05)</f>
        <v>5.2</v>
      </c>
      <c r="E100" s="24">
        <f t="shared" si="15"/>
        <v>0.58442662337662288</v>
      </c>
      <c r="F100" s="24">
        <f t="shared" si="16"/>
        <v>-0.45367337662337626</v>
      </c>
      <c r="G100" s="47">
        <v>2.02</v>
      </c>
      <c r="K100" s="48">
        <f t="shared" si="11"/>
        <v>3.6071428571428572</v>
      </c>
      <c r="L100" s="48"/>
      <c r="M100" s="44">
        <f t="shared" si="12"/>
        <v>46204</v>
      </c>
      <c r="N100" s="48"/>
      <c r="O100" s="48"/>
      <c r="P100" s="48"/>
      <c r="Q100" s="48"/>
      <c r="R100" s="48"/>
      <c r="U100" s="8">
        <f t="shared" si="13"/>
        <v>7</v>
      </c>
      <c r="V100" s="8">
        <f t="shared" si="14"/>
        <v>2026</v>
      </c>
    </row>
    <row r="101" spans="1:22">
      <c r="A101" s="44">
        <v>46235</v>
      </c>
      <c r="B101" s="56">
        <f t="shared" si="22"/>
        <v>5.3784585977790336</v>
      </c>
      <c r="C101" s="56">
        <f t="shared" si="23"/>
        <v>4.7031585977790336</v>
      </c>
      <c r="D101" s="57">
        <f t="shared" si="24"/>
        <v>5.0500000000000007</v>
      </c>
      <c r="E101" s="24">
        <f t="shared" si="15"/>
        <v>0.32845859777903286</v>
      </c>
      <c r="F101" s="24">
        <f t="shared" si="16"/>
        <v>-0.34684140222096715</v>
      </c>
      <c r="G101" s="47">
        <v>2.15</v>
      </c>
      <c r="K101" s="48">
        <f t="shared" si="11"/>
        <v>3.839285714285714</v>
      </c>
      <c r="L101" s="48"/>
      <c r="M101" s="44">
        <f t="shared" si="12"/>
        <v>46235</v>
      </c>
      <c r="N101" s="48"/>
      <c r="O101" s="48"/>
      <c r="P101" s="48"/>
      <c r="Q101" s="48"/>
      <c r="R101" s="48"/>
      <c r="U101" s="8">
        <f t="shared" si="13"/>
        <v>8</v>
      </c>
      <c r="V101" s="8">
        <f t="shared" si="14"/>
        <v>2026</v>
      </c>
    </row>
    <row r="102" spans="1:22">
      <c r="A102" s="44">
        <v>46266</v>
      </c>
      <c r="B102" s="56">
        <f t="shared" si="22"/>
        <v>5.5138647619047614</v>
      </c>
      <c r="C102" s="56">
        <f t="shared" si="23"/>
        <v>4.8919647619047621</v>
      </c>
      <c r="D102" s="57">
        <f t="shared" si="24"/>
        <v>5.25</v>
      </c>
      <c r="E102" s="24">
        <f t="shared" si="15"/>
        <v>0.26386476190476138</v>
      </c>
      <c r="F102" s="24">
        <f t="shared" si="16"/>
        <v>-0.35803523809523785</v>
      </c>
      <c r="G102" s="47">
        <v>2.12</v>
      </c>
      <c r="K102" s="48">
        <f t="shared" si="11"/>
        <v>3.785714285714286</v>
      </c>
      <c r="L102" s="48"/>
      <c r="M102" s="44">
        <f t="shared" si="12"/>
        <v>46266</v>
      </c>
      <c r="N102" s="48"/>
      <c r="O102" s="48"/>
      <c r="P102" s="48"/>
      <c r="Q102" s="48"/>
      <c r="R102" s="48"/>
      <c r="U102" s="8">
        <f t="shared" si="13"/>
        <v>9</v>
      </c>
      <c r="V102" s="8">
        <f t="shared" si="14"/>
        <v>2026</v>
      </c>
    </row>
    <row r="103" spans="1:22">
      <c r="A103" s="44">
        <v>46296</v>
      </c>
      <c r="B103" s="56">
        <f t="shared" si="22"/>
        <v>5.7093944099378886</v>
      </c>
      <c r="C103" s="56">
        <f t="shared" si="23"/>
        <v>5.0801944099378886</v>
      </c>
      <c r="D103" s="57">
        <f t="shared" si="24"/>
        <v>5.3500000000000005</v>
      </c>
      <c r="E103" s="24">
        <f t="shared" si="15"/>
        <v>0.35939440993788807</v>
      </c>
      <c r="F103" s="24">
        <f t="shared" si="16"/>
        <v>-0.26980559006211191</v>
      </c>
      <c r="G103" s="47">
        <v>2.12</v>
      </c>
      <c r="K103" s="48">
        <f t="shared" si="11"/>
        <v>3.785714285714286</v>
      </c>
      <c r="L103" s="48"/>
      <c r="M103" s="44">
        <f t="shared" si="12"/>
        <v>46296</v>
      </c>
      <c r="N103" s="48"/>
      <c r="O103" s="48"/>
      <c r="P103" s="48"/>
      <c r="Q103" s="48"/>
      <c r="R103" s="48"/>
      <c r="U103" s="8">
        <f t="shared" si="13"/>
        <v>10</v>
      </c>
      <c r="V103" s="8">
        <f t="shared" si="14"/>
        <v>2026</v>
      </c>
    </row>
    <row r="104" spans="1:22">
      <c r="A104" s="44">
        <v>46327</v>
      </c>
      <c r="B104" s="56">
        <f t="shared" si="22"/>
        <v>5.7207942857142866</v>
      </c>
      <c r="C104" s="56">
        <f t="shared" si="23"/>
        <v>4.9013942857142858</v>
      </c>
      <c r="D104" s="57">
        <f t="shared" si="24"/>
        <v>5.3000000000000007</v>
      </c>
      <c r="E104" s="24">
        <f t="shared" si="15"/>
        <v>0.4207942857142859</v>
      </c>
      <c r="F104" s="24">
        <f t="shared" si="16"/>
        <v>-0.3986057142857149</v>
      </c>
      <c r="G104" s="47">
        <v>2.17</v>
      </c>
      <c r="K104" s="48">
        <f t="shared" si="11"/>
        <v>3.875</v>
      </c>
      <c r="L104" s="48"/>
      <c r="M104" s="44">
        <f t="shared" si="12"/>
        <v>46327</v>
      </c>
      <c r="N104" s="48"/>
      <c r="O104" s="48"/>
      <c r="P104" s="48"/>
      <c r="Q104" s="48"/>
      <c r="R104" s="48"/>
      <c r="U104" s="8">
        <f t="shared" si="13"/>
        <v>11</v>
      </c>
      <c r="V104" s="8">
        <f t="shared" si="14"/>
        <v>2026</v>
      </c>
    </row>
    <row r="105" spans="1:22">
      <c r="A105" s="44">
        <v>46357</v>
      </c>
      <c r="B105" s="56">
        <f t="shared" si="22"/>
        <v>5.4848158441558441</v>
      </c>
      <c r="C105" s="56">
        <f t="shared" si="23"/>
        <v>4.996315844155844</v>
      </c>
      <c r="D105" s="57">
        <f t="shared" si="24"/>
        <v>5.25</v>
      </c>
      <c r="E105" s="24">
        <f t="shared" si="15"/>
        <v>0.23481584415584411</v>
      </c>
      <c r="F105" s="24">
        <f t="shared" si="16"/>
        <v>-0.25368415584415605</v>
      </c>
      <c r="G105" s="47">
        <v>2.2599999999999998</v>
      </c>
      <c r="K105" s="48">
        <f t="shared" si="11"/>
        <v>4.0357142857142856</v>
      </c>
      <c r="L105" s="48"/>
      <c r="M105" s="44">
        <f t="shared" si="12"/>
        <v>46357</v>
      </c>
      <c r="N105" s="48"/>
      <c r="O105" s="48"/>
      <c r="P105" s="48"/>
      <c r="Q105" s="48"/>
      <c r="R105" s="48"/>
      <c r="U105" s="8">
        <f t="shared" si="13"/>
        <v>12</v>
      </c>
      <c r="V105" s="8">
        <f t="shared" si="14"/>
        <v>2026</v>
      </c>
    </row>
    <row r="106" spans="1:22">
      <c r="A106" s="44">
        <v>46388</v>
      </c>
      <c r="B106" s="56">
        <f t="shared" si="22"/>
        <v>5.3802459398496243</v>
      </c>
      <c r="C106" s="56">
        <f t="shared" si="23"/>
        <v>4.8760459398496243</v>
      </c>
      <c r="D106" s="57">
        <f t="shared" si="24"/>
        <v>5.1000000000000005</v>
      </c>
      <c r="E106" s="24">
        <f t="shared" si="15"/>
        <v>0.28024593984962376</v>
      </c>
      <c r="F106" s="24">
        <f t="shared" si="16"/>
        <v>-0.22395406015037622</v>
      </c>
      <c r="G106" s="47">
        <v>2.3199999999999998</v>
      </c>
      <c r="K106" s="48">
        <f t="shared" si="11"/>
        <v>4.1428571428571423</v>
      </c>
      <c r="L106" s="48"/>
      <c r="M106" s="44">
        <f t="shared" si="12"/>
        <v>46388</v>
      </c>
      <c r="N106" s="48"/>
      <c r="O106" s="48"/>
      <c r="P106" s="48"/>
      <c r="Q106" s="48"/>
      <c r="R106" s="48"/>
      <c r="U106" s="8">
        <f t="shared" si="13"/>
        <v>1</v>
      </c>
      <c r="V106" s="8">
        <f t="shared" si="14"/>
        <v>2027</v>
      </c>
    </row>
    <row r="107" spans="1:22">
      <c r="A107" s="44">
        <v>46419</v>
      </c>
      <c r="B107" s="56">
        <f t="shared" si="22"/>
        <v>5.7543447368421052</v>
      </c>
      <c r="C107" s="56">
        <f t="shared" si="23"/>
        <v>4.8104447368421051</v>
      </c>
      <c r="D107" s="57">
        <f t="shared" si="24"/>
        <v>5.25</v>
      </c>
      <c r="E107" s="24">
        <f t="shared" si="15"/>
        <v>0.50434473684210523</v>
      </c>
      <c r="F107" s="24">
        <f t="shared" si="16"/>
        <v>-0.43955526315789495</v>
      </c>
      <c r="G107" s="47">
        <v>2.42</v>
      </c>
      <c r="K107" s="48">
        <f t="shared" si="11"/>
        <v>4.3214285714285712</v>
      </c>
      <c r="L107" s="48"/>
      <c r="M107" s="44">
        <f t="shared" si="12"/>
        <v>46419</v>
      </c>
      <c r="N107" s="48"/>
      <c r="O107" s="48"/>
      <c r="P107" s="48"/>
      <c r="Q107" s="48"/>
      <c r="R107" s="48"/>
      <c r="U107" s="8">
        <f t="shared" si="13"/>
        <v>2</v>
      </c>
      <c r="V107" s="8">
        <f t="shared" si="14"/>
        <v>2027</v>
      </c>
    </row>
    <row r="108" spans="1:22">
      <c r="A108" s="44"/>
      <c r="B108" s="24"/>
      <c r="C108" s="24"/>
      <c r="D108" s="24"/>
      <c r="E108" s="24">
        <f t="shared" si="15"/>
        <v>0</v>
      </c>
      <c r="F108" s="24">
        <f t="shared" si="16"/>
        <v>0</v>
      </c>
      <c r="G108" s="47">
        <v>2.62</v>
      </c>
      <c r="K108" s="48">
        <f t="shared" si="11"/>
        <v>4.6785714285714288</v>
      </c>
      <c r="L108" s="48"/>
      <c r="M108" s="44">
        <f t="shared" si="12"/>
        <v>0</v>
      </c>
      <c r="N108" s="48"/>
      <c r="O108" s="48"/>
      <c r="P108" s="48"/>
      <c r="Q108" s="48"/>
      <c r="R108" s="48"/>
      <c r="U108" s="8">
        <f t="shared" si="13"/>
        <v>1</v>
      </c>
      <c r="V108" s="8">
        <f t="shared" si="14"/>
        <v>1900</v>
      </c>
    </row>
    <row r="109" spans="1:22">
      <c r="A109" s="44"/>
      <c r="B109" s="24"/>
      <c r="C109" s="24"/>
      <c r="D109" s="24"/>
      <c r="E109" s="24">
        <f t="shared" si="15"/>
        <v>0</v>
      </c>
      <c r="F109" s="24">
        <f t="shared" si="16"/>
        <v>0</v>
      </c>
      <c r="G109" s="47">
        <v>2.84</v>
      </c>
      <c r="K109" s="48">
        <f t="shared" si="11"/>
        <v>5.0714285714285712</v>
      </c>
      <c r="L109" s="48"/>
      <c r="M109" s="44">
        <f t="shared" si="12"/>
        <v>0</v>
      </c>
      <c r="N109" s="48"/>
      <c r="O109" s="48"/>
      <c r="P109" s="48"/>
      <c r="Q109" s="48"/>
      <c r="R109" s="48"/>
      <c r="U109" s="8">
        <f t="shared" si="13"/>
        <v>1</v>
      </c>
      <c r="V109" s="8">
        <f t="shared" si="14"/>
        <v>1900</v>
      </c>
    </row>
    <row r="110" spans="1:22">
      <c r="A110" s="44"/>
      <c r="B110" s="24"/>
      <c r="C110" s="24"/>
      <c r="D110" s="24"/>
      <c r="E110" s="24">
        <f t="shared" si="15"/>
        <v>0</v>
      </c>
      <c r="F110" s="24">
        <f t="shared" si="16"/>
        <v>0</v>
      </c>
      <c r="G110" s="47">
        <v>2.65</v>
      </c>
      <c r="K110" s="48">
        <f t="shared" si="11"/>
        <v>4.7321428571428568</v>
      </c>
      <c r="L110" s="48"/>
      <c r="M110" s="44">
        <f t="shared" si="12"/>
        <v>0</v>
      </c>
      <c r="N110" s="48"/>
      <c r="O110" s="48"/>
      <c r="P110" s="48"/>
      <c r="Q110" s="48"/>
      <c r="R110" s="48"/>
      <c r="U110" s="8">
        <f t="shared" si="13"/>
        <v>1</v>
      </c>
      <c r="V110" s="8">
        <f t="shared" si="14"/>
        <v>1900</v>
      </c>
    </row>
    <row r="111" spans="1:22">
      <c r="A111" s="44"/>
      <c r="B111" s="24"/>
      <c r="C111" s="24"/>
      <c r="D111" s="24"/>
      <c r="E111" s="24">
        <f t="shared" si="15"/>
        <v>0</v>
      </c>
      <c r="F111" s="24">
        <f t="shared" si="16"/>
        <v>0</v>
      </c>
      <c r="G111" s="47">
        <v>2.58</v>
      </c>
      <c r="K111" s="48">
        <f t="shared" si="11"/>
        <v>4.6071428571428577</v>
      </c>
      <c r="L111" s="48"/>
      <c r="M111" s="44">
        <f t="shared" si="12"/>
        <v>0</v>
      </c>
      <c r="N111" s="48"/>
      <c r="O111" s="48"/>
      <c r="P111" s="48"/>
      <c r="Q111" s="48"/>
      <c r="R111" s="48"/>
      <c r="U111" s="8">
        <f t="shared" si="13"/>
        <v>1</v>
      </c>
      <c r="V111" s="8">
        <f t="shared" si="14"/>
        <v>1900</v>
      </c>
    </row>
    <row r="112" spans="1:22">
      <c r="A112" s="44"/>
      <c r="B112" s="24"/>
      <c r="C112" s="24"/>
      <c r="D112" s="24"/>
      <c r="E112" s="24">
        <f t="shared" si="15"/>
        <v>0</v>
      </c>
      <c r="F112" s="24">
        <f t="shared" si="16"/>
        <v>0</v>
      </c>
      <c r="G112" s="47">
        <v>2.48</v>
      </c>
      <c r="K112" s="48">
        <f t="shared" si="11"/>
        <v>4.4285714285714279</v>
      </c>
      <c r="L112" s="48"/>
      <c r="M112" s="44">
        <f t="shared" si="12"/>
        <v>0</v>
      </c>
      <c r="N112" s="48"/>
      <c r="O112" s="48"/>
      <c r="P112" s="48"/>
      <c r="Q112" s="48"/>
      <c r="R112" s="48"/>
      <c r="U112" s="8">
        <f t="shared" si="13"/>
        <v>1</v>
      </c>
      <c r="V112" s="8">
        <f t="shared" si="14"/>
        <v>1900</v>
      </c>
    </row>
    <row r="113" spans="1:22">
      <c r="A113" s="44"/>
      <c r="B113" s="24"/>
      <c r="C113" s="24"/>
      <c r="D113" s="24"/>
      <c r="E113" s="24">
        <f t="shared" si="15"/>
        <v>0</v>
      </c>
      <c r="F113" s="24">
        <f t="shared" si="16"/>
        <v>0</v>
      </c>
      <c r="G113" s="47">
        <v>2.42</v>
      </c>
      <c r="K113" s="48">
        <f t="shared" si="11"/>
        <v>4.3214285714285712</v>
      </c>
      <c r="L113" s="48"/>
      <c r="M113" s="44">
        <f t="shared" si="12"/>
        <v>0</v>
      </c>
      <c r="N113" s="48"/>
      <c r="O113" s="48"/>
      <c r="P113" s="48"/>
      <c r="Q113" s="48"/>
      <c r="R113" s="48"/>
      <c r="U113" s="8">
        <f t="shared" si="13"/>
        <v>1</v>
      </c>
      <c r="V113" s="8">
        <f t="shared" si="14"/>
        <v>1900</v>
      </c>
    </row>
    <row r="114" spans="1:22">
      <c r="A114" s="44"/>
      <c r="B114" s="24"/>
      <c r="C114" s="24"/>
      <c r="D114" s="24"/>
      <c r="E114" s="24">
        <f t="shared" si="15"/>
        <v>0</v>
      </c>
      <c r="F114" s="24">
        <f t="shared" si="16"/>
        <v>0</v>
      </c>
      <c r="G114" s="47">
        <v>2.52</v>
      </c>
      <c r="K114" s="48">
        <f t="shared" si="11"/>
        <v>4.5</v>
      </c>
      <c r="L114" s="48"/>
      <c r="M114" s="44">
        <f t="shared" si="12"/>
        <v>0</v>
      </c>
      <c r="N114" s="48"/>
      <c r="O114" s="48"/>
      <c r="P114" s="48"/>
      <c r="Q114" s="48"/>
      <c r="R114" s="48"/>
      <c r="U114" s="8">
        <f t="shared" si="13"/>
        <v>1</v>
      </c>
      <c r="V114" s="8">
        <f t="shared" si="14"/>
        <v>1900</v>
      </c>
    </row>
    <row r="115" spans="1:22">
      <c r="A115" s="44"/>
      <c r="B115" s="24"/>
      <c r="C115" s="24"/>
      <c r="D115" s="24"/>
      <c r="E115" s="24">
        <f t="shared" si="15"/>
        <v>0</v>
      </c>
      <c r="F115" s="24">
        <f t="shared" si="16"/>
        <v>0</v>
      </c>
      <c r="G115" s="47">
        <v>2.35</v>
      </c>
      <c r="K115" s="48">
        <f t="shared" si="11"/>
        <v>4.1964285714285721</v>
      </c>
      <c r="L115" s="48"/>
      <c r="M115" s="44">
        <f t="shared" si="12"/>
        <v>0</v>
      </c>
      <c r="N115" s="48"/>
      <c r="O115" s="48"/>
      <c r="P115" s="48"/>
      <c r="Q115" s="48"/>
      <c r="R115" s="48"/>
      <c r="U115" s="8">
        <f t="shared" si="13"/>
        <v>1</v>
      </c>
      <c r="V115" s="8">
        <f t="shared" si="14"/>
        <v>1900</v>
      </c>
    </row>
    <row r="116" spans="1:22">
      <c r="A116" s="44"/>
      <c r="B116" s="24"/>
      <c r="C116" s="24"/>
      <c r="D116" s="24"/>
      <c r="E116" s="24">
        <f t="shared" si="15"/>
        <v>0</v>
      </c>
      <c r="F116" s="24">
        <f t="shared" si="16"/>
        <v>0</v>
      </c>
      <c r="G116" s="47">
        <v>2.46</v>
      </c>
      <c r="K116" s="48">
        <f t="shared" si="11"/>
        <v>4.3928571428571423</v>
      </c>
      <c r="L116" s="48"/>
      <c r="M116" s="44">
        <f t="shared" si="12"/>
        <v>0</v>
      </c>
      <c r="N116" s="48"/>
      <c r="O116" s="48"/>
      <c r="P116" s="48"/>
      <c r="Q116" s="48"/>
      <c r="R116" s="48"/>
      <c r="U116" s="8">
        <f t="shared" si="13"/>
        <v>1</v>
      </c>
      <c r="V116" s="8">
        <f t="shared" si="14"/>
        <v>1900</v>
      </c>
    </row>
    <row r="117" spans="1:22">
      <c r="A117" s="44"/>
      <c r="B117" s="24"/>
      <c r="C117" s="24"/>
      <c r="D117" s="24"/>
      <c r="E117" s="24">
        <f t="shared" si="15"/>
        <v>0</v>
      </c>
      <c r="F117" s="24">
        <f t="shared" si="16"/>
        <v>0</v>
      </c>
      <c r="G117" s="47">
        <v>2.38</v>
      </c>
      <c r="K117" s="48">
        <f t="shared" si="11"/>
        <v>4.25</v>
      </c>
      <c r="L117" s="48"/>
      <c r="M117" s="44">
        <f t="shared" si="12"/>
        <v>0</v>
      </c>
      <c r="N117" s="48"/>
      <c r="O117" s="48"/>
      <c r="P117" s="48"/>
      <c r="Q117" s="48"/>
      <c r="R117" s="48"/>
      <c r="U117" s="8">
        <f t="shared" si="13"/>
        <v>1</v>
      </c>
      <c r="V117" s="8">
        <f t="shared" si="14"/>
        <v>1900</v>
      </c>
    </row>
    <row r="118" spans="1:22">
      <c r="A118" s="44"/>
      <c r="B118" s="24"/>
      <c r="C118" s="24"/>
      <c r="D118" s="24"/>
      <c r="E118" s="24">
        <f t="shared" si="15"/>
        <v>0</v>
      </c>
      <c r="F118" s="24">
        <f t="shared" si="16"/>
        <v>0</v>
      </c>
      <c r="G118" s="47">
        <v>2.4</v>
      </c>
      <c r="K118" s="48">
        <f t="shared" si="11"/>
        <v>4.2857142857142856</v>
      </c>
      <c r="L118" s="48"/>
      <c r="M118" s="44">
        <f t="shared" si="12"/>
        <v>0</v>
      </c>
      <c r="N118" s="48"/>
      <c r="O118" s="48"/>
      <c r="P118" s="48"/>
      <c r="Q118" s="48"/>
      <c r="R118" s="48"/>
      <c r="U118" s="8">
        <f t="shared" si="13"/>
        <v>1</v>
      </c>
      <c r="V118" s="8">
        <f t="shared" si="14"/>
        <v>1900</v>
      </c>
    </row>
    <row r="119" spans="1:22">
      <c r="A119" s="44"/>
      <c r="B119" s="24"/>
      <c r="C119" s="24"/>
      <c r="D119" s="24"/>
      <c r="E119" s="24">
        <f t="shared" si="15"/>
        <v>0</v>
      </c>
      <c r="F119" s="24">
        <f t="shared" si="16"/>
        <v>0</v>
      </c>
      <c r="G119" s="47">
        <v>2.48</v>
      </c>
      <c r="K119" s="48">
        <f t="shared" si="11"/>
        <v>4.4285714285714279</v>
      </c>
      <c r="L119" s="48"/>
      <c r="M119" s="44">
        <f t="shared" si="12"/>
        <v>0</v>
      </c>
      <c r="N119" s="48"/>
      <c r="O119" s="48"/>
      <c r="P119" s="48"/>
      <c r="Q119" s="48"/>
      <c r="R119" s="48"/>
      <c r="U119" s="8">
        <f t="shared" si="13"/>
        <v>1</v>
      </c>
      <c r="V119" s="8">
        <f t="shared" si="14"/>
        <v>1900</v>
      </c>
    </row>
    <row r="120" spans="1:22">
      <c r="A120" s="44"/>
      <c r="B120" s="24"/>
      <c r="C120" s="24"/>
      <c r="D120" s="24"/>
      <c r="E120" s="24">
        <f t="shared" si="15"/>
        <v>0</v>
      </c>
      <c r="F120" s="24">
        <f t="shared" si="16"/>
        <v>0</v>
      </c>
      <c r="G120" s="47">
        <v>2.52</v>
      </c>
      <c r="K120" s="48">
        <f t="shared" si="11"/>
        <v>4.5</v>
      </c>
      <c r="L120" s="48"/>
      <c r="M120" s="44">
        <f t="shared" si="12"/>
        <v>0</v>
      </c>
      <c r="N120" s="48"/>
      <c r="O120" s="48"/>
      <c r="P120" s="48"/>
      <c r="Q120" s="48"/>
      <c r="R120" s="48"/>
      <c r="U120" s="8">
        <f t="shared" si="13"/>
        <v>1</v>
      </c>
      <c r="V120" s="8">
        <f t="shared" si="14"/>
        <v>1900</v>
      </c>
    </row>
    <row r="121" spans="1:22">
      <c r="A121" s="44"/>
      <c r="B121" s="24"/>
      <c r="C121" s="24"/>
      <c r="D121" s="24"/>
      <c r="E121" s="24">
        <f t="shared" si="15"/>
        <v>0</v>
      </c>
      <c r="F121" s="24">
        <f t="shared" si="16"/>
        <v>0</v>
      </c>
      <c r="G121" s="47">
        <v>2.86</v>
      </c>
      <c r="K121" s="48">
        <f t="shared" si="11"/>
        <v>5.1071428571428568</v>
      </c>
      <c r="L121" s="48"/>
      <c r="M121" s="44">
        <f t="shared" si="12"/>
        <v>0</v>
      </c>
      <c r="N121" s="48"/>
      <c r="O121" s="48"/>
      <c r="P121" s="48"/>
      <c r="Q121" s="48"/>
      <c r="R121" s="48"/>
      <c r="U121" s="8">
        <f t="shared" si="13"/>
        <v>1</v>
      </c>
      <c r="V121" s="8">
        <f t="shared" si="14"/>
        <v>1900</v>
      </c>
    </row>
    <row r="122" spans="1:22">
      <c r="A122" s="44"/>
      <c r="B122" s="24"/>
      <c r="C122" s="24"/>
      <c r="D122" s="24"/>
      <c r="E122" s="24">
        <f t="shared" si="15"/>
        <v>0</v>
      </c>
      <c r="F122" s="24">
        <f t="shared" si="16"/>
        <v>0</v>
      </c>
      <c r="G122" s="47">
        <v>3.16</v>
      </c>
      <c r="K122" s="48">
        <f t="shared" si="11"/>
        <v>5.6428571428571432</v>
      </c>
      <c r="L122" s="48"/>
      <c r="M122" s="44">
        <f t="shared" si="12"/>
        <v>0</v>
      </c>
      <c r="N122" s="48"/>
      <c r="O122" s="48"/>
      <c r="P122" s="48"/>
      <c r="Q122" s="48"/>
      <c r="R122" s="48"/>
      <c r="U122" s="8">
        <f t="shared" si="13"/>
        <v>1</v>
      </c>
      <c r="V122" s="8">
        <f t="shared" si="14"/>
        <v>1900</v>
      </c>
    </row>
    <row r="123" spans="1:22">
      <c r="A123" s="44"/>
      <c r="B123" s="24"/>
      <c r="C123" s="24"/>
      <c r="D123" s="24"/>
      <c r="E123" s="24">
        <f t="shared" si="15"/>
        <v>0</v>
      </c>
      <c r="F123" s="24">
        <f t="shared" si="16"/>
        <v>0</v>
      </c>
      <c r="G123" s="47">
        <v>3.22</v>
      </c>
      <c r="K123" s="48">
        <f t="shared" si="11"/>
        <v>5.75</v>
      </c>
      <c r="L123" s="48"/>
      <c r="M123" s="44">
        <f t="shared" si="12"/>
        <v>0</v>
      </c>
      <c r="N123" s="48"/>
      <c r="O123" s="48"/>
      <c r="P123" s="48"/>
      <c r="Q123" s="48"/>
      <c r="R123" s="48"/>
      <c r="U123" s="8">
        <f t="shared" si="13"/>
        <v>1</v>
      </c>
      <c r="V123" s="8">
        <f t="shared" si="14"/>
        <v>1900</v>
      </c>
    </row>
    <row r="124" spans="1:22">
      <c r="A124" s="44"/>
      <c r="B124" s="24"/>
      <c r="C124" s="24"/>
      <c r="D124" s="24"/>
      <c r="E124" s="24">
        <f t="shared" si="15"/>
        <v>0</v>
      </c>
      <c r="F124" s="24">
        <f t="shared" si="16"/>
        <v>0</v>
      </c>
      <c r="G124" s="47">
        <v>3.22</v>
      </c>
      <c r="K124" s="48">
        <f t="shared" si="11"/>
        <v>5.75</v>
      </c>
      <c r="L124" s="48"/>
      <c r="M124" s="44">
        <f t="shared" si="12"/>
        <v>0</v>
      </c>
      <c r="N124" s="48"/>
      <c r="O124" s="48"/>
      <c r="P124" s="48"/>
      <c r="Q124" s="48"/>
      <c r="R124" s="48"/>
      <c r="U124" s="8">
        <f t="shared" si="13"/>
        <v>1</v>
      </c>
      <c r="V124" s="8">
        <f t="shared" si="14"/>
        <v>1900</v>
      </c>
    </row>
    <row r="125" spans="1:22">
      <c r="A125" s="44"/>
      <c r="B125" s="24"/>
      <c r="C125" s="24"/>
      <c r="D125" s="24"/>
      <c r="E125" s="24">
        <f t="shared" si="15"/>
        <v>0</v>
      </c>
      <c r="F125" s="24">
        <f t="shared" si="16"/>
        <v>0</v>
      </c>
      <c r="G125" s="47">
        <v>3.38</v>
      </c>
      <c r="K125" s="48">
        <f t="shared" si="11"/>
        <v>6.0357142857142856</v>
      </c>
      <c r="L125" s="48"/>
      <c r="M125" s="44">
        <f t="shared" si="12"/>
        <v>0</v>
      </c>
      <c r="N125" s="48"/>
      <c r="O125" s="48"/>
      <c r="P125" s="48"/>
      <c r="Q125" s="48"/>
      <c r="R125" s="48"/>
      <c r="U125" s="8">
        <f t="shared" si="13"/>
        <v>1</v>
      </c>
      <c r="V125" s="8">
        <f t="shared" si="14"/>
        <v>1900</v>
      </c>
    </row>
    <row r="126" spans="1:22">
      <c r="A126" s="44"/>
      <c r="B126" s="24"/>
      <c r="C126" s="24"/>
      <c r="D126" s="24"/>
      <c r="E126" s="24">
        <f t="shared" si="15"/>
        <v>0</v>
      </c>
      <c r="F126" s="24">
        <f t="shared" si="16"/>
        <v>0</v>
      </c>
      <c r="G126" s="47">
        <v>3.36</v>
      </c>
      <c r="K126" s="48">
        <f t="shared" si="11"/>
        <v>6</v>
      </c>
      <c r="L126" s="48"/>
      <c r="M126" s="44">
        <f t="shared" si="12"/>
        <v>0</v>
      </c>
      <c r="N126" s="48"/>
      <c r="O126" s="48"/>
      <c r="P126" s="48"/>
      <c r="Q126" s="48"/>
      <c r="R126" s="48"/>
      <c r="U126" s="8">
        <f t="shared" si="13"/>
        <v>1</v>
      </c>
      <c r="V126" s="8">
        <f t="shared" si="14"/>
        <v>1900</v>
      </c>
    </row>
    <row r="127" spans="1:22">
      <c r="A127" s="44"/>
      <c r="B127" s="24"/>
      <c r="C127" s="24"/>
      <c r="D127" s="24"/>
      <c r="E127" s="24">
        <f t="shared" si="15"/>
        <v>0</v>
      </c>
      <c r="F127" s="24">
        <f t="shared" si="16"/>
        <v>0</v>
      </c>
      <c r="G127" s="47">
        <v>3.36</v>
      </c>
      <c r="K127" s="48">
        <f t="shared" si="11"/>
        <v>6</v>
      </c>
      <c r="L127" s="48"/>
      <c r="M127" s="44">
        <f t="shared" si="12"/>
        <v>0</v>
      </c>
      <c r="N127" s="48"/>
      <c r="O127" s="48"/>
      <c r="P127" s="48"/>
      <c r="Q127" s="48"/>
      <c r="R127" s="48"/>
      <c r="U127" s="8">
        <f t="shared" si="13"/>
        <v>1</v>
      </c>
      <c r="V127" s="8">
        <f t="shared" si="14"/>
        <v>1900</v>
      </c>
    </row>
    <row r="128" spans="1:22">
      <c r="A128" s="44"/>
      <c r="B128" s="24"/>
      <c r="C128" s="24"/>
      <c r="D128" s="24"/>
      <c r="E128" s="24">
        <f t="shared" si="15"/>
        <v>0</v>
      </c>
      <c r="F128" s="24">
        <f t="shared" si="16"/>
        <v>0</v>
      </c>
      <c r="G128" s="47">
        <v>3.28</v>
      </c>
      <c r="K128" s="48">
        <f t="shared" ref="K128:K191" si="25">G128/56*100</f>
        <v>5.8571428571428568</v>
      </c>
      <c r="L128" s="48"/>
      <c r="M128" s="44">
        <f t="shared" si="12"/>
        <v>0</v>
      </c>
      <c r="N128" s="48"/>
      <c r="O128" s="48"/>
      <c r="P128" s="48"/>
      <c r="Q128" s="48"/>
      <c r="R128" s="48"/>
      <c r="U128" s="8">
        <f t="shared" si="13"/>
        <v>1</v>
      </c>
      <c r="V128" s="8">
        <f t="shared" si="14"/>
        <v>1900</v>
      </c>
    </row>
    <row r="129" spans="1:22">
      <c r="A129" s="44"/>
      <c r="B129" s="24"/>
      <c r="C129" s="24"/>
      <c r="D129" s="24"/>
      <c r="E129" s="24">
        <f t="shared" si="15"/>
        <v>0</v>
      </c>
      <c r="F129" s="24">
        <f t="shared" si="16"/>
        <v>0</v>
      </c>
      <c r="G129" s="47">
        <v>3.25</v>
      </c>
      <c r="K129" s="48">
        <f t="shared" si="25"/>
        <v>5.8035714285714288</v>
      </c>
      <c r="L129" s="48"/>
      <c r="M129" s="44">
        <f t="shared" si="12"/>
        <v>0</v>
      </c>
      <c r="N129" s="48"/>
      <c r="O129" s="48"/>
      <c r="P129" s="48"/>
      <c r="Q129" s="48"/>
      <c r="R129" s="48"/>
      <c r="U129" s="8">
        <f t="shared" si="13"/>
        <v>1</v>
      </c>
      <c r="V129" s="8">
        <f t="shared" si="14"/>
        <v>1900</v>
      </c>
    </row>
    <row r="130" spans="1:22">
      <c r="A130" s="44"/>
      <c r="B130" s="24"/>
      <c r="C130" s="24"/>
      <c r="D130" s="24"/>
      <c r="E130" s="24">
        <f t="shared" si="15"/>
        <v>0</v>
      </c>
      <c r="F130" s="24">
        <f t="shared" si="16"/>
        <v>0</v>
      </c>
      <c r="G130" s="47">
        <v>3.31</v>
      </c>
      <c r="K130" s="48">
        <f t="shared" si="25"/>
        <v>5.9107142857142856</v>
      </c>
      <c r="L130" s="48"/>
      <c r="M130" s="44">
        <f t="shared" si="12"/>
        <v>0</v>
      </c>
      <c r="N130" s="48"/>
      <c r="O130" s="48"/>
      <c r="P130" s="48"/>
      <c r="Q130" s="48"/>
      <c r="R130" s="48"/>
      <c r="U130" s="8">
        <f t="shared" si="13"/>
        <v>1</v>
      </c>
      <c r="V130" s="8">
        <f t="shared" si="14"/>
        <v>1900</v>
      </c>
    </row>
    <row r="131" spans="1:22">
      <c r="A131" s="44"/>
      <c r="B131" s="24"/>
      <c r="C131" s="24"/>
      <c r="D131" s="24"/>
      <c r="E131" s="24">
        <f t="shared" si="15"/>
        <v>0</v>
      </c>
      <c r="F131" s="24">
        <f t="shared" si="16"/>
        <v>0</v>
      </c>
      <c r="G131" s="47">
        <v>3.26</v>
      </c>
      <c r="K131" s="48">
        <f t="shared" si="25"/>
        <v>5.8214285714285712</v>
      </c>
      <c r="L131" s="48"/>
      <c r="M131" s="44">
        <f t="shared" ref="M131:M194" si="26">A131</f>
        <v>0</v>
      </c>
      <c r="N131" s="48"/>
      <c r="O131" s="48"/>
      <c r="P131" s="48"/>
      <c r="Q131" s="48"/>
      <c r="R131" s="48"/>
      <c r="U131" s="8">
        <f t="shared" ref="U131:U194" si="27">MONTH(M131)</f>
        <v>1</v>
      </c>
      <c r="V131" s="8">
        <f t="shared" ref="V131:V194" si="28">YEAR(M131)</f>
        <v>1900</v>
      </c>
    </row>
    <row r="132" spans="1:22">
      <c r="A132" s="44"/>
      <c r="B132" s="24"/>
      <c r="C132" s="24"/>
      <c r="D132" s="24"/>
      <c r="E132" s="24">
        <f t="shared" si="15"/>
        <v>0</v>
      </c>
      <c r="F132" s="24">
        <f t="shared" si="16"/>
        <v>0</v>
      </c>
      <c r="G132" s="47">
        <v>3.15</v>
      </c>
      <c r="K132" s="48">
        <f t="shared" si="25"/>
        <v>5.625</v>
      </c>
      <c r="L132" s="48"/>
      <c r="M132" s="44">
        <f t="shared" si="26"/>
        <v>0</v>
      </c>
      <c r="N132" s="48"/>
      <c r="O132" s="48"/>
      <c r="P132" s="48"/>
      <c r="Q132" s="48"/>
      <c r="R132" s="48"/>
      <c r="U132" s="8">
        <f t="shared" si="27"/>
        <v>1</v>
      </c>
      <c r="V132" s="8">
        <f t="shared" si="28"/>
        <v>1900</v>
      </c>
    </row>
    <row r="133" spans="1:22">
      <c r="A133" s="44"/>
      <c r="B133" s="24"/>
      <c r="C133" s="24"/>
      <c r="D133" s="24"/>
      <c r="E133" s="24">
        <f t="shared" si="15"/>
        <v>0</v>
      </c>
      <c r="F133" s="24">
        <f t="shared" si="16"/>
        <v>0</v>
      </c>
      <c r="G133" s="47">
        <v>3.18</v>
      </c>
      <c r="K133" s="48">
        <f t="shared" si="25"/>
        <v>5.6785714285714288</v>
      </c>
      <c r="L133" s="48"/>
      <c r="M133" s="44">
        <f t="shared" si="26"/>
        <v>0</v>
      </c>
      <c r="N133" s="48"/>
      <c r="O133" s="48"/>
      <c r="P133" s="48"/>
      <c r="Q133" s="48"/>
      <c r="R133" s="48"/>
      <c r="U133" s="8">
        <f t="shared" si="27"/>
        <v>1</v>
      </c>
      <c r="V133" s="8">
        <f t="shared" si="28"/>
        <v>1900</v>
      </c>
    </row>
    <row r="134" spans="1:22">
      <c r="A134" s="44"/>
      <c r="B134" s="24"/>
      <c r="C134" s="24"/>
      <c r="D134" s="24"/>
      <c r="E134" s="24">
        <f t="shared" si="15"/>
        <v>0</v>
      </c>
      <c r="F134" s="24">
        <f t="shared" si="16"/>
        <v>0</v>
      </c>
      <c r="G134" s="47">
        <v>2.86</v>
      </c>
      <c r="K134" s="48">
        <f t="shared" si="25"/>
        <v>5.1071428571428568</v>
      </c>
      <c r="L134" s="48"/>
      <c r="M134" s="44">
        <f t="shared" si="26"/>
        <v>0</v>
      </c>
      <c r="N134" s="48"/>
      <c r="O134" s="48"/>
      <c r="P134" s="48"/>
      <c r="Q134" s="48"/>
      <c r="R134" s="48"/>
      <c r="U134" s="8">
        <f t="shared" si="27"/>
        <v>1</v>
      </c>
      <c r="V134" s="8">
        <f t="shared" si="28"/>
        <v>1900</v>
      </c>
    </row>
    <row r="135" spans="1:22">
      <c r="A135" s="44"/>
      <c r="B135" s="24"/>
      <c r="C135" s="24"/>
      <c r="D135" s="24"/>
      <c r="E135" s="24">
        <f t="shared" si="15"/>
        <v>0</v>
      </c>
      <c r="F135" s="24">
        <f t="shared" si="16"/>
        <v>0</v>
      </c>
      <c r="G135" s="47">
        <v>2.5</v>
      </c>
      <c r="K135" s="48">
        <f t="shared" si="25"/>
        <v>4.4642857142857144</v>
      </c>
      <c r="L135" s="48"/>
      <c r="M135" s="44">
        <f t="shared" si="26"/>
        <v>0</v>
      </c>
      <c r="N135" s="48"/>
      <c r="O135" s="48"/>
      <c r="P135" s="48"/>
      <c r="Q135" s="48"/>
      <c r="R135" s="48"/>
      <c r="U135" s="8">
        <f t="shared" si="27"/>
        <v>1</v>
      </c>
      <c r="V135" s="8">
        <f t="shared" si="28"/>
        <v>1900</v>
      </c>
    </row>
    <row r="136" spans="1:22">
      <c r="A136" s="44"/>
      <c r="B136" s="24"/>
      <c r="C136" s="24"/>
      <c r="D136" s="24"/>
      <c r="E136" s="24">
        <f t="shared" si="15"/>
        <v>0</v>
      </c>
      <c r="F136" s="24">
        <f t="shared" si="16"/>
        <v>0</v>
      </c>
      <c r="G136" s="47">
        <v>2.4</v>
      </c>
      <c r="K136" s="48">
        <f t="shared" si="25"/>
        <v>4.2857142857142856</v>
      </c>
      <c r="L136" s="48"/>
      <c r="M136" s="44">
        <f t="shared" si="26"/>
        <v>0</v>
      </c>
      <c r="N136" s="48"/>
      <c r="O136" s="48"/>
      <c r="P136" s="48"/>
      <c r="Q136" s="48"/>
      <c r="R136" s="48"/>
      <c r="U136" s="8">
        <f t="shared" si="27"/>
        <v>1</v>
      </c>
      <c r="V136" s="8">
        <f t="shared" si="28"/>
        <v>1900</v>
      </c>
    </row>
    <row r="137" spans="1:22">
      <c r="A137" s="44"/>
      <c r="B137" s="24"/>
      <c r="C137" s="24"/>
      <c r="D137" s="24"/>
      <c r="E137" s="24">
        <f t="shared" si="15"/>
        <v>0</v>
      </c>
      <c r="F137" s="24">
        <f t="shared" si="16"/>
        <v>0</v>
      </c>
      <c r="G137" s="47">
        <v>2.42</v>
      </c>
      <c r="K137" s="48">
        <f t="shared" si="25"/>
        <v>4.3214285714285712</v>
      </c>
      <c r="L137" s="48"/>
      <c r="M137" s="44">
        <f t="shared" si="26"/>
        <v>0</v>
      </c>
      <c r="N137" s="48"/>
      <c r="O137" s="48"/>
      <c r="P137" s="48"/>
      <c r="Q137" s="48"/>
      <c r="R137" s="48"/>
      <c r="U137" s="8">
        <f t="shared" si="27"/>
        <v>1</v>
      </c>
      <c r="V137" s="8">
        <f t="shared" si="28"/>
        <v>1900</v>
      </c>
    </row>
    <row r="138" spans="1:22">
      <c r="A138" s="44"/>
      <c r="B138" s="24"/>
      <c r="C138" s="24"/>
      <c r="D138" s="24"/>
      <c r="E138" s="24">
        <f t="shared" si="15"/>
        <v>0</v>
      </c>
      <c r="F138" s="24">
        <f t="shared" si="16"/>
        <v>0</v>
      </c>
      <c r="G138" s="47">
        <v>2.36</v>
      </c>
      <c r="K138" s="48">
        <f t="shared" si="25"/>
        <v>4.2142857142857144</v>
      </c>
      <c r="L138" s="48"/>
      <c r="M138" s="44">
        <f t="shared" si="26"/>
        <v>0</v>
      </c>
      <c r="N138" s="48"/>
      <c r="O138" s="48"/>
      <c r="P138" s="48"/>
      <c r="Q138" s="48"/>
      <c r="R138" s="48"/>
      <c r="U138" s="8">
        <f t="shared" si="27"/>
        <v>1</v>
      </c>
      <c r="V138" s="8">
        <f t="shared" si="28"/>
        <v>1900</v>
      </c>
    </row>
    <row r="139" spans="1:22">
      <c r="A139" s="44"/>
      <c r="B139" s="24"/>
      <c r="C139" s="24"/>
      <c r="D139" s="24"/>
      <c r="E139" s="24">
        <f t="shared" ref="E139:E202" si="29">B139-D139</f>
        <v>0</v>
      </c>
      <c r="F139" s="24">
        <f t="shared" ref="F139:F202" si="30">C139-D139</f>
        <v>0</v>
      </c>
      <c r="G139" s="47">
        <v>2.4424999999999999</v>
      </c>
      <c r="K139" s="48">
        <f t="shared" si="25"/>
        <v>4.3616071428571423</v>
      </c>
      <c r="L139" s="48"/>
      <c r="M139" s="44">
        <f t="shared" si="26"/>
        <v>0</v>
      </c>
      <c r="N139" s="48"/>
      <c r="O139" s="48"/>
      <c r="P139" s="48"/>
      <c r="Q139" s="48"/>
      <c r="R139" s="48"/>
      <c r="U139" s="8">
        <f t="shared" si="27"/>
        <v>1</v>
      </c>
      <c r="V139" s="8">
        <f t="shared" si="28"/>
        <v>1900</v>
      </c>
    </row>
    <row r="140" spans="1:22">
      <c r="A140" s="44"/>
      <c r="B140" s="24"/>
      <c r="C140" s="24"/>
      <c r="D140" s="24"/>
      <c r="E140" s="24">
        <f t="shared" si="29"/>
        <v>0</v>
      </c>
      <c r="F140" s="24">
        <f t="shared" si="30"/>
        <v>0</v>
      </c>
      <c r="G140" s="47">
        <v>2.4275000000000002</v>
      </c>
      <c r="K140" s="48">
        <f t="shared" si="25"/>
        <v>4.3348214285714288</v>
      </c>
      <c r="L140" s="48"/>
      <c r="M140" s="44">
        <f t="shared" si="26"/>
        <v>0</v>
      </c>
      <c r="N140" s="48"/>
      <c r="O140" s="48"/>
      <c r="P140" s="48"/>
      <c r="Q140" s="48"/>
      <c r="R140" s="48"/>
      <c r="U140" s="8">
        <f t="shared" si="27"/>
        <v>1</v>
      </c>
      <c r="V140" s="8">
        <f t="shared" si="28"/>
        <v>1900</v>
      </c>
    </row>
    <row r="141" spans="1:22">
      <c r="A141" s="44"/>
      <c r="B141" s="24"/>
      <c r="C141" s="24"/>
      <c r="D141" s="24"/>
      <c r="E141" s="24">
        <f t="shared" si="29"/>
        <v>0</v>
      </c>
      <c r="F141" s="24">
        <f t="shared" si="30"/>
        <v>0</v>
      </c>
      <c r="G141" s="47">
        <v>2.46</v>
      </c>
      <c r="K141" s="48">
        <f t="shared" si="25"/>
        <v>4.3928571428571423</v>
      </c>
      <c r="L141" s="48"/>
      <c r="M141" s="44">
        <f t="shared" si="26"/>
        <v>0</v>
      </c>
      <c r="N141" s="48"/>
      <c r="O141" s="48"/>
      <c r="P141" s="48"/>
      <c r="Q141" s="48"/>
      <c r="R141" s="48"/>
      <c r="U141" s="8">
        <f t="shared" si="27"/>
        <v>1</v>
      </c>
      <c r="V141" s="8">
        <f t="shared" si="28"/>
        <v>1900</v>
      </c>
    </row>
    <row r="142" spans="1:22">
      <c r="A142" s="44"/>
      <c r="B142" s="24"/>
      <c r="C142" s="24"/>
      <c r="D142" s="24"/>
      <c r="E142" s="24">
        <f t="shared" si="29"/>
        <v>0</v>
      </c>
      <c r="F142" s="24">
        <f t="shared" si="30"/>
        <v>0</v>
      </c>
      <c r="G142" s="47">
        <v>2.59</v>
      </c>
      <c r="K142" s="48">
        <f t="shared" si="25"/>
        <v>4.625</v>
      </c>
      <c r="L142" s="48"/>
      <c r="M142" s="44">
        <f t="shared" si="26"/>
        <v>0</v>
      </c>
      <c r="N142" s="48"/>
      <c r="O142" s="48"/>
      <c r="P142" s="48"/>
      <c r="Q142" s="48"/>
      <c r="R142" s="48"/>
      <c r="U142" s="8">
        <f t="shared" si="27"/>
        <v>1</v>
      </c>
      <c r="V142" s="8">
        <f t="shared" si="28"/>
        <v>1900</v>
      </c>
    </row>
    <row r="143" spans="1:22">
      <c r="A143" s="44"/>
      <c r="B143" s="24"/>
      <c r="C143" s="24"/>
      <c r="D143" s="24"/>
      <c r="E143" s="24">
        <f t="shared" si="29"/>
        <v>0</v>
      </c>
      <c r="F143" s="24">
        <f t="shared" si="30"/>
        <v>0</v>
      </c>
      <c r="G143" s="47">
        <v>2.6124999999999998</v>
      </c>
      <c r="K143" s="48">
        <f t="shared" si="25"/>
        <v>4.6651785714285712</v>
      </c>
      <c r="L143" s="48"/>
      <c r="M143" s="44">
        <f t="shared" si="26"/>
        <v>0</v>
      </c>
      <c r="N143" s="48"/>
      <c r="O143" s="48"/>
      <c r="P143" s="48"/>
      <c r="Q143" s="48"/>
      <c r="R143" s="48"/>
      <c r="U143" s="8">
        <f t="shared" si="27"/>
        <v>1</v>
      </c>
      <c r="V143" s="8">
        <f t="shared" si="28"/>
        <v>1900</v>
      </c>
    </row>
    <row r="144" spans="1:22">
      <c r="A144" s="44"/>
      <c r="B144" s="24"/>
      <c r="C144" s="24"/>
      <c r="D144" s="24"/>
      <c r="E144" s="24">
        <f t="shared" si="29"/>
        <v>0</v>
      </c>
      <c r="F144" s="24">
        <f t="shared" si="30"/>
        <v>0</v>
      </c>
      <c r="G144" s="47">
        <v>2.5779999999999998</v>
      </c>
      <c r="K144" s="48">
        <f t="shared" si="25"/>
        <v>4.6035714285714286</v>
      </c>
      <c r="L144" s="48"/>
      <c r="M144" s="44">
        <f t="shared" si="26"/>
        <v>0</v>
      </c>
      <c r="N144" s="48"/>
      <c r="O144" s="48"/>
      <c r="P144" s="48"/>
      <c r="Q144" s="48"/>
      <c r="R144" s="48"/>
      <c r="U144" s="8">
        <f t="shared" si="27"/>
        <v>1</v>
      </c>
      <c r="V144" s="8">
        <f t="shared" si="28"/>
        <v>1900</v>
      </c>
    </row>
    <row r="145" spans="1:22">
      <c r="A145" s="44"/>
      <c r="B145" s="24"/>
      <c r="C145" s="24"/>
      <c r="D145" s="24"/>
      <c r="E145" s="24">
        <f t="shared" si="29"/>
        <v>0</v>
      </c>
      <c r="F145" s="24">
        <f t="shared" si="30"/>
        <v>0</v>
      </c>
      <c r="G145" s="47">
        <v>2.5</v>
      </c>
      <c r="K145" s="48">
        <f t="shared" si="25"/>
        <v>4.4642857142857144</v>
      </c>
      <c r="L145" s="48"/>
      <c r="M145" s="44">
        <f t="shared" si="26"/>
        <v>0</v>
      </c>
      <c r="N145" s="48"/>
      <c r="O145" s="48"/>
      <c r="P145" s="48"/>
      <c r="Q145" s="48"/>
      <c r="R145" s="48"/>
      <c r="U145" s="8">
        <f t="shared" si="27"/>
        <v>1</v>
      </c>
      <c r="V145" s="8">
        <f t="shared" si="28"/>
        <v>1900</v>
      </c>
    </row>
    <row r="146" spans="1:22">
      <c r="A146" s="44"/>
      <c r="B146" s="24"/>
      <c r="C146" s="24"/>
      <c r="D146" s="24"/>
      <c r="E146" s="24">
        <f t="shared" si="29"/>
        <v>0</v>
      </c>
      <c r="F146" s="24">
        <f t="shared" si="30"/>
        <v>0</v>
      </c>
      <c r="G146" s="47">
        <v>2.2400000000000002</v>
      </c>
      <c r="K146" s="48">
        <f t="shared" si="25"/>
        <v>4</v>
      </c>
      <c r="L146" s="48"/>
      <c r="M146" s="44">
        <f t="shared" si="26"/>
        <v>0</v>
      </c>
      <c r="N146" s="48"/>
      <c r="O146" s="48"/>
      <c r="P146" s="48"/>
      <c r="Q146" s="48"/>
      <c r="R146" s="48"/>
      <c r="U146" s="8">
        <f t="shared" si="27"/>
        <v>1</v>
      </c>
      <c r="V146" s="8">
        <f t="shared" si="28"/>
        <v>1900</v>
      </c>
    </row>
    <row r="147" spans="1:22">
      <c r="A147" s="44"/>
      <c r="B147" s="24"/>
      <c r="C147" s="24"/>
      <c r="D147" s="24"/>
      <c r="E147" s="24">
        <f t="shared" si="29"/>
        <v>0</v>
      </c>
      <c r="F147" s="24">
        <f t="shared" si="30"/>
        <v>0</v>
      </c>
      <c r="G147" s="47">
        <v>2.14</v>
      </c>
      <c r="K147" s="48">
        <f t="shared" si="25"/>
        <v>3.8214285714285716</v>
      </c>
      <c r="L147" s="48"/>
      <c r="M147" s="44">
        <f t="shared" si="26"/>
        <v>0</v>
      </c>
      <c r="N147" s="48"/>
      <c r="O147" s="48"/>
      <c r="P147" s="48"/>
      <c r="Q147" s="48"/>
      <c r="R147" s="48"/>
      <c r="U147" s="8">
        <f t="shared" si="27"/>
        <v>1</v>
      </c>
      <c r="V147" s="8">
        <f t="shared" si="28"/>
        <v>1900</v>
      </c>
    </row>
    <row r="148" spans="1:22">
      <c r="A148" s="44"/>
      <c r="B148" s="24"/>
      <c r="C148" s="24"/>
      <c r="D148" s="24"/>
      <c r="E148" s="24">
        <f t="shared" si="29"/>
        <v>0</v>
      </c>
      <c r="F148" s="24">
        <f t="shared" si="30"/>
        <v>0</v>
      </c>
      <c r="G148" s="47">
        <v>1.94</v>
      </c>
      <c r="K148" s="48">
        <f t="shared" si="25"/>
        <v>3.4642857142857144</v>
      </c>
      <c r="L148" s="48"/>
      <c r="M148" s="44">
        <f t="shared" si="26"/>
        <v>0</v>
      </c>
      <c r="N148" s="48"/>
      <c r="O148" s="48"/>
      <c r="P148" s="48"/>
      <c r="Q148" s="48"/>
      <c r="R148" s="48"/>
      <c r="U148" s="8">
        <f t="shared" si="27"/>
        <v>1</v>
      </c>
      <c r="V148" s="8">
        <f t="shared" si="28"/>
        <v>1900</v>
      </c>
    </row>
    <row r="149" spans="1:22">
      <c r="A149" s="44"/>
      <c r="B149" s="24"/>
      <c r="C149" s="24"/>
      <c r="D149" s="24"/>
      <c r="E149" s="24">
        <f t="shared" si="29"/>
        <v>0</v>
      </c>
      <c r="F149" s="24">
        <f t="shared" si="30"/>
        <v>0</v>
      </c>
      <c r="G149" s="47">
        <v>2.2400000000000002</v>
      </c>
      <c r="K149" s="48">
        <f t="shared" si="25"/>
        <v>4</v>
      </c>
      <c r="L149" s="48"/>
      <c r="M149" s="44">
        <f t="shared" si="26"/>
        <v>0</v>
      </c>
      <c r="N149" s="48"/>
      <c r="O149" s="48"/>
      <c r="P149" s="48"/>
      <c r="Q149" s="48"/>
      <c r="R149" s="48"/>
      <c r="U149" s="8">
        <f t="shared" si="27"/>
        <v>1</v>
      </c>
      <c r="V149" s="8">
        <f t="shared" si="28"/>
        <v>1900</v>
      </c>
    </row>
    <row r="150" spans="1:22">
      <c r="A150" s="44"/>
      <c r="B150" s="24"/>
      <c r="C150" s="24"/>
      <c r="D150" s="24"/>
      <c r="E150" s="24">
        <f t="shared" si="29"/>
        <v>0</v>
      </c>
      <c r="F150" s="24">
        <f t="shared" si="30"/>
        <v>0</v>
      </c>
      <c r="G150" s="47">
        <v>2.2799999999999998</v>
      </c>
      <c r="K150" s="48">
        <f t="shared" si="25"/>
        <v>4.0714285714285712</v>
      </c>
      <c r="L150" s="48"/>
      <c r="M150" s="44">
        <f t="shared" si="26"/>
        <v>0</v>
      </c>
      <c r="N150" s="48"/>
      <c r="O150" s="48"/>
      <c r="P150" s="48"/>
      <c r="Q150" s="48"/>
      <c r="R150" s="48"/>
      <c r="U150" s="8">
        <f t="shared" si="27"/>
        <v>1</v>
      </c>
      <c r="V150" s="8">
        <f t="shared" si="28"/>
        <v>1900</v>
      </c>
    </row>
    <row r="151" spans="1:22">
      <c r="A151" s="44"/>
      <c r="B151" s="24"/>
      <c r="C151" s="24"/>
      <c r="D151" s="24"/>
      <c r="E151" s="24">
        <f t="shared" si="29"/>
        <v>0</v>
      </c>
      <c r="F151" s="24">
        <f t="shared" si="30"/>
        <v>0</v>
      </c>
      <c r="G151" s="47">
        <v>2.35</v>
      </c>
      <c r="K151" s="48">
        <f t="shared" si="25"/>
        <v>4.1964285714285721</v>
      </c>
      <c r="L151" s="48"/>
      <c r="M151" s="44">
        <f t="shared" si="26"/>
        <v>0</v>
      </c>
      <c r="N151" s="48"/>
      <c r="O151" s="48"/>
      <c r="P151" s="48"/>
      <c r="Q151" s="48"/>
      <c r="R151" s="48"/>
      <c r="U151" s="8">
        <f t="shared" si="27"/>
        <v>1</v>
      </c>
      <c r="V151" s="8">
        <f t="shared" si="28"/>
        <v>1900</v>
      </c>
    </row>
    <row r="152" spans="1:22">
      <c r="A152" s="44"/>
      <c r="B152" s="24"/>
      <c r="C152" s="24"/>
      <c r="D152" s="24"/>
      <c r="E152" s="24">
        <f t="shared" si="29"/>
        <v>0</v>
      </c>
      <c r="F152" s="24">
        <f t="shared" si="30"/>
        <v>0</v>
      </c>
      <c r="G152" s="47">
        <v>2.62</v>
      </c>
      <c r="K152" s="48">
        <f t="shared" si="25"/>
        <v>4.6785714285714288</v>
      </c>
      <c r="L152" s="48"/>
      <c r="M152" s="44">
        <f t="shared" si="26"/>
        <v>0</v>
      </c>
      <c r="N152" s="48"/>
      <c r="O152" s="48"/>
      <c r="P152" s="48"/>
      <c r="Q152" s="48"/>
      <c r="R152" s="48"/>
      <c r="U152" s="8">
        <f t="shared" si="27"/>
        <v>1</v>
      </c>
      <c r="V152" s="8">
        <f t="shared" si="28"/>
        <v>1900</v>
      </c>
    </row>
    <row r="153" spans="1:22">
      <c r="A153" s="44"/>
      <c r="B153" s="24"/>
      <c r="C153" s="24"/>
      <c r="D153" s="24"/>
      <c r="E153" s="24">
        <f t="shared" si="29"/>
        <v>0</v>
      </c>
      <c r="F153" s="24">
        <f t="shared" si="30"/>
        <v>0</v>
      </c>
      <c r="G153" s="47">
        <v>2.82</v>
      </c>
      <c r="K153" s="48">
        <f t="shared" si="25"/>
        <v>5.0357142857142856</v>
      </c>
      <c r="L153" s="48"/>
      <c r="M153" s="44">
        <f t="shared" si="26"/>
        <v>0</v>
      </c>
      <c r="N153" s="48"/>
      <c r="O153" s="48"/>
      <c r="P153" s="48"/>
      <c r="Q153" s="48"/>
      <c r="R153" s="48"/>
      <c r="U153" s="8">
        <f t="shared" si="27"/>
        <v>1</v>
      </c>
      <c r="V153" s="8">
        <f t="shared" si="28"/>
        <v>1900</v>
      </c>
    </row>
    <row r="154" spans="1:22">
      <c r="A154" s="44"/>
      <c r="B154" s="24"/>
      <c r="C154" s="24"/>
      <c r="D154" s="24"/>
      <c r="E154" s="24">
        <f t="shared" si="29"/>
        <v>0</v>
      </c>
      <c r="F154" s="24">
        <f t="shared" si="30"/>
        <v>0</v>
      </c>
      <c r="G154" s="47">
        <v>3.08</v>
      </c>
      <c r="K154" s="48">
        <f t="shared" si="25"/>
        <v>5.5</v>
      </c>
      <c r="L154" s="48"/>
      <c r="M154" s="44">
        <f t="shared" si="26"/>
        <v>0</v>
      </c>
      <c r="N154" s="48"/>
      <c r="O154" s="48"/>
      <c r="P154" s="48"/>
      <c r="Q154" s="48"/>
      <c r="R154" s="48"/>
      <c r="U154" s="8">
        <f t="shared" si="27"/>
        <v>1</v>
      </c>
      <c r="V154" s="8">
        <f t="shared" si="28"/>
        <v>1900</v>
      </c>
    </row>
    <row r="155" spans="1:22">
      <c r="A155" s="44"/>
      <c r="B155" s="24"/>
      <c r="C155" s="24"/>
      <c r="D155" s="24"/>
      <c r="E155" s="24">
        <f t="shared" si="29"/>
        <v>0</v>
      </c>
      <c r="F155" s="24">
        <f t="shared" si="30"/>
        <v>0</v>
      </c>
      <c r="G155" s="47">
        <v>3.09</v>
      </c>
      <c r="K155" s="48">
        <f t="shared" si="25"/>
        <v>5.5178571428571423</v>
      </c>
      <c r="L155" s="48"/>
      <c r="M155" s="44">
        <f t="shared" si="26"/>
        <v>0</v>
      </c>
      <c r="N155" s="48"/>
      <c r="O155" s="48"/>
      <c r="P155" s="48"/>
      <c r="Q155" s="48"/>
      <c r="R155" s="48"/>
      <c r="U155" s="8">
        <f t="shared" si="27"/>
        <v>1</v>
      </c>
      <c r="V155" s="8">
        <f t="shared" si="28"/>
        <v>1900</v>
      </c>
    </row>
    <row r="156" spans="1:22">
      <c r="A156" s="44"/>
      <c r="B156" s="24"/>
      <c r="C156" s="24"/>
      <c r="D156" s="24"/>
      <c r="E156" s="24">
        <f t="shared" si="29"/>
        <v>0</v>
      </c>
      <c r="F156" s="24">
        <f t="shared" si="30"/>
        <v>0</v>
      </c>
      <c r="G156" s="47">
        <v>3.14</v>
      </c>
      <c r="K156" s="48">
        <f t="shared" si="25"/>
        <v>5.6071428571428568</v>
      </c>
      <c r="L156" s="48"/>
      <c r="M156" s="44">
        <f t="shared" si="26"/>
        <v>0</v>
      </c>
      <c r="N156" s="48"/>
      <c r="O156" s="48"/>
      <c r="P156" s="48"/>
      <c r="Q156" s="48"/>
      <c r="R156" s="48"/>
      <c r="U156" s="8">
        <f t="shared" si="27"/>
        <v>1</v>
      </c>
      <c r="V156" s="8">
        <f t="shared" si="28"/>
        <v>1900</v>
      </c>
    </row>
    <row r="157" spans="1:22">
      <c r="A157" s="44"/>
      <c r="B157" s="24"/>
      <c r="C157" s="24"/>
      <c r="D157" s="24"/>
      <c r="E157" s="24">
        <f t="shared" si="29"/>
        <v>0</v>
      </c>
      <c r="F157" s="24">
        <f t="shared" si="30"/>
        <v>0</v>
      </c>
      <c r="G157" s="47">
        <v>3.26</v>
      </c>
      <c r="K157" s="48">
        <f t="shared" si="25"/>
        <v>5.8214285714285712</v>
      </c>
      <c r="L157" s="48"/>
      <c r="M157" s="44">
        <f t="shared" si="26"/>
        <v>0</v>
      </c>
      <c r="N157" s="48"/>
      <c r="O157" s="48"/>
      <c r="P157" s="48"/>
      <c r="Q157" s="48"/>
      <c r="R157" s="48"/>
      <c r="U157" s="8">
        <f t="shared" si="27"/>
        <v>1</v>
      </c>
      <c r="V157" s="8">
        <f t="shared" si="28"/>
        <v>1900</v>
      </c>
    </row>
    <row r="158" spans="1:22">
      <c r="A158" s="44"/>
      <c r="B158" s="24"/>
      <c r="C158" s="24"/>
      <c r="D158" s="24"/>
      <c r="E158" s="24">
        <f t="shared" si="29"/>
        <v>0</v>
      </c>
      <c r="F158" s="24">
        <f t="shared" si="30"/>
        <v>0</v>
      </c>
      <c r="G158" s="47">
        <v>3.58</v>
      </c>
      <c r="K158" s="48">
        <f t="shared" si="25"/>
        <v>6.3928571428571432</v>
      </c>
      <c r="L158" s="48"/>
      <c r="M158" s="44">
        <f t="shared" si="26"/>
        <v>0</v>
      </c>
      <c r="N158" s="48"/>
      <c r="O158" s="48"/>
      <c r="P158" s="48"/>
      <c r="Q158" s="48"/>
      <c r="R158" s="48"/>
      <c r="U158" s="8">
        <f t="shared" si="27"/>
        <v>1</v>
      </c>
      <c r="V158" s="8">
        <f t="shared" si="28"/>
        <v>1900</v>
      </c>
    </row>
    <row r="159" spans="1:22">
      <c r="A159" s="44"/>
      <c r="B159" s="24"/>
      <c r="C159" s="24"/>
      <c r="D159" s="24"/>
      <c r="E159" s="24">
        <f t="shared" si="29"/>
        <v>0</v>
      </c>
      <c r="F159" s="24">
        <f t="shared" si="30"/>
        <v>0</v>
      </c>
      <c r="G159" s="47">
        <v>3.46</v>
      </c>
      <c r="K159" s="48">
        <f t="shared" si="25"/>
        <v>6.1785714285714288</v>
      </c>
      <c r="L159" s="48"/>
      <c r="M159" s="44">
        <f t="shared" si="26"/>
        <v>0</v>
      </c>
      <c r="N159" s="48"/>
      <c r="O159" s="48"/>
      <c r="P159" s="48"/>
      <c r="Q159" s="48"/>
      <c r="R159" s="48"/>
      <c r="U159" s="8">
        <f t="shared" si="27"/>
        <v>1</v>
      </c>
      <c r="V159" s="8">
        <f t="shared" si="28"/>
        <v>1900</v>
      </c>
    </row>
    <row r="160" spans="1:22">
      <c r="A160" s="44"/>
      <c r="B160" s="24"/>
      <c r="C160" s="24"/>
      <c r="D160" s="24"/>
      <c r="E160" s="24">
        <f t="shared" si="29"/>
        <v>0</v>
      </c>
      <c r="F160" s="24">
        <f t="shared" si="30"/>
        <v>0</v>
      </c>
      <c r="G160" s="47">
        <v>3.3574999999999999</v>
      </c>
      <c r="K160" s="48">
        <f t="shared" si="25"/>
        <v>5.9955357142857144</v>
      </c>
      <c r="L160" s="48"/>
      <c r="M160" s="44">
        <f t="shared" si="26"/>
        <v>0</v>
      </c>
      <c r="N160" s="48"/>
      <c r="O160" s="48"/>
      <c r="P160" s="48"/>
      <c r="Q160" s="48"/>
      <c r="R160" s="48"/>
      <c r="U160" s="8">
        <f t="shared" si="27"/>
        <v>1</v>
      </c>
      <c r="V160" s="8">
        <f t="shared" si="28"/>
        <v>1900</v>
      </c>
    </row>
    <row r="161" spans="1:22">
      <c r="A161" s="44"/>
      <c r="B161" s="24"/>
      <c r="C161" s="24"/>
      <c r="D161" s="24"/>
      <c r="E161" s="24">
        <f t="shared" si="29"/>
        <v>0</v>
      </c>
      <c r="F161" s="24">
        <f t="shared" si="30"/>
        <v>0</v>
      </c>
      <c r="G161" s="47">
        <v>3.3679999999999999</v>
      </c>
      <c r="K161" s="48">
        <f t="shared" si="25"/>
        <v>6.0142857142857142</v>
      </c>
      <c r="L161" s="48"/>
      <c r="M161" s="44">
        <f t="shared" si="26"/>
        <v>0</v>
      </c>
      <c r="N161" s="48"/>
      <c r="O161" s="48"/>
      <c r="P161" s="48"/>
      <c r="Q161" s="48"/>
      <c r="R161" s="48"/>
      <c r="U161" s="8">
        <f t="shared" si="27"/>
        <v>1</v>
      </c>
      <c r="V161" s="8">
        <f t="shared" si="28"/>
        <v>1900</v>
      </c>
    </row>
    <row r="162" spans="1:22">
      <c r="A162" s="44"/>
      <c r="B162" s="24"/>
      <c r="C162" s="24"/>
      <c r="D162" s="24"/>
      <c r="E162" s="24">
        <f t="shared" si="29"/>
        <v>0</v>
      </c>
      <c r="F162" s="24">
        <f t="shared" si="30"/>
        <v>0</v>
      </c>
      <c r="G162" s="47">
        <v>3.27</v>
      </c>
      <c r="K162" s="48">
        <f t="shared" si="25"/>
        <v>5.8392857142857144</v>
      </c>
      <c r="L162" s="48"/>
      <c r="M162" s="44">
        <f t="shared" si="26"/>
        <v>0</v>
      </c>
      <c r="N162" s="48"/>
      <c r="O162" s="48"/>
      <c r="P162" s="48"/>
      <c r="Q162" s="48"/>
      <c r="R162" s="48"/>
      <c r="U162" s="8">
        <f t="shared" si="27"/>
        <v>1</v>
      </c>
      <c r="V162" s="8">
        <f t="shared" si="28"/>
        <v>1900</v>
      </c>
    </row>
    <row r="163" spans="1:22">
      <c r="A163" s="44"/>
      <c r="B163" s="24"/>
      <c r="C163" s="24"/>
      <c r="D163" s="24"/>
      <c r="E163" s="24">
        <f t="shared" si="29"/>
        <v>0</v>
      </c>
      <c r="F163" s="24">
        <f t="shared" si="30"/>
        <v>0</v>
      </c>
      <c r="G163" s="47">
        <v>3.21</v>
      </c>
      <c r="K163" s="48">
        <f t="shared" si="25"/>
        <v>5.7321428571428568</v>
      </c>
      <c r="L163" s="48"/>
      <c r="M163" s="44">
        <f t="shared" si="26"/>
        <v>0</v>
      </c>
      <c r="N163" s="48"/>
      <c r="O163" s="48"/>
      <c r="P163" s="48"/>
      <c r="Q163" s="48"/>
      <c r="R163" s="48"/>
      <c r="U163" s="8">
        <f t="shared" si="27"/>
        <v>1</v>
      </c>
      <c r="V163" s="8">
        <f t="shared" si="28"/>
        <v>1900</v>
      </c>
    </row>
    <row r="164" spans="1:22">
      <c r="A164" s="44"/>
      <c r="B164" s="24"/>
      <c r="C164" s="24"/>
      <c r="D164" s="24"/>
      <c r="E164" s="24">
        <f t="shared" si="29"/>
        <v>0</v>
      </c>
      <c r="F164" s="24">
        <f t="shared" si="30"/>
        <v>0</v>
      </c>
      <c r="G164" s="47">
        <v>3.15</v>
      </c>
      <c r="K164" s="48">
        <f t="shared" si="25"/>
        <v>5.625</v>
      </c>
      <c r="L164" s="48"/>
      <c r="M164" s="44">
        <f t="shared" si="26"/>
        <v>0</v>
      </c>
      <c r="N164" s="48"/>
      <c r="O164" s="48"/>
      <c r="P164" s="48"/>
      <c r="Q164" s="48"/>
      <c r="R164" s="48"/>
      <c r="U164" s="8">
        <f t="shared" si="27"/>
        <v>1</v>
      </c>
      <c r="V164" s="8">
        <f t="shared" si="28"/>
        <v>1900</v>
      </c>
    </row>
    <row r="165" spans="1:22">
      <c r="A165" s="44"/>
      <c r="B165" s="24"/>
      <c r="C165" s="24"/>
      <c r="D165" s="24"/>
      <c r="E165" s="24">
        <f t="shared" si="29"/>
        <v>0</v>
      </c>
      <c r="F165" s="24">
        <f t="shared" si="30"/>
        <v>0</v>
      </c>
      <c r="G165" s="47">
        <v>3.37</v>
      </c>
      <c r="K165" s="48">
        <f t="shared" si="25"/>
        <v>6.0178571428571432</v>
      </c>
      <c r="L165" s="48"/>
      <c r="M165" s="44">
        <f t="shared" si="26"/>
        <v>0</v>
      </c>
      <c r="N165" s="48"/>
      <c r="O165" s="48"/>
      <c r="P165" s="48"/>
      <c r="Q165" s="48"/>
      <c r="R165" s="48"/>
      <c r="U165" s="8">
        <f t="shared" si="27"/>
        <v>1</v>
      </c>
      <c r="V165" s="8">
        <f t="shared" si="28"/>
        <v>1900</v>
      </c>
    </row>
    <row r="166" spans="1:22">
      <c r="A166" s="44"/>
      <c r="B166" s="24"/>
      <c r="C166" s="24"/>
      <c r="D166" s="24"/>
      <c r="E166" s="24">
        <f t="shared" si="29"/>
        <v>0</v>
      </c>
      <c r="F166" s="24">
        <f t="shared" si="30"/>
        <v>0</v>
      </c>
      <c r="G166" s="47">
        <v>3.45</v>
      </c>
      <c r="K166" s="48">
        <f t="shared" si="25"/>
        <v>6.1607142857142865</v>
      </c>
      <c r="L166" s="48"/>
      <c r="M166" s="44">
        <f t="shared" si="26"/>
        <v>0</v>
      </c>
      <c r="N166" s="48"/>
      <c r="O166" s="48"/>
      <c r="P166" s="48"/>
      <c r="Q166" s="48"/>
      <c r="R166" s="48"/>
      <c r="U166" s="8">
        <f t="shared" si="27"/>
        <v>1</v>
      </c>
      <c r="V166" s="8">
        <f t="shared" si="28"/>
        <v>1900</v>
      </c>
    </row>
    <row r="167" spans="1:22">
      <c r="A167" s="44"/>
      <c r="B167" s="24"/>
      <c r="C167" s="24"/>
      <c r="D167" s="24"/>
      <c r="E167" s="24">
        <f t="shared" si="29"/>
        <v>0</v>
      </c>
      <c r="F167" s="24">
        <f t="shared" si="30"/>
        <v>0</v>
      </c>
      <c r="G167" s="47">
        <v>3.44</v>
      </c>
      <c r="K167" s="48">
        <f t="shared" si="25"/>
        <v>6.1428571428571432</v>
      </c>
      <c r="L167" s="48"/>
      <c r="M167" s="44">
        <f t="shared" si="26"/>
        <v>0</v>
      </c>
      <c r="N167" s="48"/>
      <c r="O167" s="48"/>
      <c r="P167" s="48"/>
      <c r="Q167" s="48"/>
      <c r="R167" s="48"/>
      <c r="U167" s="8">
        <f t="shared" si="27"/>
        <v>1</v>
      </c>
      <c r="V167" s="8">
        <f t="shared" si="28"/>
        <v>1900</v>
      </c>
    </row>
    <row r="168" spans="1:22">
      <c r="A168" s="44"/>
      <c r="B168" s="24"/>
      <c r="C168" s="24"/>
      <c r="D168" s="24"/>
      <c r="E168" s="24">
        <f t="shared" si="29"/>
        <v>0</v>
      </c>
      <c r="F168" s="24">
        <f t="shared" si="30"/>
        <v>0</v>
      </c>
      <c r="G168" s="47">
        <v>3.4424999999999999</v>
      </c>
      <c r="K168" s="48">
        <f t="shared" si="25"/>
        <v>6.1473214285714288</v>
      </c>
      <c r="L168" s="48"/>
      <c r="M168" s="44">
        <f t="shared" si="26"/>
        <v>0</v>
      </c>
      <c r="N168" s="48"/>
      <c r="O168" s="48"/>
      <c r="P168" s="48"/>
      <c r="Q168" s="48"/>
      <c r="R168" s="48"/>
      <c r="U168" s="8">
        <f t="shared" si="27"/>
        <v>1</v>
      </c>
      <c r="V168" s="8">
        <f t="shared" si="28"/>
        <v>1900</v>
      </c>
    </row>
    <row r="169" spans="1:22">
      <c r="A169" s="44"/>
      <c r="B169" s="24"/>
      <c r="C169" s="24"/>
      <c r="D169" s="24"/>
      <c r="E169" s="24">
        <f t="shared" si="29"/>
        <v>0</v>
      </c>
      <c r="F169" s="24">
        <f t="shared" si="30"/>
        <v>0</v>
      </c>
      <c r="G169" s="47">
        <v>3.26</v>
      </c>
      <c r="K169" s="48">
        <f t="shared" si="25"/>
        <v>5.8214285714285712</v>
      </c>
      <c r="L169" s="48"/>
      <c r="M169" s="44">
        <f t="shared" si="26"/>
        <v>0</v>
      </c>
      <c r="N169" s="48"/>
      <c r="O169" s="48"/>
      <c r="P169" s="48"/>
      <c r="Q169" s="48"/>
      <c r="R169" s="48"/>
      <c r="U169" s="8">
        <f t="shared" si="27"/>
        <v>1</v>
      </c>
      <c r="V169" s="8">
        <f t="shared" si="28"/>
        <v>1900</v>
      </c>
    </row>
    <row r="170" spans="1:22">
      <c r="A170" s="44"/>
      <c r="B170" s="24"/>
      <c r="C170" s="24"/>
      <c r="D170" s="24"/>
      <c r="E170" s="24">
        <f t="shared" si="29"/>
        <v>0</v>
      </c>
      <c r="F170" s="24">
        <f t="shared" si="30"/>
        <v>0</v>
      </c>
      <c r="G170" s="47">
        <v>3.16</v>
      </c>
      <c r="K170" s="48">
        <f t="shared" si="25"/>
        <v>5.6428571428571432</v>
      </c>
      <c r="L170" s="48"/>
      <c r="M170" s="44">
        <f t="shared" si="26"/>
        <v>0</v>
      </c>
      <c r="N170" s="48"/>
      <c r="O170" s="48"/>
      <c r="P170" s="48"/>
      <c r="Q170" s="48"/>
      <c r="R170" s="48"/>
      <c r="U170" s="8">
        <f t="shared" si="27"/>
        <v>1</v>
      </c>
      <c r="V170" s="8">
        <f t="shared" si="28"/>
        <v>1900</v>
      </c>
    </row>
    <row r="171" spans="1:22">
      <c r="A171" s="44"/>
      <c r="B171" s="24"/>
      <c r="C171" s="24"/>
      <c r="D171" s="24"/>
      <c r="E171" s="24">
        <f t="shared" si="29"/>
        <v>0</v>
      </c>
      <c r="F171" s="24">
        <f t="shared" si="30"/>
        <v>0</v>
      </c>
      <c r="G171" s="47">
        <v>2.92</v>
      </c>
      <c r="K171" s="48">
        <f t="shared" si="25"/>
        <v>5.2142857142857144</v>
      </c>
      <c r="L171" s="48"/>
      <c r="M171" s="44">
        <f t="shared" si="26"/>
        <v>0</v>
      </c>
      <c r="N171" s="48"/>
      <c r="O171" s="48"/>
      <c r="P171" s="48"/>
      <c r="Q171" s="48"/>
      <c r="R171" s="48"/>
      <c r="U171" s="8">
        <f t="shared" si="27"/>
        <v>1</v>
      </c>
      <c r="V171" s="8">
        <f t="shared" si="28"/>
        <v>1900</v>
      </c>
    </row>
    <row r="172" spans="1:22">
      <c r="A172" s="44"/>
      <c r="B172" s="24"/>
      <c r="C172" s="24"/>
      <c r="D172" s="24"/>
      <c r="E172" s="24">
        <f t="shared" si="29"/>
        <v>0</v>
      </c>
      <c r="F172" s="24">
        <f t="shared" si="30"/>
        <v>0</v>
      </c>
      <c r="G172" s="47">
        <v>2.66</v>
      </c>
      <c r="K172" s="48">
        <f t="shared" si="25"/>
        <v>4.75</v>
      </c>
      <c r="L172" s="48"/>
      <c r="M172" s="44">
        <f t="shared" si="26"/>
        <v>0</v>
      </c>
      <c r="N172" s="48"/>
      <c r="O172" s="48"/>
      <c r="P172" s="48"/>
      <c r="Q172" s="48"/>
      <c r="R172" s="48"/>
      <c r="U172" s="8">
        <f t="shared" si="27"/>
        <v>1</v>
      </c>
      <c r="V172" s="8">
        <f t="shared" si="28"/>
        <v>1900</v>
      </c>
    </row>
    <row r="173" spans="1:22">
      <c r="A173" s="44"/>
      <c r="B173" s="24"/>
      <c r="C173" s="24"/>
      <c r="D173" s="24"/>
      <c r="E173" s="24">
        <f t="shared" si="29"/>
        <v>0</v>
      </c>
      <c r="F173" s="24">
        <f t="shared" si="30"/>
        <v>0</v>
      </c>
      <c r="G173" s="47">
        <v>2.61</v>
      </c>
      <c r="K173" s="48">
        <f t="shared" si="25"/>
        <v>4.6607142857142856</v>
      </c>
      <c r="L173" s="48"/>
      <c r="M173" s="44">
        <f t="shared" si="26"/>
        <v>0</v>
      </c>
      <c r="N173" s="48"/>
      <c r="O173" s="48"/>
      <c r="P173" s="48"/>
      <c r="Q173" s="48"/>
      <c r="R173" s="48"/>
      <c r="U173" s="8">
        <f t="shared" si="27"/>
        <v>1</v>
      </c>
      <c r="V173" s="8">
        <f t="shared" si="28"/>
        <v>1900</v>
      </c>
    </row>
    <row r="174" spans="1:22">
      <c r="A174" s="44"/>
      <c r="B174" s="24"/>
      <c r="C174" s="24"/>
      <c r="D174" s="24"/>
      <c r="E174" s="24">
        <f t="shared" si="29"/>
        <v>0</v>
      </c>
      <c r="F174" s="24">
        <f t="shared" si="30"/>
        <v>0</v>
      </c>
      <c r="G174" s="47">
        <v>2.5625</v>
      </c>
      <c r="K174" s="48">
        <f t="shared" si="25"/>
        <v>4.5758928571428568</v>
      </c>
      <c r="L174" s="48"/>
      <c r="M174" s="44">
        <f t="shared" si="26"/>
        <v>0</v>
      </c>
      <c r="N174" s="48"/>
      <c r="O174" s="48"/>
      <c r="P174" s="48"/>
      <c r="Q174" s="48"/>
      <c r="R174" s="48"/>
      <c r="U174" s="8">
        <f t="shared" si="27"/>
        <v>1</v>
      </c>
      <c r="V174" s="8">
        <f t="shared" si="28"/>
        <v>1900</v>
      </c>
    </row>
    <row r="175" spans="1:22">
      <c r="A175" s="44"/>
      <c r="B175" s="24"/>
      <c r="C175" s="24"/>
      <c r="D175" s="24"/>
      <c r="E175" s="24">
        <f t="shared" si="29"/>
        <v>0</v>
      </c>
      <c r="F175" s="24">
        <f t="shared" si="30"/>
        <v>0</v>
      </c>
      <c r="G175" s="47">
        <v>2.6379999999999999</v>
      </c>
      <c r="K175" s="48">
        <f t="shared" si="25"/>
        <v>4.7107142857142854</v>
      </c>
      <c r="L175" s="48"/>
      <c r="M175" s="44">
        <f t="shared" si="26"/>
        <v>0</v>
      </c>
      <c r="N175" s="48"/>
      <c r="O175" s="48"/>
      <c r="P175" s="48"/>
      <c r="Q175" s="48"/>
      <c r="R175" s="48"/>
      <c r="U175" s="8">
        <f t="shared" si="27"/>
        <v>1</v>
      </c>
      <c r="V175" s="8">
        <f t="shared" si="28"/>
        <v>1900</v>
      </c>
    </row>
    <row r="176" spans="1:22">
      <c r="A176" s="44"/>
      <c r="B176" s="24"/>
      <c r="C176" s="24"/>
      <c r="D176" s="24"/>
      <c r="E176" s="24">
        <f t="shared" si="29"/>
        <v>0</v>
      </c>
      <c r="F176" s="24">
        <f t="shared" si="30"/>
        <v>0</v>
      </c>
      <c r="G176" s="47">
        <v>2.64</v>
      </c>
      <c r="K176" s="48">
        <f t="shared" si="25"/>
        <v>4.7142857142857144</v>
      </c>
      <c r="L176" s="48"/>
      <c r="M176" s="44">
        <f t="shared" si="26"/>
        <v>0</v>
      </c>
      <c r="N176" s="48"/>
      <c r="O176" s="48"/>
      <c r="P176" s="48"/>
      <c r="Q176" s="48"/>
      <c r="R176" s="48"/>
      <c r="U176" s="8">
        <f t="shared" si="27"/>
        <v>1</v>
      </c>
      <c r="V176" s="8">
        <f t="shared" si="28"/>
        <v>1900</v>
      </c>
    </row>
    <row r="177" spans="1:22">
      <c r="A177" s="44"/>
      <c r="B177" s="24"/>
      <c r="C177" s="24"/>
      <c r="D177" s="24"/>
      <c r="E177" s="24">
        <f t="shared" si="29"/>
        <v>0</v>
      </c>
      <c r="F177" s="24">
        <f t="shared" si="30"/>
        <v>0</v>
      </c>
      <c r="G177" s="47">
        <v>2.68</v>
      </c>
      <c r="K177" s="48">
        <f t="shared" si="25"/>
        <v>4.7857142857142865</v>
      </c>
      <c r="L177" s="48"/>
      <c r="M177" s="44">
        <f t="shared" si="26"/>
        <v>0</v>
      </c>
      <c r="N177" s="48"/>
      <c r="O177" s="48"/>
      <c r="P177" s="48"/>
      <c r="Q177" s="48"/>
      <c r="R177" s="48"/>
      <c r="U177" s="8">
        <f t="shared" si="27"/>
        <v>1</v>
      </c>
      <c r="V177" s="8">
        <f t="shared" si="28"/>
        <v>1900</v>
      </c>
    </row>
    <row r="178" spans="1:22">
      <c r="A178" s="44"/>
      <c r="B178" s="24"/>
      <c r="C178" s="24"/>
      <c r="D178" s="24"/>
      <c r="E178" s="24">
        <f t="shared" si="29"/>
        <v>0</v>
      </c>
      <c r="F178" s="24">
        <f t="shared" si="30"/>
        <v>0</v>
      </c>
      <c r="G178" s="47">
        <v>2.72</v>
      </c>
      <c r="K178" s="48">
        <f t="shared" si="25"/>
        <v>4.8571428571428577</v>
      </c>
      <c r="L178" s="48"/>
      <c r="M178" s="44">
        <f t="shared" si="26"/>
        <v>0</v>
      </c>
      <c r="N178" s="48"/>
      <c r="O178" s="48"/>
      <c r="P178" s="48"/>
      <c r="Q178" s="48"/>
      <c r="R178" s="48"/>
      <c r="U178" s="8">
        <f t="shared" si="27"/>
        <v>1</v>
      </c>
      <c r="V178" s="8">
        <f t="shared" si="28"/>
        <v>1900</v>
      </c>
    </row>
    <row r="179" spans="1:22">
      <c r="A179" s="44"/>
      <c r="B179" s="24"/>
      <c r="C179" s="24"/>
      <c r="D179" s="24"/>
      <c r="E179" s="24">
        <f t="shared" si="29"/>
        <v>0</v>
      </c>
      <c r="F179" s="24">
        <f t="shared" si="30"/>
        <v>0</v>
      </c>
      <c r="G179" s="47">
        <v>2.6859999999999999</v>
      </c>
      <c r="K179" s="48">
        <f t="shared" si="25"/>
        <v>4.7964285714285717</v>
      </c>
      <c r="L179" s="48"/>
      <c r="M179" s="44">
        <f t="shared" si="26"/>
        <v>0</v>
      </c>
      <c r="N179" s="48"/>
      <c r="O179" s="48"/>
      <c r="P179" s="48"/>
      <c r="Q179" s="48"/>
      <c r="R179" s="48"/>
      <c r="U179" s="8">
        <f t="shared" si="27"/>
        <v>1</v>
      </c>
      <c r="V179" s="8">
        <f t="shared" si="28"/>
        <v>1900</v>
      </c>
    </row>
    <row r="180" spans="1:22">
      <c r="A180" s="44"/>
      <c r="B180" s="24"/>
      <c r="C180" s="24"/>
      <c r="D180" s="24"/>
      <c r="E180" s="24">
        <f t="shared" si="29"/>
        <v>0</v>
      </c>
      <c r="F180" s="24">
        <f t="shared" si="30"/>
        <v>0</v>
      </c>
      <c r="G180" s="47">
        <v>2.64</v>
      </c>
      <c r="K180" s="48">
        <f t="shared" si="25"/>
        <v>4.7142857142857144</v>
      </c>
      <c r="L180" s="48"/>
      <c r="M180" s="44">
        <f t="shared" si="26"/>
        <v>0</v>
      </c>
      <c r="N180" s="48"/>
      <c r="O180" s="48"/>
      <c r="P180" s="48"/>
      <c r="Q180" s="48"/>
      <c r="R180" s="48"/>
      <c r="U180" s="8">
        <f t="shared" si="27"/>
        <v>1</v>
      </c>
      <c r="V180" s="8">
        <f t="shared" si="28"/>
        <v>1900</v>
      </c>
    </row>
    <row r="181" spans="1:22">
      <c r="A181" s="44"/>
      <c r="B181" s="24"/>
      <c r="C181" s="24"/>
      <c r="D181" s="24"/>
      <c r="E181" s="24">
        <f t="shared" si="29"/>
        <v>0</v>
      </c>
      <c r="F181" s="24">
        <f t="shared" si="30"/>
        <v>0</v>
      </c>
      <c r="G181" s="47">
        <v>2.6</v>
      </c>
      <c r="K181" s="48">
        <f t="shared" si="25"/>
        <v>4.6428571428571432</v>
      </c>
      <c r="L181" s="48"/>
      <c r="M181" s="44">
        <f t="shared" si="26"/>
        <v>0</v>
      </c>
      <c r="N181" s="48"/>
      <c r="O181" s="48"/>
      <c r="P181" s="48"/>
      <c r="Q181" s="48"/>
      <c r="R181" s="48"/>
      <c r="U181" s="8">
        <f t="shared" si="27"/>
        <v>1</v>
      </c>
      <c r="V181" s="8">
        <f t="shared" si="28"/>
        <v>1900</v>
      </c>
    </row>
    <row r="182" spans="1:22">
      <c r="A182" s="44"/>
      <c r="B182" s="24"/>
      <c r="C182" s="24"/>
      <c r="D182" s="24"/>
      <c r="E182" s="24">
        <f t="shared" si="29"/>
        <v>0</v>
      </c>
      <c r="F182" s="24">
        <f t="shared" si="30"/>
        <v>0</v>
      </c>
      <c r="G182" s="47">
        <v>2.46</v>
      </c>
      <c r="K182" s="48">
        <f t="shared" si="25"/>
        <v>4.3928571428571423</v>
      </c>
      <c r="L182" s="48"/>
      <c r="M182" s="44">
        <f t="shared" si="26"/>
        <v>0</v>
      </c>
      <c r="N182" s="48"/>
      <c r="O182" s="48"/>
      <c r="P182" s="48"/>
      <c r="Q182" s="48"/>
      <c r="R182" s="48"/>
      <c r="U182" s="8">
        <f t="shared" si="27"/>
        <v>1</v>
      </c>
      <c r="V182" s="8">
        <f t="shared" si="28"/>
        <v>1900</v>
      </c>
    </row>
    <row r="183" spans="1:22">
      <c r="A183" s="44"/>
      <c r="B183" s="24"/>
      <c r="C183" s="24"/>
      <c r="D183" s="24"/>
      <c r="E183" s="24">
        <f t="shared" si="29"/>
        <v>0</v>
      </c>
      <c r="F183" s="24">
        <f t="shared" si="30"/>
        <v>0</v>
      </c>
      <c r="G183" s="47">
        <v>2.2799999999999998</v>
      </c>
      <c r="K183" s="48">
        <f t="shared" si="25"/>
        <v>4.0714285714285712</v>
      </c>
      <c r="L183" s="48"/>
      <c r="M183" s="44">
        <f t="shared" si="26"/>
        <v>0</v>
      </c>
      <c r="N183" s="48"/>
      <c r="O183" s="48"/>
      <c r="P183" s="48"/>
      <c r="Q183" s="48"/>
      <c r="R183" s="48"/>
      <c r="U183" s="8">
        <f t="shared" si="27"/>
        <v>1</v>
      </c>
      <c r="V183" s="8">
        <f t="shared" si="28"/>
        <v>1900</v>
      </c>
    </row>
    <row r="184" spans="1:22">
      <c r="A184" s="44"/>
      <c r="B184" s="24"/>
      <c r="C184" s="24"/>
      <c r="D184" s="24"/>
      <c r="E184" s="24">
        <f t="shared" si="29"/>
        <v>0</v>
      </c>
      <c r="F184" s="24">
        <f t="shared" si="30"/>
        <v>0</v>
      </c>
      <c r="G184" s="47">
        <v>2.1</v>
      </c>
      <c r="K184" s="48">
        <f t="shared" si="25"/>
        <v>3.75</v>
      </c>
      <c r="L184" s="48"/>
      <c r="M184" s="44">
        <f t="shared" si="26"/>
        <v>0</v>
      </c>
      <c r="N184" s="48"/>
      <c r="O184" s="48"/>
      <c r="P184" s="48"/>
      <c r="Q184" s="48"/>
      <c r="R184" s="48"/>
      <c r="U184" s="8">
        <f t="shared" si="27"/>
        <v>1</v>
      </c>
      <c r="V184" s="8">
        <f t="shared" si="28"/>
        <v>1900</v>
      </c>
    </row>
    <row r="185" spans="1:22">
      <c r="A185" s="44"/>
      <c r="B185" s="24"/>
      <c r="C185" s="24"/>
      <c r="D185" s="24"/>
      <c r="E185" s="24">
        <f t="shared" si="29"/>
        <v>0</v>
      </c>
      <c r="F185" s="24">
        <f t="shared" si="30"/>
        <v>0</v>
      </c>
      <c r="G185" s="47">
        <v>2.3199999999999998</v>
      </c>
      <c r="K185" s="48">
        <f t="shared" si="25"/>
        <v>4.1428571428571423</v>
      </c>
      <c r="L185" s="48"/>
      <c r="M185" s="44">
        <f t="shared" si="26"/>
        <v>0</v>
      </c>
      <c r="N185" s="48"/>
      <c r="O185" s="48"/>
      <c r="P185" s="48"/>
      <c r="Q185" s="48"/>
      <c r="R185" s="48"/>
      <c r="U185" s="8">
        <f t="shared" si="27"/>
        <v>1</v>
      </c>
      <c r="V185" s="8">
        <f t="shared" si="28"/>
        <v>1900</v>
      </c>
    </row>
    <row r="186" spans="1:22">
      <c r="A186" s="44"/>
      <c r="B186" s="24"/>
      <c r="C186" s="24"/>
      <c r="D186" s="24"/>
      <c r="E186" s="24">
        <f t="shared" si="29"/>
        <v>0</v>
      </c>
      <c r="F186" s="24">
        <f t="shared" si="30"/>
        <v>0</v>
      </c>
      <c r="G186" s="47">
        <v>2.38</v>
      </c>
      <c r="K186" s="48">
        <f t="shared" si="25"/>
        <v>4.25</v>
      </c>
      <c r="L186" s="48"/>
      <c r="M186" s="44">
        <f t="shared" si="26"/>
        <v>0</v>
      </c>
      <c r="N186" s="48"/>
      <c r="O186" s="48"/>
      <c r="P186" s="48"/>
      <c r="Q186" s="48"/>
      <c r="R186" s="48"/>
      <c r="U186" s="8">
        <f t="shared" si="27"/>
        <v>1</v>
      </c>
      <c r="V186" s="8">
        <f t="shared" si="28"/>
        <v>1900</v>
      </c>
    </row>
    <row r="187" spans="1:22">
      <c r="A187" s="44"/>
      <c r="B187" s="24"/>
      <c r="C187" s="24"/>
      <c r="D187" s="24"/>
      <c r="E187" s="24">
        <f t="shared" si="29"/>
        <v>0</v>
      </c>
      <c r="F187" s="24">
        <f t="shared" si="30"/>
        <v>0</v>
      </c>
      <c r="G187" s="47">
        <v>2.36</v>
      </c>
      <c r="K187" s="48">
        <f t="shared" si="25"/>
        <v>4.2142857142857144</v>
      </c>
      <c r="L187" s="48"/>
      <c r="M187" s="44">
        <f t="shared" si="26"/>
        <v>0</v>
      </c>
      <c r="N187" s="48"/>
      <c r="O187" s="48"/>
      <c r="P187" s="48"/>
      <c r="Q187" s="48"/>
      <c r="R187" s="48"/>
      <c r="U187" s="8">
        <f t="shared" si="27"/>
        <v>1</v>
      </c>
      <c r="V187" s="8">
        <f t="shared" si="28"/>
        <v>1900</v>
      </c>
    </row>
    <row r="188" spans="1:22">
      <c r="A188" s="44"/>
      <c r="B188" s="24"/>
      <c r="C188" s="24"/>
      <c r="D188" s="24"/>
      <c r="E188" s="24">
        <f t="shared" si="29"/>
        <v>0</v>
      </c>
      <c r="F188" s="24">
        <f t="shared" si="30"/>
        <v>0</v>
      </c>
      <c r="G188" s="47">
        <v>2.33</v>
      </c>
      <c r="K188" s="48">
        <f t="shared" si="25"/>
        <v>4.1607142857142856</v>
      </c>
      <c r="L188" s="48"/>
      <c r="M188" s="44">
        <f t="shared" si="26"/>
        <v>0</v>
      </c>
      <c r="N188" s="48"/>
      <c r="O188" s="48"/>
      <c r="P188" s="48"/>
      <c r="Q188" s="48"/>
      <c r="R188" s="48"/>
      <c r="U188" s="8">
        <f t="shared" si="27"/>
        <v>1</v>
      </c>
      <c r="V188" s="8">
        <f t="shared" si="28"/>
        <v>1900</v>
      </c>
    </row>
    <row r="189" spans="1:22">
      <c r="A189" s="44"/>
      <c r="B189" s="24"/>
      <c r="C189" s="24"/>
      <c r="D189" s="24"/>
      <c r="E189" s="24">
        <f t="shared" si="29"/>
        <v>0</v>
      </c>
      <c r="F189" s="24">
        <f t="shared" si="30"/>
        <v>0</v>
      </c>
      <c r="G189" s="47">
        <v>2.29</v>
      </c>
      <c r="K189" s="48">
        <f t="shared" si="25"/>
        <v>4.0892857142857144</v>
      </c>
      <c r="L189" s="48"/>
      <c r="M189" s="44">
        <f t="shared" si="26"/>
        <v>0</v>
      </c>
      <c r="N189" s="48"/>
      <c r="O189" s="48"/>
      <c r="P189" s="48"/>
      <c r="Q189" s="48"/>
      <c r="R189" s="48"/>
      <c r="U189" s="8">
        <f t="shared" si="27"/>
        <v>1</v>
      </c>
      <c r="V189" s="8">
        <f t="shared" si="28"/>
        <v>1900</v>
      </c>
    </row>
    <row r="190" spans="1:22">
      <c r="A190" s="44"/>
      <c r="B190" s="24"/>
      <c r="C190" s="24"/>
      <c r="D190" s="24"/>
      <c r="E190" s="24">
        <f t="shared" si="29"/>
        <v>0</v>
      </c>
      <c r="F190" s="24">
        <f t="shared" si="30"/>
        <v>0</v>
      </c>
      <c r="G190" s="47">
        <v>2.3140000000000001</v>
      </c>
      <c r="K190" s="48">
        <f t="shared" si="25"/>
        <v>4.1321428571428571</v>
      </c>
      <c r="L190" s="48"/>
      <c r="M190" s="44">
        <f t="shared" si="26"/>
        <v>0</v>
      </c>
      <c r="N190" s="48"/>
      <c r="O190" s="48"/>
      <c r="P190" s="48"/>
      <c r="Q190" s="48"/>
      <c r="R190" s="48"/>
      <c r="U190" s="8">
        <f t="shared" si="27"/>
        <v>1</v>
      </c>
      <c r="V190" s="8">
        <f t="shared" si="28"/>
        <v>1900</v>
      </c>
    </row>
    <row r="191" spans="1:22">
      <c r="A191" s="44"/>
      <c r="B191" s="24"/>
      <c r="C191" s="24"/>
      <c r="D191" s="24"/>
      <c r="E191" s="24">
        <f t="shared" si="29"/>
        <v>0</v>
      </c>
      <c r="F191" s="24">
        <f t="shared" si="30"/>
        <v>0</v>
      </c>
      <c r="G191" s="47">
        <v>2.42</v>
      </c>
      <c r="K191" s="48">
        <f t="shared" si="25"/>
        <v>4.3214285714285712</v>
      </c>
      <c r="L191" s="48"/>
      <c r="M191" s="44">
        <f t="shared" si="26"/>
        <v>0</v>
      </c>
      <c r="N191" s="48"/>
      <c r="O191" s="48"/>
      <c r="P191" s="48"/>
      <c r="Q191" s="48"/>
      <c r="R191" s="48"/>
      <c r="U191" s="8">
        <f t="shared" si="27"/>
        <v>1</v>
      </c>
      <c r="V191" s="8">
        <f t="shared" si="28"/>
        <v>1900</v>
      </c>
    </row>
    <row r="192" spans="1:22">
      <c r="A192" s="44"/>
      <c r="B192" s="24"/>
      <c r="C192" s="24"/>
      <c r="D192" s="24"/>
      <c r="E192" s="24">
        <f t="shared" si="29"/>
        <v>0</v>
      </c>
      <c r="F192" s="24">
        <f t="shared" si="30"/>
        <v>0</v>
      </c>
      <c r="G192" s="47">
        <v>2.41</v>
      </c>
      <c r="K192" s="48">
        <f t="shared" ref="K192:K255" si="31">G192/56*100</f>
        <v>4.3035714285714288</v>
      </c>
      <c r="L192" s="48"/>
      <c r="M192" s="44">
        <f t="shared" si="26"/>
        <v>0</v>
      </c>
      <c r="N192" s="48"/>
      <c r="O192" s="48"/>
      <c r="P192" s="48"/>
      <c r="Q192" s="48"/>
      <c r="R192" s="48"/>
      <c r="U192" s="8">
        <f t="shared" si="27"/>
        <v>1</v>
      </c>
      <c r="V192" s="8">
        <f t="shared" si="28"/>
        <v>1900</v>
      </c>
    </row>
    <row r="193" spans="1:22">
      <c r="A193" s="44"/>
      <c r="B193" s="24"/>
      <c r="C193" s="24"/>
      <c r="D193" s="24"/>
      <c r="E193" s="24">
        <f t="shared" si="29"/>
        <v>0</v>
      </c>
      <c r="F193" s="24">
        <f t="shared" si="30"/>
        <v>0</v>
      </c>
      <c r="G193" s="47">
        <v>1.9319999999999999</v>
      </c>
      <c r="K193" s="48">
        <f t="shared" si="31"/>
        <v>3.4499999999999997</v>
      </c>
      <c r="L193" s="48"/>
      <c r="M193" s="44">
        <f t="shared" si="26"/>
        <v>0</v>
      </c>
      <c r="N193" s="48"/>
      <c r="O193" s="48"/>
      <c r="P193" s="48"/>
      <c r="Q193" s="48"/>
      <c r="R193" s="48"/>
      <c r="U193" s="8">
        <f t="shared" si="27"/>
        <v>1</v>
      </c>
      <c r="V193" s="8">
        <f t="shared" si="28"/>
        <v>1900</v>
      </c>
    </row>
    <row r="194" spans="1:22">
      <c r="A194" s="44"/>
      <c r="B194" s="24"/>
      <c r="C194" s="24"/>
      <c r="D194" s="24"/>
      <c r="E194" s="24">
        <f t="shared" si="29"/>
        <v>0</v>
      </c>
      <c r="F194" s="24">
        <f t="shared" si="30"/>
        <v>0</v>
      </c>
      <c r="G194" s="47">
        <v>1.5175000000000001</v>
      </c>
      <c r="K194" s="48">
        <f t="shared" si="31"/>
        <v>2.7098214285714288</v>
      </c>
      <c r="L194" s="48"/>
      <c r="M194" s="44">
        <f t="shared" si="26"/>
        <v>0</v>
      </c>
      <c r="N194" s="48"/>
      <c r="O194" s="48"/>
      <c r="P194" s="48"/>
      <c r="Q194" s="48"/>
      <c r="R194" s="48"/>
      <c r="U194" s="8">
        <f t="shared" si="27"/>
        <v>1</v>
      </c>
      <c r="V194" s="8">
        <f t="shared" si="28"/>
        <v>1900</v>
      </c>
    </row>
    <row r="195" spans="1:22">
      <c r="A195" s="44"/>
      <c r="B195" s="24"/>
      <c r="C195" s="24"/>
      <c r="D195" s="24"/>
      <c r="E195" s="24">
        <f t="shared" si="29"/>
        <v>0</v>
      </c>
      <c r="F195" s="24">
        <f t="shared" si="30"/>
        <v>0</v>
      </c>
      <c r="G195" s="47">
        <v>1.3374999999999999</v>
      </c>
      <c r="K195" s="48">
        <f t="shared" si="31"/>
        <v>2.3883928571428568</v>
      </c>
      <c r="L195" s="48"/>
      <c r="M195" s="44">
        <f t="shared" ref="M195:M258" si="32">A195</f>
        <v>0</v>
      </c>
      <c r="N195" s="48"/>
      <c r="O195" s="48"/>
      <c r="P195" s="48"/>
      <c r="Q195" s="48"/>
      <c r="R195" s="48"/>
      <c r="U195" s="8">
        <f t="shared" ref="U195:U258" si="33">MONTH(M195)</f>
        <v>1</v>
      </c>
      <c r="V195" s="8">
        <f t="shared" ref="V195:V258" si="34">YEAR(M195)</f>
        <v>1900</v>
      </c>
    </row>
    <row r="196" spans="1:22">
      <c r="A196" s="44"/>
      <c r="B196" s="24"/>
      <c r="C196" s="24"/>
      <c r="D196" s="24"/>
      <c r="E196" s="24">
        <f t="shared" si="29"/>
        <v>0</v>
      </c>
      <c r="F196" s="24">
        <f t="shared" si="30"/>
        <v>0</v>
      </c>
      <c r="G196" s="47">
        <v>1.3380000000000001</v>
      </c>
      <c r="K196" s="48">
        <f t="shared" si="31"/>
        <v>2.3892857142857142</v>
      </c>
      <c r="L196" s="48"/>
      <c r="M196" s="44">
        <f t="shared" si="32"/>
        <v>0</v>
      </c>
      <c r="N196" s="48"/>
      <c r="O196" s="48"/>
      <c r="P196" s="48"/>
      <c r="Q196" s="48"/>
      <c r="R196" s="48"/>
      <c r="U196" s="8">
        <f t="shared" si="33"/>
        <v>1</v>
      </c>
      <c r="V196" s="8">
        <f t="shared" si="34"/>
        <v>1900</v>
      </c>
    </row>
    <row r="197" spans="1:22">
      <c r="A197" s="44"/>
      <c r="B197" s="24"/>
      <c r="C197" s="24"/>
      <c r="D197" s="24"/>
      <c r="E197" s="24">
        <f t="shared" si="29"/>
        <v>0</v>
      </c>
      <c r="F197" s="24">
        <f t="shared" si="30"/>
        <v>0</v>
      </c>
      <c r="G197" s="47">
        <v>1.55</v>
      </c>
      <c r="K197" s="48">
        <f t="shared" si="31"/>
        <v>2.7678571428571432</v>
      </c>
      <c r="L197" s="48"/>
      <c r="M197" s="44">
        <f t="shared" si="32"/>
        <v>0</v>
      </c>
      <c r="N197" s="48"/>
      <c r="O197" s="48"/>
      <c r="P197" s="48"/>
      <c r="Q197" s="48"/>
      <c r="R197" s="48"/>
      <c r="U197" s="8">
        <f t="shared" si="33"/>
        <v>1</v>
      </c>
      <c r="V197" s="8">
        <f t="shared" si="34"/>
        <v>1900</v>
      </c>
    </row>
    <row r="198" spans="1:22">
      <c r="A198" s="44"/>
      <c r="B198" s="24"/>
      <c r="C198" s="24"/>
      <c r="D198" s="24"/>
      <c r="E198" s="24">
        <f t="shared" si="29"/>
        <v>0</v>
      </c>
      <c r="F198" s="24">
        <f t="shared" si="30"/>
        <v>0</v>
      </c>
      <c r="G198" s="47">
        <v>1.52</v>
      </c>
      <c r="K198" s="48">
        <f t="shared" si="31"/>
        <v>2.7142857142857144</v>
      </c>
      <c r="L198" s="48"/>
      <c r="M198" s="44">
        <f t="shared" si="32"/>
        <v>0</v>
      </c>
      <c r="N198" s="48"/>
      <c r="O198" s="48"/>
      <c r="P198" s="48"/>
      <c r="Q198" s="48"/>
      <c r="R198" s="48"/>
      <c r="U198" s="8">
        <f t="shared" si="33"/>
        <v>1</v>
      </c>
      <c r="V198" s="8">
        <f t="shared" si="34"/>
        <v>1900</v>
      </c>
    </row>
    <row r="199" spans="1:22">
      <c r="A199" s="44"/>
      <c r="B199" s="24"/>
      <c r="C199" s="24"/>
      <c r="D199" s="24"/>
      <c r="E199" s="24">
        <f t="shared" si="29"/>
        <v>0</v>
      </c>
      <c r="F199" s="24">
        <f t="shared" si="30"/>
        <v>0</v>
      </c>
      <c r="G199" s="47">
        <v>1.4424999999999999</v>
      </c>
      <c r="K199" s="48">
        <f t="shared" si="31"/>
        <v>2.5758928571428568</v>
      </c>
      <c r="L199" s="48"/>
      <c r="M199" s="44">
        <f t="shared" si="32"/>
        <v>0</v>
      </c>
      <c r="N199" s="48"/>
      <c r="O199" s="48"/>
      <c r="P199" s="48"/>
      <c r="Q199" s="48"/>
      <c r="R199" s="48"/>
      <c r="U199" s="8">
        <f t="shared" si="33"/>
        <v>1</v>
      </c>
      <c r="V199" s="8">
        <f t="shared" si="34"/>
        <v>1900</v>
      </c>
    </row>
    <row r="200" spans="1:22">
      <c r="A200" s="44"/>
      <c r="B200" s="24"/>
      <c r="C200" s="24"/>
      <c r="D200" s="24"/>
      <c r="E200" s="24">
        <f t="shared" si="29"/>
        <v>0</v>
      </c>
      <c r="F200" s="24">
        <f t="shared" si="30"/>
        <v>0</v>
      </c>
      <c r="G200" s="47">
        <v>1.38</v>
      </c>
      <c r="K200" s="48">
        <f t="shared" si="31"/>
        <v>2.464285714285714</v>
      </c>
      <c r="L200" s="48"/>
      <c r="M200" s="44">
        <f t="shared" si="32"/>
        <v>0</v>
      </c>
      <c r="N200" s="48"/>
      <c r="O200" s="48"/>
      <c r="P200" s="48"/>
      <c r="Q200" s="48"/>
      <c r="R200" s="48"/>
      <c r="U200" s="8">
        <f t="shared" si="33"/>
        <v>1</v>
      </c>
      <c r="V200" s="8">
        <f t="shared" si="34"/>
        <v>1900</v>
      </c>
    </row>
    <row r="201" spans="1:22">
      <c r="A201" s="44"/>
      <c r="B201" s="24"/>
      <c r="C201" s="24"/>
      <c r="D201" s="24"/>
      <c r="E201" s="24">
        <f t="shared" si="29"/>
        <v>0</v>
      </c>
      <c r="F201" s="24">
        <f t="shared" si="30"/>
        <v>0</v>
      </c>
      <c r="G201" s="47">
        <v>1.46</v>
      </c>
      <c r="K201" s="48">
        <f t="shared" si="31"/>
        <v>2.6071428571428572</v>
      </c>
      <c r="L201" s="48"/>
      <c r="M201" s="44">
        <f t="shared" si="32"/>
        <v>0</v>
      </c>
      <c r="N201" s="48"/>
      <c r="O201" s="48"/>
      <c r="P201" s="48"/>
      <c r="Q201" s="48"/>
      <c r="R201" s="48"/>
      <c r="U201" s="8">
        <f t="shared" si="33"/>
        <v>1</v>
      </c>
      <c r="V201" s="8">
        <f t="shared" si="34"/>
        <v>1900</v>
      </c>
    </row>
    <row r="202" spans="1:22">
      <c r="A202" s="44"/>
      <c r="B202" s="24"/>
      <c r="C202" s="24"/>
      <c r="D202" s="24"/>
      <c r="E202" s="24">
        <f t="shared" si="29"/>
        <v>0</v>
      </c>
      <c r="F202" s="24">
        <f t="shared" si="30"/>
        <v>0</v>
      </c>
      <c r="G202" s="47">
        <v>1.56</v>
      </c>
      <c r="K202" s="48">
        <f t="shared" si="31"/>
        <v>2.7857142857142856</v>
      </c>
      <c r="L202" s="48"/>
      <c r="M202" s="44">
        <f t="shared" si="32"/>
        <v>0</v>
      </c>
      <c r="N202" s="48"/>
      <c r="O202" s="48"/>
      <c r="P202" s="48"/>
      <c r="Q202" s="48"/>
      <c r="R202" s="48"/>
      <c r="U202" s="8">
        <f t="shared" si="33"/>
        <v>1</v>
      </c>
      <c r="V202" s="8">
        <f t="shared" si="34"/>
        <v>1900</v>
      </c>
    </row>
    <row r="203" spans="1:22">
      <c r="A203" s="44"/>
      <c r="B203" s="24"/>
      <c r="C203" s="24"/>
      <c r="D203" s="24"/>
      <c r="E203" s="24">
        <f t="shared" ref="E203:E266" si="35">B203-D203</f>
        <v>0</v>
      </c>
      <c r="F203" s="24">
        <f t="shared" ref="F203:F266" si="36">C203-D203</f>
        <v>0</v>
      </c>
      <c r="G203" s="47">
        <v>1.7450000000000001</v>
      </c>
      <c r="K203" s="48">
        <f t="shared" si="31"/>
        <v>3.1160714285714288</v>
      </c>
      <c r="L203" s="48"/>
      <c r="M203" s="44">
        <f t="shared" si="32"/>
        <v>0</v>
      </c>
      <c r="N203" s="48"/>
      <c r="O203" s="48"/>
      <c r="P203" s="48"/>
      <c r="Q203" s="48"/>
      <c r="R203" s="48"/>
      <c r="U203" s="8">
        <f t="shared" si="33"/>
        <v>1</v>
      </c>
      <c r="V203" s="8">
        <f t="shared" si="34"/>
        <v>1900</v>
      </c>
    </row>
    <row r="204" spans="1:22">
      <c r="A204" s="44"/>
      <c r="B204" s="24"/>
      <c r="C204" s="24"/>
      <c r="D204" s="24"/>
      <c r="E204" s="24">
        <f t="shared" si="35"/>
        <v>0</v>
      </c>
      <c r="F204" s="24">
        <f t="shared" si="36"/>
        <v>0</v>
      </c>
      <c r="G204" s="47">
        <v>1.744</v>
      </c>
      <c r="K204" s="48">
        <f t="shared" si="31"/>
        <v>3.1142857142857143</v>
      </c>
      <c r="L204" s="48"/>
      <c r="M204" s="44">
        <f t="shared" si="32"/>
        <v>0</v>
      </c>
      <c r="N204" s="48"/>
      <c r="O204" s="48"/>
      <c r="P204" s="48"/>
      <c r="Q204" s="48"/>
      <c r="R204" s="48"/>
      <c r="U204" s="8">
        <f t="shared" si="33"/>
        <v>1</v>
      </c>
      <c r="V204" s="8">
        <f t="shared" si="34"/>
        <v>1900</v>
      </c>
    </row>
    <row r="205" spans="1:22">
      <c r="A205" s="44"/>
      <c r="B205" s="24"/>
      <c r="C205" s="24"/>
      <c r="D205" s="24"/>
      <c r="E205" s="24">
        <f t="shared" si="35"/>
        <v>0</v>
      </c>
      <c r="F205" s="24">
        <f t="shared" si="36"/>
        <v>0</v>
      </c>
      <c r="G205" s="47">
        <v>1.6</v>
      </c>
      <c r="K205" s="48">
        <f t="shared" si="31"/>
        <v>2.8571428571428572</v>
      </c>
      <c r="L205" s="48"/>
      <c r="M205" s="44">
        <f t="shared" si="32"/>
        <v>0</v>
      </c>
      <c r="N205" s="48"/>
      <c r="O205" s="48"/>
      <c r="P205" s="48"/>
      <c r="Q205" s="48"/>
      <c r="R205" s="48"/>
      <c r="U205" s="8">
        <f t="shared" si="33"/>
        <v>1</v>
      </c>
      <c r="V205" s="8">
        <f t="shared" si="34"/>
        <v>1900</v>
      </c>
    </row>
    <row r="206" spans="1:22">
      <c r="A206" s="44"/>
      <c r="B206" s="24"/>
      <c r="C206" s="24"/>
      <c r="D206" s="24"/>
      <c r="E206" s="24">
        <f t="shared" si="35"/>
        <v>0</v>
      </c>
      <c r="F206" s="24">
        <f t="shared" si="36"/>
        <v>0</v>
      </c>
      <c r="G206" s="47">
        <v>1.46</v>
      </c>
      <c r="K206" s="48">
        <f t="shared" si="31"/>
        <v>2.6071428571428572</v>
      </c>
      <c r="L206" s="48"/>
      <c r="M206" s="44">
        <f t="shared" si="32"/>
        <v>0</v>
      </c>
      <c r="N206" s="48"/>
      <c r="O206" s="48"/>
      <c r="P206" s="48"/>
      <c r="Q206" s="48"/>
      <c r="R206" s="48"/>
      <c r="U206" s="8">
        <f t="shared" si="33"/>
        <v>1</v>
      </c>
      <c r="V206" s="8">
        <f t="shared" si="34"/>
        <v>1900</v>
      </c>
    </row>
    <row r="207" spans="1:22">
      <c r="A207" s="44"/>
      <c r="B207" s="24"/>
      <c r="C207" s="24"/>
      <c r="D207" s="24"/>
      <c r="E207" s="24">
        <f t="shared" si="35"/>
        <v>0</v>
      </c>
      <c r="F207" s="24">
        <f t="shared" si="36"/>
        <v>0</v>
      </c>
      <c r="G207" s="47">
        <v>1.5</v>
      </c>
      <c r="K207" s="48">
        <f t="shared" si="31"/>
        <v>2.6785714285714284</v>
      </c>
      <c r="L207" s="48"/>
      <c r="M207" s="44">
        <f t="shared" si="32"/>
        <v>0</v>
      </c>
      <c r="N207" s="48"/>
      <c r="O207" s="48"/>
      <c r="P207" s="48"/>
      <c r="Q207" s="48"/>
      <c r="R207" s="48"/>
      <c r="U207" s="8">
        <f t="shared" si="33"/>
        <v>1</v>
      </c>
      <c r="V207" s="8">
        <f t="shared" si="34"/>
        <v>1900</v>
      </c>
    </row>
    <row r="208" spans="1:22">
      <c r="A208" s="44"/>
      <c r="B208" s="24"/>
      <c r="C208" s="24"/>
      <c r="D208" s="24"/>
      <c r="E208" s="24">
        <f t="shared" si="35"/>
        <v>0</v>
      </c>
      <c r="F208" s="24">
        <f t="shared" si="36"/>
        <v>0</v>
      </c>
      <c r="G208" s="47">
        <v>1.64</v>
      </c>
      <c r="K208" s="48">
        <f t="shared" si="31"/>
        <v>2.9285714285714284</v>
      </c>
      <c r="L208" s="48"/>
      <c r="M208" s="44">
        <f t="shared" si="32"/>
        <v>0</v>
      </c>
      <c r="N208" s="48"/>
      <c r="O208" s="48"/>
      <c r="P208" s="48"/>
      <c r="Q208" s="48"/>
      <c r="R208" s="48"/>
      <c r="U208" s="8">
        <f t="shared" si="33"/>
        <v>1</v>
      </c>
      <c r="V208" s="8">
        <f t="shared" si="34"/>
        <v>1900</v>
      </c>
    </row>
    <row r="209" spans="1:22">
      <c r="A209" s="44"/>
      <c r="B209" s="24"/>
      <c r="C209" s="24"/>
      <c r="D209" s="24"/>
      <c r="E209" s="24">
        <f t="shared" si="35"/>
        <v>0</v>
      </c>
      <c r="F209" s="24">
        <f t="shared" si="36"/>
        <v>0</v>
      </c>
      <c r="G209" s="47">
        <v>1.74</v>
      </c>
      <c r="K209" s="48">
        <f t="shared" si="31"/>
        <v>3.1071428571428572</v>
      </c>
      <c r="L209" s="48"/>
      <c r="M209" s="44">
        <f t="shared" si="32"/>
        <v>0</v>
      </c>
      <c r="N209" s="48"/>
      <c r="O209" s="48"/>
      <c r="P209" s="48"/>
      <c r="Q209" s="48"/>
      <c r="R209" s="48"/>
      <c r="U209" s="8">
        <f t="shared" si="33"/>
        <v>1</v>
      </c>
      <c r="V209" s="8">
        <f t="shared" si="34"/>
        <v>1900</v>
      </c>
    </row>
    <row r="210" spans="1:22">
      <c r="A210" s="44"/>
      <c r="B210" s="24"/>
      <c r="C210" s="24"/>
      <c r="D210" s="24"/>
      <c r="E210" s="24">
        <f t="shared" si="35"/>
        <v>0</v>
      </c>
      <c r="F210" s="24">
        <f t="shared" si="36"/>
        <v>0</v>
      </c>
      <c r="G210" s="47">
        <v>1.782</v>
      </c>
      <c r="K210" s="48">
        <f t="shared" si="31"/>
        <v>3.1821428571428569</v>
      </c>
      <c r="L210" s="48"/>
      <c r="M210" s="44">
        <f t="shared" si="32"/>
        <v>0</v>
      </c>
      <c r="N210" s="48"/>
      <c r="O210" s="48"/>
      <c r="P210" s="48"/>
      <c r="Q210" s="48"/>
      <c r="R210" s="48"/>
      <c r="U210" s="8">
        <f t="shared" si="33"/>
        <v>1</v>
      </c>
      <c r="V210" s="8">
        <f t="shared" si="34"/>
        <v>1900</v>
      </c>
    </row>
    <row r="211" spans="1:22">
      <c r="A211" s="44"/>
      <c r="B211" s="24"/>
      <c r="C211" s="24"/>
      <c r="D211" s="24"/>
      <c r="E211" s="24">
        <f t="shared" si="35"/>
        <v>0</v>
      </c>
      <c r="F211" s="24">
        <f t="shared" si="36"/>
        <v>0</v>
      </c>
      <c r="G211" s="47">
        <v>1.84</v>
      </c>
      <c r="K211" s="48">
        <f t="shared" si="31"/>
        <v>3.2857142857142856</v>
      </c>
      <c r="L211" s="48"/>
      <c r="M211" s="44">
        <f t="shared" si="32"/>
        <v>0</v>
      </c>
      <c r="N211" s="48"/>
      <c r="O211" s="48"/>
      <c r="P211" s="48"/>
      <c r="Q211" s="48"/>
      <c r="R211" s="48"/>
      <c r="U211" s="8">
        <f t="shared" si="33"/>
        <v>1</v>
      </c>
      <c r="V211" s="8">
        <f t="shared" si="34"/>
        <v>1900</v>
      </c>
    </row>
    <row r="212" spans="1:22">
      <c r="A212" s="44"/>
      <c r="B212" s="24"/>
      <c r="C212" s="24"/>
      <c r="D212" s="24"/>
      <c r="E212" s="24">
        <f t="shared" si="35"/>
        <v>0</v>
      </c>
      <c r="F212" s="24">
        <f t="shared" si="36"/>
        <v>0</v>
      </c>
      <c r="G212" s="47">
        <v>1.9</v>
      </c>
      <c r="K212" s="48">
        <f t="shared" si="31"/>
        <v>3.3928571428571428</v>
      </c>
      <c r="L212" s="48"/>
      <c r="M212" s="44">
        <f t="shared" si="32"/>
        <v>0</v>
      </c>
      <c r="N212" s="48"/>
      <c r="O212" s="48"/>
      <c r="P212" s="48"/>
      <c r="Q212" s="48"/>
      <c r="R212" s="48"/>
      <c r="U212" s="8">
        <f t="shared" si="33"/>
        <v>1</v>
      </c>
      <c r="V212" s="8">
        <f t="shared" si="34"/>
        <v>1900</v>
      </c>
    </row>
    <row r="213" spans="1:22">
      <c r="A213" s="44"/>
      <c r="B213" s="24"/>
      <c r="C213" s="24"/>
      <c r="D213" s="24"/>
      <c r="E213" s="24">
        <f t="shared" si="35"/>
        <v>0</v>
      </c>
      <c r="F213" s="24">
        <f t="shared" si="36"/>
        <v>0</v>
      </c>
      <c r="G213" s="47">
        <v>1.9159999999999999</v>
      </c>
      <c r="K213" s="48">
        <f t="shared" si="31"/>
        <v>3.4214285714285713</v>
      </c>
      <c r="L213" s="48"/>
      <c r="M213" s="44">
        <f t="shared" si="32"/>
        <v>0</v>
      </c>
      <c r="N213" s="48"/>
      <c r="O213" s="48"/>
      <c r="P213" s="48"/>
      <c r="Q213" s="48"/>
      <c r="R213" s="48"/>
      <c r="U213" s="8">
        <f t="shared" si="33"/>
        <v>1</v>
      </c>
      <c r="V213" s="8">
        <f t="shared" si="34"/>
        <v>1900</v>
      </c>
    </row>
    <row r="214" spans="1:22">
      <c r="A214" s="44"/>
      <c r="B214" s="24"/>
      <c r="C214" s="24"/>
      <c r="D214" s="24"/>
      <c r="E214" s="24">
        <f t="shared" si="35"/>
        <v>0</v>
      </c>
      <c r="F214" s="24">
        <f t="shared" si="36"/>
        <v>0</v>
      </c>
      <c r="G214" s="47">
        <v>1.9212499999999999</v>
      </c>
      <c r="K214" s="48">
        <f t="shared" si="31"/>
        <v>3.4308035714285716</v>
      </c>
      <c r="L214" s="48"/>
      <c r="M214" s="44">
        <f t="shared" si="32"/>
        <v>0</v>
      </c>
      <c r="N214" s="48"/>
      <c r="O214" s="48"/>
      <c r="P214" s="48"/>
      <c r="Q214" s="48"/>
      <c r="R214" s="48"/>
      <c r="U214" s="8">
        <f t="shared" si="33"/>
        <v>1</v>
      </c>
      <c r="V214" s="8">
        <f t="shared" si="34"/>
        <v>1900</v>
      </c>
    </row>
    <row r="215" spans="1:22">
      <c r="A215" s="44"/>
      <c r="B215" s="24"/>
      <c r="C215" s="24"/>
      <c r="D215" s="24"/>
      <c r="E215" s="24">
        <f t="shared" si="35"/>
        <v>0</v>
      </c>
      <c r="F215" s="24">
        <f t="shared" si="36"/>
        <v>0</v>
      </c>
      <c r="G215" s="47">
        <v>1.9662500000000001</v>
      </c>
      <c r="K215" s="48">
        <f t="shared" si="31"/>
        <v>3.5111607142857144</v>
      </c>
      <c r="L215" s="48"/>
      <c r="M215" s="44">
        <f t="shared" si="32"/>
        <v>0</v>
      </c>
      <c r="N215" s="48"/>
      <c r="O215" s="48"/>
      <c r="P215" s="48"/>
      <c r="Q215" s="48"/>
      <c r="R215" s="48"/>
      <c r="U215" s="8">
        <f t="shared" si="33"/>
        <v>1</v>
      </c>
      <c r="V215" s="8">
        <f t="shared" si="34"/>
        <v>1900</v>
      </c>
    </row>
    <row r="216" spans="1:22">
      <c r="A216" s="44"/>
      <c r="B216" s="24"/>
      <c r="C216" s="24"/>
      <c r="D216" s="24"/>
      <c r="E216" s="24">
        <f t="shared" si="35"/>
        <v>0</v>
      </c>
      <c r="F216" s="24">
        <f t="shared" si="36"/>
        <v>0</v>
      </c>
      <c r="G216" s="47">
        <v>2.66</v>
      </c>
      <c r="K216" s="48">
        <f t="shared" si="31"/>
        <v>4.75</v>
      </c>
      <c r="L216" s="48"/>
      <c r="M216" s="44">
        <f t="shared" si="32"/>
        <v>0</v>
      </c>
      <c r="N216" s="48"/>
      <c r="O216" s="48"/>
      <c r="P216" s="48"/>
      <c r="Q216" s="48"/>
      <c r="R216" s="48"/>
      <c r="U216" s="8">
        <f t="shared" si="33"/>
        <v>1</v>
      </c>
      <c r="V216" s="8">
        <f t="shared" si="34"/>
        <v>1900</v>
      </c>
    </row>
    <row r="217" spans="1:22">
      <c r="A217" s="44"/>
      <c r="B217" s="24"/>
      <c r="C217" s="24"/>
      <c r="D217" s="24"/>
      <c r="E217" s="24">
        <f t="shared" si="35"/>
        <v>0</v>
      </c>
      <c r="F217" s="24">
        <f t="shared" si="36"/>
        <v>0</v>
      </c>
      <c r="G217" s="47">
        <v>2.85</v>
      </c>
      <c r="K217" s="48">
        <f t="shared" si="31"/>
        <v>5.0892857142857144</v>
      </c>
      <c r="L217" s="48"/>
      <c r="M217" s="44">
        <f t="shared" si="32"/>
        <v>0</v>
      </c>
      <c r="N217" s="48"/>
      <c r="O217" s="48"/>
      <c r="P217" s="48"/>
      <c r="Q217" s="48"/>
      <c r="R217" s="48"/>
      <c r="U217" s="8">
        <f t="shared" si="33"/>
        <v>1</v>
      </c>
      <c r="V217" s="8">
        <f t="shared" si="34"/>
        <v>1900</v>
      </c>
    </row>
    <row r="218" spans="1:22">
      <c r="A218" s="44"/>
      <c r="B218" s="24"/>
      <c r="C218" s="24"/>
      <c r="D218" s="24"/>
      <c r="E218" s="24">
        <f t="shared" si="35"/>
        <v>0</v>
      </c>
      <c r="F218" s="24">
        <f t="shared" si="36"/>
        <v>0</v>
      </c>
      <c r="G218" s="47">
        <v>2.7</v>
      </c>
      <c r="K218" s="48">
        <f t="shared" si="31"/>
        <v>4.8214285714285721</v>
      </c>
      <c r="L218" s="48"/>
      <c r="M218" s="44">
        <f t="shared" si="32"/>
        <v>0</v>
      </c>
      <c r="N218" s="48"/>
      <c r="O218" s="48"/>
      <c r="P218" s="48"/>
      <c r="Q218" s="48"/>
      <c r="R218" s="48"/>
      <c r="U218" s="8">
        <f t="shared" si="33"/>
        <v>1</v>
      </c>
      <c r="V218" s="8">
        <f t="shared" si="34"/>
        <v>1900</v>
      </c>
    </row>
    <row r="219" spans="1:22">
      <c r="A219" s="44"/>
      <c r="B219" s="24"/>
      <c r="C219" s="24"/>
      <c r="D219" s="24"/>
      <c r="E219" s="24">
        <f t="shared" si="35"/>
        <v>0</v>
      </c>
      <c r="F219" s="24">
        <f t="shared" si="36"/>
        <v>0</v>
      </c>
      <c r="G219" s="47">
        <v>2.68</v>
      </c>
      <c r="K219" s="48">
        <f t="shared" si="31"/>
        <v>4.7857142857142865</v>
      </c>
      <c r="L219" s="48"/>
      <c r="M219" s="44">
        <f t="shared" si="32"/>
        <v>0</v>
      </c>
      <c r="N219" s="48"/>
      <c r="O219" s="48"/>
      <c r="P219" s="48"/>
      <c r="Q219" s="48"/>
      <c r="R219" s="48"/>
      <c r="U219" s="8">
        <f t="shared" si="33"/>
        <v>1</v>
      </c>
      <c r="V219" s="8">
        <f t="shared" si="34"/>
        <v>1900</v>
      </c>
    </row>
    <row r="220" spans="1:22">
      <c r="A220" s="44"/>
      <c r="B220" s="24"/>
      <c r="C220" s="24"/>
      <c r="D220" s="24"/>
      <c r="E220" s="24">
        <f t="shared" si="35"/>
        <v>0</v>
      </c>
      <c r="F220" s="24">
        <f t="shared" si="36"/>
        <v>0</v>
      </c>
      <c r="G220" s="47">
        <v>2.7</v>
      </c>
      <c r="K220" s="48">
        <f t="shared" si="31"/>
        <v>4.8214285714285721</v>
      </c>
      <c r="L220" s="48"/>
      <c r="M220" s="44">
        <f t="shared" si="32"/>
        <v>0</v>
      </c>
      <c r="N220" s="48"/>
      <c r="O220" s="48"/>
      <c r="P220" s="48"/>
      <c r="Q220" s="48"/>
      <c r="R220" s="48"/>
      <c r="U220" s="8">
        <f t="shared" si="33"/>
        <v>1</v>
      </c>
      <c r="V220" s="8">
        <f t="shared" si="34"/>
        <v>1900</v>
      </c>
    </row>
    <row r="221" spans="1:22">
      <c r="A221" s="44"/>
      <c r="B221" s="24"/>
      <c r="C221" s="24"/>
      <c r="D221" s="24"/>
      <c r="E221" s="24">
        <f t="shared" si="35"/>
        <v>0</v>
      </c>
      <c r="F221" s="24">
        <f t="shared" si="36"/>
        <v>0</v>
      </c>
      <c r="G221" s="47">
        <v>2.54</v>
      </c>
      <c r="K221" s="48">
        <f t="shared" si="31"/>
        <v>4.5357142857142856</v>
      </c>
      <c r="L221" s="48"/>
      <c r="M221" s="44">
        <f t="shared" si="32"/>
        <v>0</v>
      </c>
      <c r="N221" s="48"/>
      <c r="O221" s="48"/>
      <c r="P221" s="48"/>
      <c r="Q221" s="48"/>
      <c r="R221" s="48"/>
      <c r="U221" s="8">
        <f t="shared" si="33"/>
        <v>1</v>
      </c>
      <c r="V221" s="8">
        <f t="shared" si="34"/>
        <v>1900</v>
      </c>
    </row>
    <row r="222" spans="1:22">
      <c r="A222" s="44"/>
      <c r="B222" s="24"/>
      <c r="C222" s="24"/>
      <c r="D222" s="24"/>
      <c r="E222" s="24">
        <f t="shared" si="35"/>
        <v>0</v>
      </c>
      <c r="F222" s="24">
        <f t="shared" si="36"/>
        <v>0</v>
      </c>
      <c r="G222" s="47">
        <v>2.58</v>
      </c>
      <c r="K222" s="48">
        <f t="shared" si="31"/>
        <v>4.6071428571428577</v>
      </c>
      <c r="L222" s="48"/>
      <c r="M222" s="44">
        <f t="shared" si="32"/>
        <v>0</v>
      </c>
      <c r="N222" s="48"/>
      <c r="O222" s="48"/>
      <c r="P222" s="48"/>
      <c r="Q222" s="48"/>
      <c r="R222" s="48"/>
      <c r="U222" s="8">
        <f t="shared" si="33"/>
        <v>1</v>
      </c>
      <c r="V222" s="8">
        <f t="shared" si="34"/>
        <v>1900</v>
      </c>
    </row>
    <row r="223" spans="1:22">
      <c r="A223" s="44"/>
      <c r="B223" s="24"/>
      <c r="C223" s="24"/>
      <c r="D223" s="24"/>
      <c r="E223" s="24">
        <f t="shared" si="35"/>
        <v>0</v>
      </c>
      <c r="F223" s="24">
        <f t="shared" si="36"/>
        <v>0</v>
      </c>
      <c r="G223" s="47">
        <v>2.62</v>
      </c>
      <c r="K223" s="48">
        <f t="shared" si="31"/>
        <v>4.6785714285714288</v>
      </c>
      <c r="L223" s="48"/>
      <c r="M223" s="44">
        <f t="shared" si="32"/>
        <v>0</v>
      </c>
      <c r="N223" s="48"/>
      <c r="O223" s="48"/>
      <c r="P223" s="48"/>
      <c r="Q223" s="48"/>
      <c r="R223" s="48"/>
      <c r="U223" s="8">
        <f t="shared" si="33"/>
        <v>1</v>
      </c>
      <c r="V223" s="8">
        <f t="shared" si="34"/>
        <v>1900</v>
      </c>
    </row>
    <row r="224" spans="1:22">
      <c r="A224" s="44"/>
      <c r="B224" s="24"/>
      <c r="C224" s="24"/>
      <c r="D224" s="24"/>
      <c r="E224" s="24">
        <f t="shared" si="35"/>
        <v>0</v>
      </c>
      <c r="F224" s="24">
        <f t="shared" si="36"/>
        <v>0</v>
      </c>
      <c r="G224" s="47">
        <v>2.6</v>
      </c>
      <c r="K224" s="48">
        <f t="shared" si="31"/>
        <v>4.6428571428571432</v>
      </c>
      <c r="L224" s="48"/>
      <c r="M224" s="44">
        <f t="shared" si="32"/>
        <v>0</v>
      </c>
      <c r="N224" s="48"/>
      <c r="O224" s="48"/>
      <c r="P224" s="48"/>
      <c r="Q224" s="48"/>
      <c r="R224" s="48"/>
      <c r="U224" s="8">
        <f t="shared" si="33"/>
        <v>1</v>
      </c>
      <c r="V224" s="8">
        <f t="shared" si="34"/>
        <v>1900</v>
      </c>
    </row>
    <row r="225" spans="1:22">
      <c r="A225" s="44"/>
      <c r="B225" s="24"/>
      <c r="C225" s="24"/>
      <c r="D225" s="24"/>
      <c r="E225" s="24">
        <f t="shared" si="35"/>
        <v>0</v>
      </c>
      <c r="F225" s="24">
        <f t="shared" si="36"/>
        <v>0</v>
      </c>
      <c r="G225" s="47">
        <v>2.64</v>
      </c>
      <c r="K225" s="48">
        <f t="shared" si="31"/>
        <v>4.7142857142857144</v>
      </c>
      <c r="L225" s="48"/>
      <c r="M225" s="44">
        <f t="shared" si="32"/>
        <v>0</v>
      </c>
      <c r="N225" s="48"/>
      <c r="O225" s="48"/>
      <c r="P225" s="48"/>
      <c r="Q225" s="48"/>
      <c r="R225" s="48"/>
      <c r="U225" s="8">
        <f t="shared" si="33"/>
        <v>1</v>
      </c>
      <c r="V225" s="8">
        <f t="shared" si="34"/>
        <v>1900</v>
      </c>
    </row>
    <row r="226" spans="1:22">
      <c r="A226" s="44"/>
      <c r="B226" s="24"/>
      <c r="C226" s="24"/>
      <c r="D226" s="24"/>
      <c r="E226" s="24">
        <f t="shared" si="35"/>
        <v>0</v>
      </c>
      <c r="F226" s="24">
        <f t="shared" si="36"/>
        <v>0</v>
      </c>
      <c r="G226" s="47">
        <v>2.58</v>
      </c>
      <c r="K226" s="48">
        <f t="shared" si="31"/>
        <v>4.6071428571428577</v>
      </c>
      <c r="L226" s="48"/>
      <c r="M226" s="44">
        <f t="shared" si="32"/>
        <v>0</v>
      </c>
      <c r="N226" s="48"/>
      <c r="O226" s="48"/>
      <c r="P226" s="48"/>
      <c r="Q226" s="48"/>
      <c r="R226" s="48"/>
      <c r="U226" s="8">
        <f t="shared" si="33"/>
        <v>1</v>
      </c>
      <c r="V226" s="8">
        <f t="shared" si="34"/>
        <v>1900</v>
      </c>
    </row>
    <row r="227" spans="1:22">
      <c r="A227" s="44"/>
      <c r="B227" s="24"/>
      <c r="C227" s="24"/>
      <c r="D227" s="24"/>
      <c r="E227" s="24">
        <f t="shared" si="35"/>
        <v>0</v>
      </c>
      <c r="F227" s="24">
        <f t="shared" si="36"/>
        <v>0</v>
      </c>
      <c r="G227" s="47">
        <v>2.64</v>
      </c>
      <c r="K227" s="48">
        <f t="shared" si="31"/>
        <v>4.7142857142857144</v>
      </c>
      <c r="L227" s="48"/>
      <c r="M227" s="44">
        <f t="shared" si="32"/>
        <v>0</v>
      </c>
      <c r="N227" s="48"/>
      <c r="O227" s="48"/>
      <c r="P227" s="48"/>
      <c r="Q227" s="48"/>
      <c r="R227" s="48"/>
      <c r="U227" s="8">
        <f t="shared" si="33"/>
        <v>1</v>
      </c>
      <c r="V227" s="8">
        <f t="shared" si="34"/>
        <v>1900</v>
      </c>
    </row>
    <row r="228" spans="1:22">
      <c r="A228" s="44"/>
      <c r="B228" s="24"/>
      <c r="C228" s="24"/>
      <c r="D228" s="24"/>
      <c r="E228" s="24">
        <f t="shared" si="35"/>
        <v>0</v>
      </c>
      <c r="F228" s="24">
        <f t="shared" si="36"/>
        <v>0</v>
      </c>
      <c r="G228" s="47">
        <v>2.5299999999999998</v>
      </c>
      <c r="K228" s="48">
        <f t="shared" si="31"/>
        <v>4.5178571428571423</v>
      </c>
      <c r="L228" s="48"/>
      <c r="M228" s="44">
        <f t="shared" si="32"/>
        <v>0</v>
      </c>
      <c r="N228" s="48"/>
      <c r="O228" s="48"/>
      <c r="P228" s="48"/>
      <c r="Q228" s="48"/>
      <c r="R228" s="48"/>
      <c r="U228" s="8">
        <f t="shared" si="33"/>
        <v>1</v>
      </c>
      <c r="V228" s="8">
        <f t="shared" si="34"/>
        <v>1900</v>
      </c>
    </row>
    <row r="229" spans="1:22">
      <c r="A229" s="44"/>
      <c r="B229" s="24"/>
      <c r="C229" s="24"/>
      <c r="D229" s="24"/>
      <c r="E229" s="24">
        <f t="shared" si="35"/>
        <v>0</v>
      </c>
      <c r="F229" s="24">
        <f t="shared" si="36"/>
        <v>0</v>
      </c>
      <c r="G229" s="47">
        <v>2.44</v>
      </c>
      <c r="K229" s="48">
        <f t="shared" si="31"/>
        <v>4.3571428571428577</v>
      </c>
      <c r="L229" s="48"/>
      <c r="M229" s="44">
        <f t="shared" si="32"/>
        <v>0</v>
      </c>
      <c r="N229" s="48"/>
      <c r="O229" s="48"/>
      <c r="P229" s="48"/>
      <c r="Q229" s="48"/>
      <c r="R229" s="48"/>
      <c r="U229" s="8">
        <f t="shared" si="33"/>
        <v>1</v>
      </c>
      <c r="V229" s="8">
        <f t="shared" si="34"/>
        <v>1900</v>
      </c>
    </row>
    <row r="230" spans="1:22">
      <c r="A230" s="44"/>
      <c r="B230" s="24"/>
      <c r="C230" s="24"/>
      <c r="D230" s="24"/>
      <c r="E230" s="24">
        <f t="shared" si="35"/>
        <v>0</v>
      </c>
      <c r="F230" s="24">
        <f t="shared" si="36"/>
        <v>0</v>
      </c>
      <c r="G230" s="47">
        <v>2.2999999999999998</v>
      </c>
      <c r="K230" s="48">
        <f t="shared" si="31"/>
        <v>4.1071428571428568</v>
      </c>
      <c r="L230" s="48"/>
      <c r="M230" s="44">
        <f t="shared" si="32"/>
        <v>0</v>
      </c>
      <c r="N230" s="48"/>
      <c r="O230" s="48"/>
      <c r="P230" s="48"/>
      <c r="Q230" s="48"/>
      <c r="R230" s="48"/>
      <c r="U230" s="8">
        <f t="shared" si="33"/>
        <v>1</v>
      </c>
      <c r="V230" s="8">
        <f t="shared" si="34"/>
        <v>1900</v>
      </c>
    </row>
    <row r="231" spans="1:22">
      <c r="A231" s="44"/>
      <c r="B231" s="24"/>
      <c r="C231" s="24"/>
      <c r="D231" s="24"/>
      <c r="E231" s="24">
        <f t="shared" si="35"/>
        <v>0</v>
      </c>
      <c r="F231" s="24">
        <f t="shared" si="36"/>
        <v>0</v>
      </c>
      <c r="G231" s="47">
        <v>2.35</v>
      </c>
      <c r="K231" s="48">
        <f t="shared" si="31"/>
        <v>4.1964285714285721</v>
      </c>
      <c r="L231" s="48"/>
      <c r="M231" s="44">
        <f t="shared" si="32"/>
        <v>0</v>
      </c>
      <c r="N231" s="48"/>
      <c r="O231" s="48"/>
      <c r="P231" s="48"/>
      <c r="Q231" s="48"/>
      <c r="R231" s="48"/>
      <c r="U231" s="8">
        <f t="shared" si="33"/>
        <v>1</v>
      </c>
      <c r="V231" s="8">
        <f t="shared" si="34"/>
        <v>1900</v>
      </c>
    </row>
    <row r="232" spans="1:22">
      <c r="A232" s="44"/>
      <c r="B232" s="24"/>
      <c r="C232" s="24"/>
      <c r="D232" s="24"/>
      <c r="E232" s="24">
        <f t="shared" si="35"/>
        <v>0</v>
      </c>
      <c r="F232" s="24">
        <f t="shared" si="36"/>
        <v>0</v>
      </c>
      <c r="G232" s="47">
        <v>2.25</v>
      </c>
      <c r="K232" s="48">
        <f t="shared" si="31"/>
        <v>4.0178571428571432</v>
      </c>
      <c r="L232" s="48"/>
      <c r="M232" s="44">
        <f t="shared" si="32"/>
        <v>0</v>
      </c>
      <c r="N232" s="48"/>
      <c r="O232" s="48"/>
      <c r="P232" s="48"/>
      <c r="Q232" s="48"/>
      <c r="R232" s="48"/>
      <c r="U232" s="8">
        <f t="shared" si="33"/>
        <v>1</v>
      </c>
      <c r="V232" s="8">
        <f t="shared" si="34"/>
        <v>1900</v>
      </c>
    </row>
    <row r="233" spans="1:22">
      <c r="A233" s="44"/>
      <c r="B233" s="24"/>
      <c r="C233" s="24"/>
      <c r="D233" s="24"/>
      <c r="E233" s="24">
        <f t="shared" si="35"/>
        <v>0</v>
      </c>
      <c r="F233" s="24">
        <f t="shared" si="36"/>
        <v>0</v>
      </c>
      <c r="G233" s="47">
        <v>2.29</v>
      </c>
      <c r="K233" s="48">
        <f t="shared" si="31"/>
        <v>4.0892857142857144</v>
      </c>
      <c r="L233" s="48"/>
      <c r="M233" s="44">
        <f t="shared" si="32"/>
        <v>0</v>
      </c>
      <c r="N233" s="48"/>
      <c r="O233" s="48"/>
      <c r="P233" s="48"/>
      <c r="Q233" s="48"/>
      <c r="R233" s="48"/>
      <c r="U233" s="8">
        <f t="shared" si="33"/>
        <v>1</v>
      </c>
      <c r="V233" s="8">
        <f t="shared" si="34"/>
        <v>1900</v>
      </c>
    </row>
    <row r="234" spans="1:22">
      <c r="A234" s="44"/>
      <c r="B234" s="24"/>
      <c r="C234" s="24"/>
      <c r="D234" s="24"/>
      <c r="E234" s="24">
        <f t="shared" si="35"/>
        <v>0</v>
      </c>
      <c r="F234" s="24">
        <f t="shared" si="36"/>
        <v>0</v>
      </c>
      <c r="G234" s="47">
        <v>2.29</v>
      </c>
      <c r="K234" s="48">
        <f t="shared" si="31"/>
        <v>4.0892857142857144</v>
      </c>
      <c r="L234" s="48"/>
      <c r="M234" s="44">
        <f t="shared" si="32"/>
        <v>0</v>
      </c>
      <c r="N234" s="48"/>
      <c r="O234" s="48"/>
      <c r="P234" s="48"/>
      <c r="Q234" s="48"/>
      <c r="R234" s="48"/>
      <c r="U234" s="8">
        <f t="shared" si="33"/>
        <v>1</v>
      </c>
      <c r="V234" s="8">
        <f t="shared" si="34"/>
        <v>1900</v>
      </c>
    </row>
    <row r="235" spans="1:22">
      <c r="A235" s="44"/>
      <c r="B235" s="24"/>
      <c r="C235" s="24"/>
      <c r="D235" s="24"/>
      <c r="E235" s="24">
        <f t="shared" si="35"/>
        <v>0</v>
      </c>
      <c r="F235" s="24">
        <f t="shared" si="36"/>
        <v>0</v>
      </c>
      <c r="G235" s="47">
        <v>2.29</v>
      </c>
      <c r="K235" s="48">
        <f t="shared" si="31"/>
        <v>4.0892857142857144</v>
      </c>
      <c r="L235" s="48"/>
      <c r="M235" s="44">
        <f t="shared" si="32"/>
        <v>0</v>
      </c>
      <c r="N235" s="48"/>
      <c r="O235" s="48"/>
      <c r="P235" s="48"/>
      <c r="Q235" s="48"/>
      <c r="R235" s="48"/>
      <c r="U235" s="8">
        <f t="shared" si="33"/>
        <v>1</v>
      </c>
      <c r="V235" s="8">
        <f t="shared" si="34"/>
        <v>1900</v>
      </c>
    </row>
    <row r="236" spans="1:22">
      <c r="A236" s="44"/>
      <c r="B236" s="24"/>
      <c r="C236" s="24"/>
      <c r="D236" s="24"/>
      <c r="E236" s="24">
        <f t="shared" si="35"/>
        <v>0</v>
      </c>
      <c r="F236" s="24">
        <f t="shared" si="36"/>
        <v>0</v>
      </c>
      <c r="G236" s="47">
        <v>2.34</v>
      </c>
      <c r="K236" s="48">
        <f t="shared" si="31"/>
        <v>4.1785714285714279</v>
      </c>
      <c r="L236" s="48"/>
      <c r="M236" s="44">
        <f t="shared" si="32"/>
        <v>0</v>
      </c>
      <c r="N236" s="48"/>
      <c r="O236" s="48"/>
      <c r="P236" s="48"/>
      <c r="Q236" s="48"/>
      <c r="R236" s="48"/>
      <c r="U236" s="8">
        <f t="shared" si="33"/>
        <v>1</v>
      </c>
      <c r="V236" s="8">
        <f t="shared" si="34"/>
        <v>1900</v>
      </c>
    </row>
    <row r="237" spans="1:22">
      <c r="A237" s="44"/>
      <c r="B237" s="24"/>
      <c r="C237" s="24"/>
      <c r="D237" s="24"/>
      <c r="E237" s="24">
        <f t="shared" si="35"/>
        <v>0</v>
      </c>
      <c r="F237" s="24">
        <f t="shared" si="36"/>
        <v>0</v>
      </c>
      <c r="G237" s="47">
        <v>2.44</v>
      </c>
      <c r="K237" s="48">
        <f t="shared" si="31"/>
        <v>4.3571428571428577</v>
      </c>
      <c r="L237" s="48"/>
      <c r="M237" s="44">
        <f t="shared" si="32"/>
        <v>0</v>
      </c>
      <c r="N237" s="48"/>
      <c r="O237" s="48"/>
      <c r="P237" s="48"/>
      <c r="Q237" s="48"/>
      <c r="R237" s="48"/>
      <c r="U237" s="8">
        <f t="shared" si="33"/>
        <v>1</v>
      </c>
      <c r="V237" s="8">
        <f t="shared" si="34"/>
        <v>1900</v>
      </c>
    </row>
    <row r="238" spans="1:22">
      <c r="A238" s="44"/>
      <c r="B238" s="24"/>
      <c r="C238" s="24"/>
      <c r="D238" s="24"/>
      <c r="E238" s="24">
        <f t="shared" si="35"/>
        <v>0</v>
      </c>
      <c r="F238" s="24">
        <f t="shared" si="36"/>
        <v>0</v>
      </c>
      <c r="G238" s="47">
        <v>2.64</v>
      </c>
      <c r="K238" s="48">
        <f t="shared" si="31"/>
        <v>4.7142857142857144</v>
      </c>
      <c r="L238" s="48"/>
      <c r="M238" s="44">
        <f t="shared" si="32"/>
        <v>0</v>
      </c>
      <c r="N238" s="48"/>
      <c r="O238" s="48"/>
      <c r="P238" s="48"/>
      <c r="Q238" s="48"/>
      <c r="R238" s="48"/>
      <c r="U238" s="8">
        <f t="shared" si="33"/>
        <v>1</v>
      </c>
      <c r="V238" s="8">
        <f t="shared" si="34"/>
        <v>1900</v>
      </c>
    </row>
    <row r="239" spans="1:22">
      <c r="A239" s="44"/>
      <c r="B239" s="24"/>
      <c r="C239" s="24"/>
      <c r="D239" s="24"/>
      <c r="E239" s="24">
        <f t="shared" si="35"/>
        <v>0</v>
      </c>
      <c r="F239" s="24">
        <f t="shared" si="36"/>
        <v>0</v>
      </c>
      <c r="G239" s="47">
        <v>2.73</v>
      </c>
      <c r="K239" s="48">
        <f t="shared" si="31"/>
        <v>4.875</v>
      </c>
      <c r="L239" s="48"/>
      <c r="M239" s="44">
        <f t="shared" si="32"/>
        <v>0</v>
      </c>
      <c r="N239" s="48"/>
      <c r="O239" s="48"/>
      <c r="P239" s="48"/>
      <c r="Q239" s="48"/>
      <c r="R239" s="48"/>
      <c r="U239" s="8">
        <f t="shared" si="33"/>
        <v>1</v>
      </c>
      <c r="V239" s="8">
        <f t="shared" si="34"/>
        <v>1900</v>
      </c>
    </row>
    <row r="240" spans="1:22">
      <c r="A240" s="44"/>
      <c r="B240" s="24"/>
      <c r="C240" s="24"/>
      <c r="D240" s="24"/>
      <c r="E240" s="24">
        <f t="shared" si="35"/>
        <v>0</v>
      </c>
      <c r="F240" s="24">
        <f t="shared" si="36"/>
        <v>0</v>
      </c>
      <c r="G240" s="47">
        <v>2.7</v>
      </c>
      <c r="K240" s="48">
        <f t="shared" si="31"/>
        <v>4.8214285714285721</v>
      </c>
      <c r="L240" s="48"/>
      <c r="M240" s="44">
        <f t="shared" si="32"/>
        <v>0</v>
      </c>
      <c r="N240" s="48"/>
      <c r="O240" s="48"/>
      <c r="P240" s="48"/>
      <c r="Q240" s="48"/>
      <c r="R240" s="48"/>
      <c r="U240" s="8">
        <f t="shared" si="33"/>
        <v>1</v>
      </c>
      <c r="V240" s="8">
        <f t="shared" si="34"/>
        <v>1900</v>
      </c>
    </row>
    <row r="241" spans="1:22">
      <c r="A241" s="44"/>
      <c r="B241" s="24"/>
      <c r="C241" s="24"/>
      <c r="D241" s="24"/>
      <c r="E241" s="24">
        <f t="shared" si="35"/>
        <v>0</v>
      </c>
      <c r="F241" s="24">
        <f t="shared" si="36"/>
        <v>0</v>
      </c>
      <c r="G241" s="47">
        <v>2.68</v>
      </c>
      <c r="K241" s="48">
        <f t="shared" si="31"/>
        <v>4.7857142857142865</v>
      </c>
      <c r="L241" s="48"/>
      <c r="M241" s="44">
        <f t="shared" si="32"/>
        <v>0</v>
      </c>
      <c r="N241" s="48"/>
      <c r="O241" s="48"/>
      <c r="P241" s="48"/>
      <c r="Q241" s="48"/>
      <c r="R241" s="48"/>
      <c r="U241" s="8">
        <f t="shared" si="33"/>
        <v>1</v>
      </c>
      <c r="V241" s="8">
        <f t="shared" si="34"/>
        <v>1900</v>
      </c>
    </row>
    <row r="242" spans="1:22">
      <c r="A242" s="44"/>
      <c r="B242" s="24"/>
      <c r="C242" s="24"/>
      <c r="D242" s="24"/>
      <c r="E242" s="24">
        <f t="shared" si="35"/>
        <v>0</v>
      </c>
      <c r="F242" s="24">
        <f t="shared" si="36"/>
        <v>0</v>
      </c>
      <c r="G242" s="47">
        <v>2.54</v>
      </c>
      <c r="K242" s="48">
        <f t="shared" si="31"/>
        <v>4.5357142857142856</v>
      </c>
      <c r="L242" s="48"/>
      <c r="M242" s="44">
        <f t="shared" si="32"/>
        <v>0</v>
      </c>
      <c r="N242" s="48"/>
      <c r="O242" s="48"/>
      <c r="P242" s="48"/>
      <c r="Q242" s="48"/>
      <c r="R242" s="48"/>
      <c r="U242" s="8">
        <f t="shared" si="33"/>
        <v>1</v>
      </c>
      <c r="V242" s="8">
        <f t="shared" si="34"/>
        <v>1900</v>
      </c>
    </row>
    <row r="243" spans="1:22">
      <c r="A243" s="44"/>
      <c r="B243" s="24"/>
      <c r="C243" s="24"/>
      <c r="D243" s="24"/>
      <c r="E243" s="24">
        <f t="shared" si="35"/>
        <v>0</v>
      </c>
      <c r="F243" s="24">
        <f t="shared" si="36"/>
        <v>0</v>
      </c>
      <c r="G243" s="47">
        <v>2.25</v>
      </c>
      <c r="K243" s="48">
        <f t="shared" si="31"/>
        <v>4.0178571428571432</v>
      </c>
      <c r="L243" s="48"/>
      <c r="M243" s="44">
        <f t="shared" si="32"/>
        <v>0</v>
      </c>
      <c r="N243" s="48"/>
      <c r="O243" s="48"/>
      <c r="P243" s="48"/>
      <c r="Q243" s="48"/>
      <c r="R243" s="48"/>
      <c r="U243" s="8">
        <f t="shared" si="33"/>
        <v>1</v>
      </c>
      <c r="V243" s="8">
        <f t="shared" si="34"/>
        <v>1900</v>
      </c>
    </row>
    <row r="244" spans="1:22">
      <c r="A244" s="44"/>
      <c r="B244" s="24"/>
      <c r="C244" s="24"/>
      <c r="D244" s="24"/>
      <c r="E244" s="24">
        <f t="shared" si="35"/>
        <v>0</v>
      </c>
      <c r="F244" s="24">
        <f t="shared" si="36"/>
        <v>0</v>
      </c>
      <c r="G244" s="47">
        <v>2.1800000000000002</v>
      </c>
      <c r="K244" s="48">
        <f t="shared" si="31"/>
        <v>3.8928571428571432</v>
      </c>
      <c r="L244" s="48"/>
      <c r="M244" s="44">
        <f t="shared" si="32"/>
        <v>0</v>
      </c>
      <c r="N244" s="48"/>
      <c r="O244" s="48"/>
      <c r="P244" s="48"/>
      <c r="Q244" s="48"/>
      <c r="R244" s="48"/>
      <c r="U244" s="8">
        <f t="shared" si="33"/>
        <v>1</v>
      </c>
      <c r="V244" s="8">
        <f t="shared" si="34"/>
        <v>1900</v>
      </c>
    </row>
    <row r="245" spans="1:22">
      <c r="A245" s="44"/>
      <c r="B245" s="24"/>
      <c r="C245" s="24"/>
      <c r="D245" s="24"/>
      <c r="E245" s="24">
        <f t="shared" si="35"/>
        <v>0</v>
      </c>
      <c r="F245" s="24">
        <f t="shared" si="36"/>
        <v>0</v>
      </c>
      <c r="G245" s="47">
        <v>2.2000000000000002</v>
      </c>
      <c r="K245" s="48">
        <f t="shared" si="31"/>
        <v>3.9285714285714293</v>
      </c>
      <c r="L245" s="48"/>
      <c r="M245" s="44">
        <f t="shared" si="32"/>
        <v>0</v>
      </c>
      <c r="N245" s="48"/>
      <c r="O245" s="48"/>
      <c r="P245" s="48"/>
      <c r="Q245" s="48"/>
      <c r="R245" s="48"/>
      <c r="U245" s="8">
        <f t="shared" si="33"/>
        <v>1</v>
      </c>
      <c r="V245" s="8">
        <f t="shared" si="34"/>
        <v>1900</v>
      </c>
    </row>
    <row r="246" spans="1:22">
      <c r="A246" s="44"/>
      <c r="B246" s="24"/>
      <c r="C246" s="24"/>
      <c r="D246" s="24"/>
      <c r="E246" s="24">
        <f t="shared" si="35"/>
        <v>0</v>
      </c>
      <c r="F246" s="24">
        <f t="shared" si="36"/>
        <v>0</v>
      </c>
      <c r="G246" s="47">
        <v>2.27</v>
      </c>
      <c r="K246" s="48">
        <f t="shared" si="31"/>
        <v>4.0535714285714288</v>
      </c>
      <c r="L246" s="48"/>
      <c r="M246" s="44">
        <f t="shared" si="32"/>
        <v>0</v>
      </c>
      <c r="N246" s="48"/>
      <c r="O246" s="48"/>
      <c r="P246" s="48"/>
      <c r="Q246" s="48"/>
      <c r="R246" s="48"/>
      <c r="U246" s="8">
        <f t="shared" si="33"/>
        <v>1</v>
      </c>
      <c r="V246" s="8">
        <f t="shared" si="34"/>
        <v>1900</v>
      </c>
    </row>
    <row r="247" spans="1:22">
      <c r="A247" s="44"/>
      <c r="B247" s="24"/>
      <c r="C247" s="24"/>
      <c r="D247" s="24"/>
      <c r="E247" s="24">
        <f t="shared" si="35"/>
        <v>0</v>
      </c>
      <c r="F247" s="24">
        <f t="shared" si="36"/>
        <v>0</v>
      </c>
      <c r="G247" s="47">
        <v>2.31</v>
      </c>
      <c r="K247" s="48">
        <f t="shared" si="31"/>
        <v>4.125</v>
      </c>
      <c r="L247" s="48"/>
      <c r="M247" s="44">
        <f t="shared" si="32"/>
        <v>0</v>
      </c>
      <c r="N247" s="48"/>
      <c r="O247" s="48"/>
      <c r="P247" s="48"/>
      <c r="Q247" s="48"/>
      <c r="R247" s="48"/>
      <c r="U247" s="8">
        <f t="shared" si="33"/>
        <v>1</v>
      </c>
      <c r="V247" s="8">
        <f t="shared" si="34"/>
        <v>1900</v>
      </c>
    </row>
    <row r="248" spans="1:22">
      <c r="A248" s="44"/>
      <c r="B248" s="24"/>
      <c r="C248" s="24"/>
      <c r="D248" s="24"/>
      <c r="E248" s="24">
        <f t="shared" si="35"/>
        <v>0</v>
      </c>
      <c r="F248" s="24">
        <f t="shared" si="36"/>
        <v>0</v>
      </c>
      <c r="G248" s="47">
        <v>2.36</v>
      </c>
      <c r="K248" s="48">
        <f t="shared" si="31"/>
        <v>4.2142857142857144</v>
      </c>
      <c r="L248" s="48"/>
      <c r="M248" s="44">
        <f t="shared" si="32"/>
        <v>0</v>
      </c>
      <c r="N248" s="48"/>
      <c r="O248" s="48"/>
      <c r="P248" s="48"/>
      <c r="Q248" s="48"/>
      <c r="R248" s="48"/>
      <c r="U248" s="8">
        <f t="shared" si="33"/>
        <v>1</v>
      </c>
      <c r="V248" s="8">
        <f t="shared" si="34"/>
        <v>1900</v>
      </c>
    </row>
    <row r="249" spans="1:22">
      <c r="A249" s="44"/>
      <c r="B249" s="24"/>
      <c r="C249" s="24"/>
      <c r="D249" s="24"/>
      <c r="E249" s="24">
        <f t="shared" si="35"/>
        <v>0</v>
      </c>
      <c r="F249" s="24">
        <f t="shared" si="36"/>
        <v>0</v>
      </c>
      <c r="G249" s="47">
        <v>2.4500000000000002</v>
      </c>
      <c r="K249" s="48">
        <f t="shared" si="31"/>
        <v>4.375</v>
      </c>
      <c r="L249" s="48"/>
      <c r="M249" s="44">
        <f t="shared" si="32"/>
        <v>0</v>
      </c>
      <c r="N249" s="48"/>
      <c r="O249" s="48"/>
      <c r="P249" s="48"/>
      <c r="Q249" s="48"/>
      <c r="R249" s="48"/>
      <c r="U249" s="8">
        <f t="shared" si="33"/>
        <v>1</v>
      </c>
      <c r="V249" s="8">
        <f t="shared" si="34"/>
        <v>1900</v>
      </c>
    </row>
    <row r="250" spans="1:22">
      <c r="A250" s="44"/>
      <c r="B250" s="24"/>
      <c r="C250" s="24"/>
      <c r="D250" s="24"/>
      <c r="E250" s="24">
        <f t="shared" si="35"/>
        <v>0</v>
      </c>
      <c r="F250" s="24">
        <f t="shared" si="36"/>
        <v>0</v>
      </c>
      <c r="G250" s="47">
        <v>2.5</v>
      </c>
      <c r="K250" s="48">
        <f t="shared" si="31"/>
        <v>4.4642857142857144</v>
      </c>
      <c r="L250" s="48"/>
      <c r="M250" s="44">
        <f t="shared" si="32"/>
        <v>0</v>
      </c>
      <c r="N250" s="48"/>
      <c r="O250" s="48"/>
      <c r="P250" s="48"/>
      <c r="Q250" s="48"/>
      <c r="R250" s="48"/>
      <c r="U250" s="8">
        <f t="shared" si="33"/>
        <v>1</v>
      </c>
      <c r="V250" s="8">
        <f t="shared" si="34"/>
        <v>1900</v>
      </c>
    </row>
    <row r="251" spans="1:22">
      <c r="A251" s="44"/>
      <c r="B251" s="24"/>
      <c r="C251" s="24"/>
      <c r="D251" s="24"/>
      <c r="E251" s="24">
        <f t="shared" si="35"/>
        <v>0</v>
      </c>
      <c r="F251" s="24">
        <f t="shared" si="36"/>
        <v>0</v>
      </c>
      <c r="G251" s="47">
        <v>2.41</v>
      </c>
      <c r="K251" s="48">
        <f t="shared" si="31"/>
        <v>4.3035714285714288</v>
      </c>
      <c r="L251" s="48"/>
      <c r="M251" s="44">
        <f t="shared" si="32"/>
        <v>0</v>
      </c>
      <c r="N251" s="48"/>
      <c r="O251" s="48"/>
      <c r="P251" s="48"/>
      <c r="Q251" s="48"/>
      <c r="R251" s="48"/>
      <c r="U251" s="8">
        <f t="shared" si="33"/>
        <v>1</v>
      </c>
      <c r="V251" s="8">
        <f t="shared" si="34"/>
        <v>1900</v>
      </c>
    </row>
    <row r="252" spans="1:22">
      <c r="A252" s="44"/>
      <c r="B252" s="24"/>
      <c r="C252" s="24"/>
      <c r="D252" s="24"/>
      <c r="E252" s="24">
        <f t="shared" si="35"/>
        <v>0</v>
      </c>
      <c r="F252" s="24">
        <f t="shared" si="36"/>
        <v>0</v>
      </c>
      <c r="G252" s="47">
        <v>2.34</v>
      </c>
      <c r="K252" s="48">
        <f t="shared" si="31"/>
        <v>4.1785714285714279</v>
      </c>
      <c r="L252" s="48"/>
      <c r="M252" s="44">
        <f t="shared" si="32"/>
        <v>0</v>
      </c>
      <c r="N252" s="48"/>
      <c r="O252" s="48"/>
      <c r="P252" s="48"/>
      <c r="Q252" s="48"/>
      <c r="R252" s="48"/>
      <c r="U252" s="8">
        <f t="shared" si="33"/>
        <v>1</v>
      </c>
      <c r="V252" s="8">
        <f t="shared" si="34"/>
        <v>1900</v>
      </c>
    </row>
    <row r="253" spans="1:22">
      <c r="A253" s="44"/>
      <c r="B253" s="24"/>
      <c r="C253" s="24"/>
      <c r="D253" s="24"/>
      <c r="E253" s="24">
        <f t="shared" si="35"/>
        <v>0</v>
      </c>
      <c r="F253" s="24">
        <f t="shared" si="36"/>
        <v>0</v>
      </c>
      <c r="G253" s="47">
        <v>2.34</v>
      </c>
      <c r="K253" s="48">
        <f t="shared" si="31"/>
        <v>4.1785714285714279</v>
      </c>
      <c r="L253" s="48"/>
      <c r="M253" s="44">
        <f t="shared" si="32"/>
        <v>0</v>
      </c>
      <c r="N253" s="48"/>
      <c r="O253" s="48"/>
      <c r="P253" s="48"/>
      <c r="Q253" s="48"/>
      <c r="R253" s="48"/>
      <c r="U253" s="8">
        <f t="shared" si="33"/>
        <v>1</v>
      </c>
      <c r="V253" s="8">
        <f t="shared" si="34"/>
        <v>1900</v>
      </c>
    </row>
    <row r="254" spans="1:22">
      <c r="A254" s="44"/>
      <c r="B254" s="24"/>
      <c r="C254" s="24"/>
      <c r="D254" s="24"/>
      <c r="E254" s="24">
        <f t="shared" si="35"/>
        <v>0</v>
      </c>
      <c r="F254" s="24">
        <f t="shared" si="36"/>
        <v>0</v>
      </c>
      <c r="G254" s="47">
        <v>2.4500000000000002</v>
      </c>
      <c r="K254" s="48">
        <f t="shared" si="31"/>
        <v>4.375</v>
      </c>
      <c r="L254" s="48"/>
      <c r="M254" s="44">
        <f t="shared" si="32"/>
        <v>0</v>
      </c>
      <c r="N254" s="48"/>
      <c r="O254" s="48"/>
      <c r="P254" s="48"/>
      <c r="Q254" s="48"/>
      <c r="R254" s="48"/>
      <c r="U254" s="8">
        <f t="shared" si="33"/>
        <v>1</v>
      </c>
      <c r="V254" s="8">
        <f t="shared" si="34"/>
        <v>1900</v>
      </c>
    </row>
    <row r="255" spans="1:22">
      <c r="A255" s="44"/>
      <c r="B255" s="24"/>
      <c r="C255" s="24"/>
      <c r="D255" s="24"/>
      <c r="E255" s="24">
        <f t="shared" si="35"/>
        <v>0</v>
      </c>
      <c r="F255" s="24">
        <f t="shared" si="36"/>
        <v>0</v>
      </c>
      <c r="G255" s="47">
        <v>2.39</v>
      </c>
      <c r="K255" s="48">
        <f t="shared" si="31"/>
        <v>4.2678571428571432</v>
      </c>
      <c r="L255" s="48"/>
      <c r="M255" s="44">
        <f t="shared" si="32"/>
        <v>0</v>
      </c>
      <c r="N255" s="48"/>
      <c r="O255" s="48"/>
      <c r="P255" s="48"/>
      <c r="Q255" s="48"/>
      <c r="R255" s="48"/>
      <c r="U255" s="8">
        <f t="shared" si="33"/>
        <v>1</v>
      </c>
      <c r="V255" s="8">
        <f t="shared" si="34"/>
        <v>1900</v>
      </c>
    </row>
    <row r="256" spans="1:22">
      <c r="A256" s="44"/>
      <c r="B256" s="24"/>
      <c r="C256" s="24"/>
      <c r="D256" s="24"/>
      <c r="E256" s="24">
        <f t="shared" si="35"/>
        <v>0</v>
      </c>
      <c r="F256" s="24">
        <f t="shared" si="36"/>
        <v>0</v>
      </c>
      <c r="G256" s="47">
        <v>2.41</v>
      </c>
      <c r="K256" s="48">
        <f t="shared" ref="K256:K319" si="37">G256/56*100</f>
        <v>4.3035714285714288</v>
      </c>
      <c r="L256" s="48"/>
      <c r="M256" s="44">
        <f t="shared" si="32"/>
        <v>0</v>
      </c>
      <c r="N256" s="48"/>
      <c r="O256" s="48"/>
      <c r="P256" s="48"/>
      <c r="Q256" s="48"/>
      <c r="R256" s="48"/>
      <c r="U256" s="8">
        <f t="shared" si="33"/>
        <v>1</v>
      </c>
      <c r="V256" s="8">
        <f t="shared" si="34"/>
        <v>1900</v>
      </c>
    </row>
    <row r="257" spans="1:22">
      <c r="A257" s="44"/>
      <c r="B257" s="24"/>
      <c r="C257" s="24"/>
      <c r="D257" s="24"/>
      <c r="E257" s="24">
        <f t="shared" si="35"/>
        <v>0</v>
      </c>
      <c r="F257" s="24">
        <f t="shared" si="36"/>
        <v>0</v>
      </c>
      <c r="G257" s="47">
        <v>2.41</v>
      </c>
      <c r="K257" s="48">
        <f t="shared" si="37"/>
        <v>4.3035714285714288</v>
      </c>
      <c r="L257" s="48"/>
      <c r="M257" s="44">
        <f t="shared" si="32"/>
        <v>0</v>
      </c>
      <c r="N257" s="48"/>
      <c r="O257" s="48"/>
      <c r="P257" s="48"/>
      <c r="Q257" s="48"/>
      <c r="R257" s="48"/>
      <c r="U257" s="8">
        <f t="shared" si="33"/>
        <v>1</v>
      </c>
      <c r="V257" s="8">
        <f t="shared" si="34"/>
        <v>1900</v>
      </c>
    </row>
    <row r="258" spans="1:22">
      <c r="A258" s="44"/>
      <c r="B258" s="24"/>
      <c r="C258" s="24"/>
      <c r="D258" s="24"/>
      <c r="E258" s="24">
        <f t="shared" si="35"/>
        <v>0</v>
      </c>
      <c r="F258" s="24">
        <f t="shared" si="36"/>
        <v>0</v>
      </c>
      <c r="G258" s="47">
        <v>2.42</v>
      </c>
      <c r="K258" s="48">
        <f t="shared" si="37"/>
        <v>4.3214285714285712</v>
      </c>
      <c r="L258" s="48"/>
      <c r="M258" s="44">
        <f t="shared" si="32"/>
        <v>0</v>
      </c>
      <c r="N258" s="48"/>
      <c r="O258" s="48"/>
      <c r="P258" s="48"/>
      <c r="Q258" s="48"/>
      <c r="R258" s="48"/>
      <c r="U258" s="8">
        <f t="shared" si="33"/>
        <v>1</v>
      </c>
      <c r="V258" s="8">
        <f t="shared" si="34"/>
        <v>1900</v>
      </c>
    </row>
    <row r="259" spans="1:22">
      <c r="A259" s="44"/>
      <c r="B259" s="24"/>
      <c r="C259" s="24"/>
      <c r="D259" s="24"/>
      <c r="E259" s="24">
        <f t="shared" si="35"/>
        <v>0</v>
      </c>
      <c r="F259" s="24">
        <f t="shared" si="36"/>
        <v>0</v>
      </c>
      <c r="G259" s="47">
        <v>2.4900000000000002</v>
      </c>
      <c r="K259" s="48">
        <f t="shared" si="37"/>
        <v>4.4464285714285721</v>
      </c>
      <c r="L259" s="48"/>
      <c r="M259" s="44">
        <f t="shared" ref="M259:M322" si="38">A259</f>
        <v>0</v>
      </c>
      <c r="N259" s="48"/>
      <c r="O259" s="48"/>
      <c r="P259" s="48"/>
      <c r="Q259" s="48"/>
      <c r="R259" s="48"/>
      <c r="U259" s="8">
        <f t="shared" ref="U259:U322" si="39">MONTH(M259)</f>
        <v>1</v>
      </c>
      <c r="V259" s="8">
        <f t="shared" ref="V259:V322" si="40">YEAR(M259)</f>
        <v>1900</v>
      </c>
    </row>
    <row r="260" spans="1:22">
      <c r="A260" s="44"/>
      <c r="B260" s="24"/>
      <c r="C260" s="24"/>
      <c r="D260" s="24"/>
      <c r="E260" s="24">
        <f t="shared" si="35"/>
        <v>0</v>
      </c>
      <c r="F260" s="24">
        <f t="shared" si="36"/>
        <v>0</v>
      </c>
      <c r="G260" s="47">
        <v>2.58</v>
      </c>
      <c r="K260" s="48">
        <f t="shared" si="37"/>
        <v>4.6071428571428577</v>
      </c>
      <c r="L260" s="48"/>
      <c r="M260" s="44">
        <f t="shared" si="38"/>
        <v>0</v>
      </c>
      <c r="N260" s="48"/>
      <c r="O260" s="48"/>
      <c r="P260" s="48"/>
      <c r="Q260" s="48"/>
      <c r="R260" s="48"/>
      <c r="U260" s="8">
        <f t="shared" si="39"/>
        <v>1</v>
      </c>
      <c r="V260" s="8">
        <f t="shared" si="40"/>
        <v>1900</v>
      </c>
    </row>
    <row r="261" spans="1:22">
      <c r="A261" s="44"/>
      <c r="B261" s="24"/>
      <c r="C261" s="24"/>
      <c r="D261" s="24"/>
      <c r="E261" s="24">
        <f t="shared" si="35"/>
        <v>0</v>
      </c>
      <c r="F261" s="24">
        <f t="shared" si="36"/>
        <v>0</v>
      </c>
      <c r="G261" s="47">
        <v>2.64</v>
      </c>
      <c r="K261" s="48">
        <f t="shared" si="37"/>
        <v>4.7142857142857144</v>
      </c>
      <c r="L261" s="48"/>
      <c r="M261" s="44">
        <f t="shared" si="38"/>
        <v>0</v>
      </c>
      <c r="N261" s="48"/>
      <c r="O261" s="48"/>
      <c r="P261" s="48"/>
      <c r="Q261" s="48"/>
      <c r="R261" s="48"/>
      <c r="U261" s="8">
        <f t="shared" si="39"/>
        <v>1</v>
      </c>
      <c r="V261" s="8">
        <f t="shared" si="40"/>
        <v>1900</v>
      </c>
    </row>
    <row r="262" spans="1:22">
      <c r="A262" s="44"/>
      <c r="B262" s="24"/>
      <c r="C262" s="24"/>
      <c r="D262" s="24"/>
      <c r="E262" s="24">
        <f t="shared" si="35"/>
        <v>0</v>
      </c>
      <c r="F262" s="24">
        <f t="shared" si="36"/>
        <v>0</v>
      </c>
      <c r="G262" s="47">
        <v>2.5</v>
      </c>
      <c r="K262" s="48">
        <f t="shared" si="37"/>
        <v>4.4642857142857144</v>
      </c>
      <c r="L262" s="48"/>
      <c r="M262" s="44">
        <f t="shared" si="38"/>
        <v>0</v>
      </c>
      <c r="N262" s="48"/>
      <c r="O262" s="48"/>
      <c r="P262" s="48"/>
      <c r="Q262" s="48"/>
      <c r="R262" s="48"/>
      <c r="U262" s="8">
        <f t="shared" si="39"/>
        <v>1</v>
      </c>
      <c r="V262" s="8">
        <f t="shared" si="40"/>
        <v>1900</v>
      </c>
    </row>
    <row r="263" spans="1:22">
      <c r="A263" s="44"/>
      <c r="B263" s="24"/>
      <c r="C263" s="24"/>
      <c r="D263" s="24"/>
      <c r="E263" s="24">
        <f t="shared" si="35"/>
        <v>0</v>
      </c>
      <c r="F263" s="24">
        <f t="shared" si="36"/>
        <v>0</v>
      </c>
      <c r="G263" s="47">
        <v>2.5099999999999998</v>
      </c>
      <c r="K263" s="48">
        <f t="shared" si="37"/>
        <v>4.4821428571428568</v>
      </c>
      <c r="L263" s="48"/>
      <c r="M263" s="44">
        <f t="shared" si="38"/>
        <v>0</v>
      </c>
      <c r="N263" s="48"/>
      <c r="O263" s="48"/>
      <c r="P263" s="48"/>
      <c r="Q263" s="48"/>
      <c r="R263" s="48"/>
      <c r="U263" s="8">
        <f t="shared" si="39"/>
        <v>1</v>
      </c>
      <c r="V263" s="8">
        <f t="shared" si="40"/>
        <v>1900</v>
      </c>
    </row>
    <row r="264" spans="1:22">
      <c r="A264" s="44"/>
      <c r="B264" s="24"/>
      <c r="C264" s="24"/>
      <c r="D264" s="24"/>
      <c r="E264" s="24">
        <f t="shared" si="35"/>
        <v>0</v>
      </c>
      <c r="F264" s="24">
        <f t="shared" si="36"/>
        <v>0</v>
      </c>
      <c r="G264" s="47">
        <v>2.5099999999999998</v>
      </c>
      <c r="K264" s="48">
        <f t="shared" si="37"/>
        <v>4.4821428571428568</v>
      </c>
      <c r="L264" s="48"/>
      <c r="M264" s="44">
        <f t="shared" si="38"/>
        <v>0</v>
      </c>
      <c r="N264" s="48"/>
      <c r="O264" s="48"/>
      <c r="P264" s="48"/>
      <c r="Q264" s="48"/>
      <c r="R264" s="48"/>
      <c r="U264" s="8">
        <f t="shared" si="39"/>
        <v>1</v>
      </c>
      <c r="V264" s="8">
        <f t="shared" si="40"/>
        <v>1900</v>
      </c>
    </row>
    <row r="265" spans="1:22">
      <c r="A265" s="44"/>
      <c r="B265" s="24"/>
      <c r="C265" s="24"/>
      <c r="D265" s="24"/>
      <c r="E265" s="24">
        <f t="shared" si="35"/>
        <v>0</v>
      </c>
      <c r="F265" s="24">
        <f t="shared" si="36"/>
        <v>0</v>
      </c>
      <c r="G265" s="47">
        <v>2.31</v>
      </c>
      <c r="K265" s="48">
        <f t="shared" si="37"/>
        <v>4.125</v>
      </c>
      <c r="L265" s="48"/>
      <c r="M265" s="44">
        <f t="shared" si="38"/>
        <v>0</v>
      </c>
      <c r="N265" s="48"/>
      <c r="O265" s="48"/>
      <c r="P265" s="48"/>
      <c r="Q265" s="48"/>
      <c r="R265" s="48"/>
      <c r="U265" s="8">
        <f t="shared" si="39"/>
        <v>1</v>
      </c>
      <c r="V265" s="8">
        <f t="shared" si="40"/>
        <v>1900</v>
      </c>
    </row>
    <row r="266" spans="1:22">
      <c r="A266" s="44"/>
      <c r="B266" s="24"/>
      <c r="C266" s="24"/>
      <c r="D266" s="24"/>
      <c r="E266" s="24">
        <f t="shared" si="35"/>
        <v>0</v>
      </c>
      <c r="F266" s="24">
        <f t="shared" si="36"/>
        <v>0</v>
      </c>
      <c r="G266" s="47">
        <v>2.17</v>
      </c>
      <c r="K266" s="48">
        <f t="shared" si="37"/>
        <v>3.875</v>
      </c>
      <c r="L266" s="48"/>
      <c r="M266" s="44">
        <f t="shared" si="38"/>
        <v>0</v>
      </c>
      <c r="N266" s="48"/>
      <c r="O266" s="48"/>
      <c r="P266" s="48"/>
      <c r="Q266" s="48"/>
      <c r="R266" s="48"/>
      <c r="U266" s="8">
        <f t="shared" si="39"/>
        <v>1</v>
      </c>
      <c r="V266" s="8">
        <f t="shared" si="40"/>
        <v>1900</v>
      </c>
    </row>
    <row r="267" spans="1:22">
      <c r="A267" s="44"/>
      <c r="B267" s="24"/>
      <c r="C267" s="24"/>
      <c r="D267" s="24"/>
      <c r="E267" s="24">
        <f t="shared" ref="E267:E330" si="41">B267-D267</f>
        <v>0</v>
      </c>
      <c r="F267" s="24">
        <f t="shared" ref="F267:F330" si="42">C267-D267</f>
        <v>0</v>
      </c>
      <c r="G267" s="47">
        <v>2.15</v>
      </c>
      <c r="K267" s="48">
        <f t="shared" si="37"/>
        <v>3.839285714285714</v>
      </c>
      <c r="L267" s="48"/>
      <c r="M267" s="44">
        <f t="shared" si="38"/>
        <v>0</v>
      </c>
      <c r="N267" s="48"/>
      <c r="O267" s="48"/>
      <c r="P267" s="48"/>
      <c r="Q267" s="48"/>
      <c r="R267" s="48"/>
      <c r="U267" s="8">
        <f t="shared" si="39"/>
        <v>1</v>
      </c>
      <c r="V267" s="8">
        <f t="shared" si="40"/>
        <v>1900</v>
      </c>
    </row>
    <row r="268" spans="1:22">
      <c r="A268" s="44"/>
      <c r="B268" s="24"/>
      <c r="C268" s="24"/>
      <c r="D268" s="24"/>
      <c r="E268" s="24">
        <f t="shared" si="41"/>
        <v>0</v>
      </c>
      <c r="F268" s="24">
        <f t="shared" si="42"/>
        <v>0</v>
      </c>
      <c r="G268" s="47">
        <v>1.95</v>
      </c>
      <c r="K268" s="48">
        <f t="shared" si="37"/>
        <v>3.4821428571428572</v>
      </c>
      <c r="L268" s="48"/>
      <c r="M268" s="44">
        <f t="shared" si="38"/>
        <v>0</v>
      </c>
      <c r="N268" s="48"/>
      <c r="O268" s="48"/>
      <c r="P268" s="48"/>
      <c r="Q268" s="48"/>
      <c r="R268" s="48"/>
      <c r="U268" s="8">
        <f t="shared" si="39"/>
        <v>1</v>
      </c>
      <c r="V268" s="8">
        <f t="shared" si="40"/>
        <v>1900</v>
      </c>
    </row>
    <row r="269" spans="1:22">
      <c r="A269" s="44"/>
      <c r="B269" s="24"/>
      <c r="C269" s="24"/>
      <c r="D269" s="24"/>
      <c r="E269" s="24">
        <f t="shared" si="41"/>
        <v>0</v>
      </c>
      <c r="F269" s="24">
        <f t="shared" si="42"/>
        <v>0</v>
      </c>
      <c r="G269" s="47">
        <v>2.02</v>
      </c>
      <c r="K269" s="48">
        <f t="shared" si="37"/>
        <v>3.6071428571428572</v>
      </c>
      <c r="L269" s="48"/>
      <c r="M269" s="44">
        <f t="shared" si="38"/>
        <v>0</v>
      </c>
      <c r="N269" s="48"/>
      <c r="O269" s="48"/>
      <c r="P269" s="48"/>
      <c r="Q269" s="48"/>
      <c r="R269" s="48"/>
      <c r="U269" s="8">
        <f t="shared" si="39"/>
        <v>1</v>
      </c>
      <c r="V269" s="8">
        <f t="shared" si="40"/>
        <v>1900</v>
      </c>
    </row>
    <row r="270" spans="1:22">
      <c r="A270" s="44"/>
      <c r="B270" s="24"/>
      <c r="C270" s="24"/>
      <c r="D270" s="24"/>
      <c r="E270" s="24">
        <f t="shared" si="41"/>
        <v>0</v>
      </c>
      <c r="F270" s="24">
        <f t="shared" si="42"/>
        <v>0</v>
      </c>
      <c r="G270" s="47">
        <v>2.06</v>
      </c>
      <c r="K270" s="48">
        <f t="shared" si="37"/>
        <v>3.6785714285714288</v>
      </c>
      <c r="L270" s="48"/>
      <c r="M270" s="44">
        <f t="shared" si="38"/>
        <v>0</v>
      </c>
      <c r="N270" s="48"/>
      <c r="O270" s="48"/>
      <c r="P270" s="48"/>
      <c r="Q270" s="48"/>
      <c r="R270" s="48"/>
      <c r="U270" s="8">
        <f t="shared" si="39"/>
        <v>1</v>
      </c>
      <c r="V270" s="8">
        <f t="shared" si="40"/>
        <v>1900</v>
      </c>
    </row>
    <row r="271" spans="1:22">
      <c r="A271" s="44"/>
      <c r="B271" s="24"/>
      <c r="C271" s="24"/>
      <c r="D271" s="24"/>
      <c r="E271" s="24">
        <f t="shared" si="41"/>
        <v>0</v>
      </c>
      <c r="F271" s="24">
        <f t="shared" si="42"/>
        <v>0</v>
      </c>
      <c r="G271" s="47">
        <v>2.0699999999999998</v>
      </c>
      <c r="K271" s="48">
        <f t="shared" si="37"/>
        <v>3.6964285714285712</v>
      </c>
      <c r="L271" s="48"/>
      <c r="M271" s="44">
        <f t="shared" si="38"/>
        <v>0</v>
      </c>
      <c r="N271" s="48"/>
      <c r="O271" s="48"/>
      <c r="P271" s="48"/>
      <c r="Q271" s="48"/>
      <c r="R271" s="48"/>
      <c r="U271" s="8">
        <f t="shared" si="39"/>
        <v>1</v>
      </c>
      <c r="V271" s="8">
        <f t="shared" si="40"/>
        <v>1900</v>
      </c>
    </row>
    <row r="272" spans="1:22">
      <c r="A272" s="44"/>
      <c r="B272" s="24"/>
      <c r="C272" s="24"/>
      <c r="D272" s="24"/>
      <c r="E272" s="24">
        <f t="shared" si="41"/>
        <v>0</v>
      </c>
      <c r="F272" s="24">
        <f t="shared" si="42"/>
        <v>0</v>
      </c>
      <c r="G272" s="47">
        <v>2.0499999999999998</v>
      </c>
      <c r="K272" s="48">
        <f t="shared" si="37"/>
        <v>3.6607142857142851</v>
      </c>
      <c r="L272" s="48"/>
      <c r="M272" s="44">
        <f t="shared" si="38"/>
        <v>0</v>
      </c>
      <c r="N272" s="48"/>
      <c r="O272" s="48"/>
      <c r="P272" s="48"/>
      <c r="Q272" s="48"/>
      <c r="R272" s="48"/>
      <c r="U272" s="8">
        <f t="shared" si="39"/>
        <v>1</v>
      </c>
      <c r="V272" s="8">
        <f t="shared" si="40"/>
        <v>1900</v>
      </c>
    </row>
    <row r="273" spans="1:22">
      <c r="A273" s="44"/>
      <c r="B273" s="24"/>
      <c r="C273" s="24"/>
      <c r="D273" s="24"/>
      <c r="E273" s="24">
        <f t="shared" si="41"/>
        <v>0</v>
      </c>
      <c r="F273" s="24">
        <f t="shared" si="42"/>
        <v>0</v>
      </c>
      <c r="G273" s="47">
        <v>2.16</v>
      </c>
      <c r="K273" s="48">
        <f t="shared" si="37"/>
        <v>3.8571428571428577</v>
      </c>
      <c r="L273" s="48"/>
      <c r="M273" s="44">
        <f t="shared" si="38"/>
        <v>0</v>
      </c>
      <c r="N273" s="48"/>
      <c r="O273" s="48"/>
      <c r="P273" s="48"/>
      <c r="Q273" s="48"/>
      <c r="R273" s="48"/>
      <c r="U273" s="8">
        <f t="shared" si="39"/>
        <v>1</v>
      </c>
      <c r="V273" s="8">
        <f t="shared" si="40"/>
        <v>1900</v>
      </c>
    </row>
    <row r="274" spans="1:22">
      <c r="A274" s="44"/>
      <c r="B274" s="24"/>
      <c r="C274" s="24"/>
      <c r="D274" s="24"/>
      <c r="E274" s="24">
        <f t="shared" si="41"/>
        <v>0</v>
      </c>
      <c r="F274" s="24">
        <f t="shared" si="42"/>
        <v>0</v>
      </c>
      <c r="G274" s="47">
        <v>2.23</v>
      </c>
      <c r="K274" s="48">
        <f t="shared" si="37"/>
        <v>3.9821428571428572</v>
      </c>
      <c r="L274" s="48"/>
      <c r="M274" s="44">
        <f t="shared" si="38"/>
        <v>0</v>
      </c>
      <c r="N274" s="48"/>
      <c r="O274" s="48"/>
      <c r="P274" s="48"/>
      <c r="Q274" s="48"/>
      <c r="R274" s="48"/>
      <c r="U274" s="8">
        <f t="shared" si="39"/>
        <v>1</v>
      </c>
      <c r="V274" s="8">
        <f t="shared" si="40"/>
        <v>1900</v>
      </c>
    </row>
    <row r="275" spans="1:22">
      <c r="A275" s="44"/>
      <c r="B275" s="24"/>
      <c r="C275" s="24"/>
      <c r="D275" s="24"/>
      <c r="E275" s="24">
        <f t="shared" si="41"/>
        <v>0</v>
      </c>
      <c r="F275" s="24">
        <f t="shared" si="42"/>
        <v>0</v>
      </c>
      <c r="G275" s="47">
        <v>2.2000000000000002</v>
      </c>
      <c r="K275" s="48">
        <f t="shared" si="37"/>
        <v>3.9285714285714293</v>
      </c>
      <c r="L275" s="48"/>
      <c r="M275" s="44">
        <f t="shared" si="38"/>
        <v>0</v>
      </c>
      <c r="N275" s="48"/>
      <c r="O275" s="48"/>
      <c r="P275" s="48"/>
      <c r="Q275" s="48"/>
      <c r="R275" s="48"/>
      <c r="U275" s="8">
        <f t="shared" si="39"/>
        <v>1</v>
      </c>
      <c r="V275" s="8">
        <f t="shared" si="40"/>
        <v>1900</v>
      </c>
    </row>
    <row r="276" spans="1:22">
      <c r="A276" s="44"/>
      <c r="B276" s="24"/>
      <c r="C276" s="24"/>
      <c r="D276" s="24"/>
      <c r="E276" s="24">
        <f t="shared" si="41"/>
        <v>0</v>
      </c>
      <c r="F276" s="24">
        <f t="shared" si="42"/>
        <v>0</v>
      </c>
      <c r="G276" s="47">
        <v>2.09</v>
      </c>
      <c r="K276" s="48">
        <f t="shared" si="37"/>
        <v>3.7321428571428568</v>
      </c>
      <c r="L276" s="48"/>
      <c r="M276" s="44">
        <f t="shared" si="38"/>
        <v>0</v>
      </c>
      <c r="N276" s="48"/>
      <c r="O276" s="48"/>
      <c r="P276" s="48"/>
      <c r="Q276" s="48"/>
      <c r="R276" s="48"/>
      <c r="U276" s="8">
        <f t="shared" si="39"/>
        <v>1</v>
      </c>
      <c r="V276" s="8">
        <f t="shared" si="40"/>
        <v>1900</v>
      </c>
    </row>
    <row r="277" spans="1:22">
      <c r="A277" s="44"/>
      <c r="B277" s="24"/>
      <c r="C277" s="24"/>
      <c r="D277" s="24"/>
      <c r="E277" s="24">
        <f t="shared" si="41"/>
        <v>0</v>
      </c>
      <c r="F277" s="24">
        <f t="shared" si="42"/>
        <v>0</v>
      </c>
      <c r="G277" s="47">
        <v>2.25</v>
      </c>
      <c r="K277" s="48">
        <f t="shared" si="37"/>
        <v>4.0178571428571432</v>
      </c>
      <c r="L277" s="48"/>
      <c r="M277" s="44">
        <f t="shared" si="38"/>
        <v>0</v>
      </c>
      <c r="N277" s="48"/>
      <c r="O277" s="48"/>
      <c r="P277" s="48"/>
      <c r="Q277" s="48"/>
      <c r="R277" s="48"/>
      <c r="U277" s="8">
        <f t="shared" si="39"/>
        <v>1</v>
      </c>
      <c r="V277" s="8">
        <f t="shared" si="40"/>
        <v>1900</v>
      </c>
    </row>
    <row r="278" spans="1:22">
      <c r="A278" s="44"/>
      <c r="B278" s="24"/>
      <c r="C278" s="24"/>
      <c r="D278" s="24"/>
      <c r="E278" s="24">
        <f t="shared" si="41"/>
        <v>0</v>
      </c>
      <c r="F278" s="24">
        <f t="shared" si="42"/>
        <v>0</v>
      </c>
      <c r="G278" s="47">
        <v>2.25</v>
      </c>
      <c r="K278" s="48">
        <f t="shared" si="37"/>
        <v>4.0178571428571432</v>
      </c>
      <c r="L278" s="48"/>
      <c r="M278" s="44">
        <f t="shared" si="38"/>
        <v>0</v>
      </c>
      <c r="N278" s="48"/>
      <c r="O278" s="48"/>
      <c r="P278" s="48"/>
      <c r="Q278" s="48"/>
      <c r="R278" s="48"/>
      <c r="U278" s="8">
        <f t="shared" si="39"/>
        <v>1</v>
      </c>
      <c r="V278" s="8">
        <f t="shared" si="40"/>
        <v>1900</v>
      </c>
    </row>
    <row r="279" spans="1:22">
      <c r="A279" s="44"/>
      <c r="B279" s="24"/>
      <c r="C279" s="24"/>
      <c r="D279" s="24"/>
      <c r="E279" s="24">
        <f t="shared" si="41"/>
        <v>0</v>
      </c>
      <c r="F279" s="24">
        <f t="shared" si="42"/>
        <v>0</v>
      </c>
      <c r="G279" s="47">
        <v>2.2200000000000002</v>
      </c>
      <c r="K279" s="48">
        <f t="shared" si="37"/>
        <v>3.9642857142857144</v>
      </c>
      <c r="L279" s="48"/>
      <c r="M279" s="44">
        <f t="shared" si="38"/>
        <v>0</v>
      </c>
      <c r="N279" s="48"/>
      <c r="O279" s="48"/>
      <c r="P279" s="48"/>
      <c r="Q279" s="48"/>
      <c r="R279" s="48"/>
      <c r="U279" s="8">
        <f t="shared" si="39"/>
        <v>1</v>
      </c>
      <c r="V279" s="8">
        <f t="shared" si="40"/>
        <v>1900</v>
      </c>
    </row>
    <row r="280" spans="1:22">
      <c r="A280" s="44"/>
      <c r="B280" s="24"/>
      <c r="C280" s="24"/>
      <c r="D280" s="24"/>
      <c r="E280" s="24">
        <f t="shared" si="41"/>
        <v>0</v>
      </c>
      <c r="F280" s="24">
        <f t="shared" si="42"/>
        <v>0</v>
      </c>
      <c r="G280" s="47">
        <v>2.27</v>
      </c>
      <c r="K280" s="48">
        <f t="shared" si="37"/>
        <v>4.0535714285714288</v>
      </c>
      <c r="L280" s="48"/>
      <c r="M280" s="44">
        <f t="shared" si="38"/>
        <v>0</v>
      </c>
      <c r="N280" s="48"/>
      <c r="O280" s="48"/>
      <c r="P280" s="48"/>
      <c r="Q280" s="48"/>
      <c r="R280" s="48"/>
      <c r="U280" s="8">
        <f t="shared" si="39"/>
        <v>1</v>
      </c>
      <c r="V280" s="8">
        <f t="shared" si="40"/>
        <v>1900</v>
      </c>
    </row>
    <row r="281" spans="1:22">
      <c r="A281" s="44"/>
      <c r="B281" s="24"/>
      <c r="C281" s="24"/>
      <c r="D281" s="24"/>
      <c r="E281" s="24">
        <f t="shared" si="41"/>
        <v>0</v>
      </c>
      <c r="F281" s="24">
        <f t="shared" si="42"/>
        <v>0</v>
      </c>
      <c r="G281" s="47">
        <v>2.63</v>
      </c>
      <c r="K281" s="48">
        <f t="shared" si="37"/>
        <v>4.6964285714285712</v>
      </c>
      <c r="L281" s="48"/>
      <c r="M281" s="44">
        <f t="shared" si="38"/>
        <v>0</v>
      </c>
      <c r="N281" s="48"/>
      <c r="O281" s="48"/>
      <c r="P281" s="48"/>
      <c r="Q281" s="48"/>
      <c r="R281" s="48"/>
      <c r="U281" s="8">
        <f t="shared" si="39"/>
        <v>1</v>
      </c>
      <c r="V281" s="8">
        <f t="shared" si="40"/>
        <v>1900</v>
      </c>
    </row>
    <row r="282" spans="1:22">
      <c r="A282" s="44"/>
      <c r="B282" s="24"/>
      <c r="C282" s="24"/>
      <c r="D282" s="24"/>
      <c r="E282" s="24">
        <f t="shared" si="41"/>
        <v>0</v>
      </c>
      <c r="F282" s="24">
        <f t="shared" si="42"/>
        <v>0</v>
      </c>
      <c r="G282" s="47">
        <v>2.81</v>
      </c>
      <c r="K282" s="48">
        <f t="shared" si="37"/>
        <v>5.0178571428571423</v>
      </c>
      <c r="L282" s="48"/>
      <c r="M282" s="44">
        <f t="shared" si="38"/>
        <v>0</v>
      </c>
      <c r="N282" s="48"/>
      <c r="O282" s="48"/>
      <c r="P282" s="48"/>
      <c r="Q282" s="48"/>
      <c r="R282" s="48"/>
      <c r="U282" s="8">
        <f t="shared" si="39"/>
        <v>1</v>
      </c>
      <c r="V282" s="8">
        <f t="shared" si="40"/>
        <v>1900</v>
      </c>
    </row>
    <row r="283" spans="1:22">
      <c r="A283" s="44"/>
      <c r="B283" s="24"/>
      <c r="C283" s="24"/>
      <c r="D283" s="24"/>
      <c r="E283" s="24">
        <f t="shared" si="41"/>
        <v>0</v>
      </c>
      <c r="F283" s="24">
        <f t="shared" si="42"/>
        <v>0</v>
      </c>
      <c r="G283" s="47">
        <v>2.89</v>
      </c>
      <c r="K283" s="48">
        <f t="shared" si="37"/>
        <v>5.1607142857142856</v>
      </c>
      <c r="L283" s="48"/>
      <c r="M283" s="44">
        <f t="shared" si="38"/>
        <v>0</v>
      </c>
      <c r="N283" s="48"/>
      <c r="O283" s="48"/>
      <c r="P283" s="48"/>
      <c r="Q283" s="48"/>
      <c r="R283" s="48"/>
      <c r="U283" s="8">
        <f t="shared" si="39"/>
        <v>1</v>
      </c>
      <c r="V283" s="8">
        <f t="shared" si="40"/>
        <v>1900</v>
      </c>
    </row>
    <row r="284" spans="1:22">
      <c r="A284" s="44"/>
      <c r="B284" s="24"/>
      <c r="C284" s="24"/>
      <c r="D284" s="24"/>
      <c r="E284" s="24">
        <f t="shared" si="41"/>
        <v>0</v>
      </c>
      <c r="F284" s="24">
        <f t="shared" si="42"/>
        <v>0</v>
      </c>
      <c r="G284" s="47">
        <v>2.83</v>
      </c>
      <c r="K284" s="48">
        <f t="shared" si="37"/>
        <v>5.0535714285714288</v>
      </c>
      <c r="L284" s="48"/>
      <c r="M284" s="44">
        <f t="shared" si="38"/>
        <v>0</v>
      </c>
      <c r="N284" s="48"/>
      <c r="O284" s="48"/>
      <c r="P284" s="48"/>
      <c r="Q284" s="48"/>
      <c r="R284" s="48"/>
      <c r="U284" s="8">
        <f t="shared" si="39"/>
        <v>1</v>
      </c>
      <c r="V284" s="8">
        <f t="shared" si="40"/>
        <v>1900</v>
      </c>
    </row>
    <row r="285" spans="1:22">
      <c r="A285" s="44"/>
      <c r="B285" s="24"/>
      <c r="C285" s="24"/>
      <c r="D285" s="24"/>
      <c r="E285" s="24">
        <f t="shared" si="41"/>
        <v>0</v>
      </c>
      <c r="F285" s="24">
        <f t="shared" si="42"/>
        <v>0</v>
      </c>
      <c r="G285" s="47">
        <v>2.76</v>
      </c>
      <c r="K285" s="48">
        <f t="shared" si="37"/>
        <v>4.9285714285714279</v>
      </c>
      <c r="L285" s="48"/>
      <c r="M285" s="44">
        <f t="shared" si="38"/>
        <v>0</v>
      </c>
      <c r="N285" s="48"/>
      <c r="O285" s="48"/>
      <c r="P285" s="48"/>
      <c r="Q285" s="48"/>
      <c r="R285" s="48"/>
      <c r="U285" s="8">
        <f t="shared" si="39"/>
        <v>1</v>
      </c>
      <c r="V285" s="8">
        <f t="shared" si="40"/>
        <v>1900</v>
      </c>
    </row>
    <row r="286" spans="1:22">
      <c r="A286" s="44"/>
      <c r="B286" s="24"/>
      <c r="C286" s="24"/>
      <c r="D286" s="24"/>
      <c r="E286" s="24">
        <f t="shared" si="41"/>
        <v>0</v>
      </c>
      <c r="F286" s="24">
        <f t="shared" si="42"/>
        <v>0</v>
      </c>
      <c r="G286" s="47">
        <v>2.6</v>
      </c>
      <c r="K286" s="48">
        <f t="shared" si="37"/>
        <v>4.6428571428571432</v>
      </c>
      <c r="L286" s="48"/>
      <c r="M286" s="44">
        <f t="shared" si="38"/>
        <v>0</v>
      </c>
      <c r="N286" s="48"/>
      <c r="O286" s="48"/>
      <c r="P286" s="48"/>
      <c r="Q286" s="48"/>
      <c r="R286" s="48"/>
      <c r="U286" s="8">
        <f t="shared" si="39"/>
        <v>1</v>
      </c>
      <c r="V286" s="8">
        <f t="shared" si="40"/>
        <v>1900</v>
      </c>
    </row>
    <row r="287" spans="1:22">
      <c r="A287" s="44"/>
      <c r="B287" s="24"/>
      <c r="C287" s="24"/>
      <c r="D287" s="24"/>
      <c r="E287" s="24">
        <f t="shared" si="41"/>
        <v>0</v>
      </c>
      <c r="F287" s="24">
        <f t="shared" si="42"/>
        <v>0</v>
      </c>
      <c r="G287" s="47">
        <v>2.58</v>
      </c>
      <c r="K287" s="48">
        <f t="shared" si="37"/>
        <v>4.6071428571428577</v>
      </c>
      <c r="L287" s="48"/>
      <c r="M287" s="44">
        <f t="shared" si="38"/>
        <v>0</v>
      </c>
      <c r="N287" s="48"/>
      <c r="O287" s="48"/>
      <c r="P287" s="48"/>
      <c r="Q287" s="48"/>
      <c r="R287" s="48"/>
      <c r="U287" s="8">
        <f t="shared" si="39"/>
        <v>1</v>
      </c>
      <c r="V287" s="8">
        <f t="shared" si="40"/>
        <v>1900</v>
      </c>
    </row>
    <row r="288" spans="1:22">
      <c r="A288" s="44"/>
      <c r="B288" s="24"/>
      <c r="C288" s="24"/>
      <c r="D288" s="24"/>
      <c r="E288" s="24">
        <f t="shared" si="41"/>
        <v>0</v>
      </c>
      <c r="F288" s="24">
        <f t="shared" si="42"/>
        <v>0</v>
      </c>
      <c r="G288" s="47">
        <v>2.61</v>
      </c>
      <c r="K288" s="48">
        <f t="shared" si="37"/>
        <v>4.6607142857142856</v>
      </c>
      <c r="L288" s="48"/>
      <c r="M288" s="44">
        <f t="shared" si="38"/>
        <v>0</v>
      </c>
      <c r="N288" s="48"/>
      <c r="O288" s="48"/>
      <c r="P288" s="48"/>
      <c r="Q288" s="48"/>
      <c r="R288" s="48"/>
      <c r="U288" s="8">
        <f t="shared" si="39"/>
        <v>1</v>
      </c>
      <c r="V288" s="8">
        <f t="shared" si="40"/>
        <v>1900</v>
      </c>
    </row>
    <row r="289" spans="1:22">
      <c r="A289" s="44"/>
      <c r="B289" s="24"/>
      <c r="C289" s="24"/>
      <c r="D289" s="24"/>
      <c r="E289" s="24">
        <f t="shared" si="41"/>
        <v>0</v>
      </c>
      <c r="F289" s="24">
        <f t="shared" si="42"/>
        <v>0</v>
      </c>
      <c r="G289" s="47">
        <v>2.19</v>
      </c>
      <c r="K289" s="48">
        <f t="shared" si="37"/>
        <v>3.9107142857142856</v>
      </c>
      <c r="L289" s="48"/>
      <c r="M289" s="44">
        <f t="shared" si="38"/>
        <v>0</v>
      </c>
      <c r="N289" s="48"/>
      <c r="O289" s="48"/>
      <c r="P289" s="48"/>
      <c r="Q289" s="48"/>
      <c r="R289" s="48"/>
      <c r="U289" s="8">
        <f t="shared" si="39"/>
        <v>1</v>
      </c>
      <c r="V289" s="8">
        <f t="shared" si="40"/>
        <v>1900</v>
      </c>
    </row>
    <row r="290" spans="1:22">
      <c r="A290" s="44"/>
      <c r="B290" s="24"/>
      <c r="C290" s="24"/>
      <c r="D290" s="24"/>
      <c r="E290" s="24">
        <f t="shared" si="41"/>
        <v>0</v>
      </c>
      <c r="F290" s="24">
        <f t="shared" si="42"/>
        <v>0</v>
      </c>
      <c r="G290" s="47">
        <v>2.13</v>
      </c>
      <c r="K290" s="48">
        <f t="shared" si="37"/>
        <v>3.8035714285714284</v>
      </c>
      <c r="L290" s="48"/>
      <c r="M290" s="44">
        <f t="shared" si="38"/>
        <v>0</v>
      </c>
      <c r="N290" s="48"/>
      <c r="O290" s="48"/>
      <c r="P290" s="48"/>
      <c r="Q290" s="48"/>
      <c r="R290" s="48"/>
      <c r="U290" s="8">
        <f t="shared" si="39"/>
        <v>1</v>
      </c>
      <c r="V290" s="8">
        <f t="shared" si="40"/>
        <v>1900</v>
      </c>
    </row>
    <row r="291" spans="1:22">
      <c r="A291" s="44"/>
      <c r="B291" s="24"/>
      <c r="C291" s="24"/>
      <c r="D291" s="24"/>
      <c r="E291" s="24">
        <f t="shared" si="41"/>
        <v>0</v>
      </c>
      <c r="F291" s="24">
        <f t="shared" si="42"/>
        <v>0</v>
      </c>
      <c r="G291" s="47">
        <v>2.08</v>
      </c>
      <c r="K291" s="48">
        <f t="shared" si="37"/>
        <v>3.7142857142857144</v>
      </c>
      <c r="L291" s="48"/>
      <c r="M291" s="44">
        <f t="shared" si="38"/>
        <v>0</v>
      </c>
      <c r="N291" s="48"/>
      <c r="O291" s="48"/>
      <c r="P291" s="48"/>
      <c r="Q291" s="48"/>
      <c r="R291" s="48"/>
      <c r="U291" s="8">
        <f t="shared" si="39"/>
        <v>1</v>
      </c>
      <c r="V291" s="8">
        <f t="shared" si="40"/>
        <v>1900</v>
      </c>
    </row>
    <row r="292" spans="1:22">
      <c r="A292" s="44"/>
      <c r="B292" s="24"/>
      <c r="C292" s="24"/>
      <c r="D292" s="24"/>
      <c r="E292" s="24">
        <f t="shared" si="41"/>
        <v>0</v>
      </c>
      <c r="F292" s="24">
        <f t="shared" si="42"/>
        <v>0</v>
      </c>
      <c r="G292" s="47">
        <v>1.92</v>
      </c>
      <c r="K292" s="48">
        <f t="shared" si="37"/>
        <v>3.4285714285714288</v>
      </c>
      <c r="L292" s="48"/>
      <c r="M292" s="44">
        <f t="shared" si="38"/>
        <v>0</v>
      </c>
      <c r="N292" s="48"/>
      <c r="O292" s="48"/>
      <c r="P292" s="48"/>
      <c r="Q292" s="48"/>
      <c r="R292" s="48"/>
      <c r="U292" s="8">
        <f t="shared" si="39"/>
        <v>1</v>
      </c>
      <c r="V292" s="8">
        <f t="shared" si="40"/>
        <v>1900</v>
      </c>
    </row>
    <row r="293" spans="1:22">
      <c r="A293" s="44"/>
      <c r="B293" s="24"/>
      <c r="C293" s="24"/>
      <c r="D293" s="24"/>
      <c r="E293" s="24">
        <f t="shared" si="41"/>
        <v>0</v>
      </c>
      <c r="F293" s="24">
        <f t="shared" si="42"/>
        <v>0</v>
      </c>
      <c r="G293" s="47">
        <v>2.0299999999999998</v>
      </c>
      <c r="K293" s="48">
        <f t="shared" si="37"/>
        <v>3.6249999999999996</v>
      </c>
      <c r="L293" s="48"/>
      <c r="M293" s="44">
        <f t="shared" si="38"/>
        <v>0</v>
      </c>
      <c r="N293" s="48"/>
      <c r="O293" s="48"/>
      <c r="P293" s="48"/>
      <c r="Q293" s="48"/>
      <c r="R293" s="48"/>
      <c r="U293" s="8">
        <f t="shared" si="39"/>
        <v>1</v>
      </c>
      <c r="V293" s="8">
        <f t="shared" si="40"/>
        <v>1900</v>
      </c>
    </row>
    <row r="294" spans="1:22">
      <c r="A294" s="44"/>
      <c r="B294" s="24"/>
      <c r="C294" s="24"/>
      <c r="D294" s="24"/>
      <c r="E294" s="24">
        <f t="shared" si="41"/>
        <v>0</v>
      </c>
      <c r="F294" s="24">
        <f t="shared" si="42"/>
        <v>0</v>
      </c>
      <c r="G294" s="47">
        <v>2.16</v>
      </c>
      <c r="K294" s="48">
        <f t="shared" si="37"/>
        <v>3.8571428571428577</v>
      </c>
      <c r="L294" s="48"/>
      <c r="M294" s="44">
        <f t="shared" si="38"/>
        <v>0</v>
      </c>
      <c r="N294" s="48"/>
      <c r="O294" s="48"/>
      <c r="P294" s="48"/>
      <c r="Q294" s="48"/>
      <c r="R294" s="48"/>
      <c r="U294" s="8">
        <f t="shared" si="39"/>
        <v>1</v>
      </c>
      <c r="V294" s="8">
        <f t="shared" si="40"/>
        <v>1900</v>
      </c>
    </row>
    <row r="295" spans="1:22">
      <c r="A295" s="44"/>
      <c r="B295" s="24"/>
      <c r="C295" s="24"/>
      <c r="D295" s="24"/>
      <c r="E295" s="24">
        <f t="shared" si="41"/>
        <v>0</v>
      </c>
      <c r="F295" s="24">
        <f t="shared" si="42"/>
        <v>0</v>
      </c>
      <c r="G295" s="47">
        <v>2.2200000000000002</v>
      </c>
      <c r="K295" s="48">
        <f t="shared" si="37"/>
        <v>3.9642857142857144</v>
      </c>
      <c r="L295" s="48"/>
      <c r="M295" s="44">
        <f t="shared" si="38"/>
        <v>0</v>
      </c>
      <c r="N295" s="48"/>
      <c r="O295" s="48"/>
      <c r="P295" s="48"/>
      <c r="Q295" s="48"/>
      <c r="R295" s="48"/>
      <c r="U295" s="8">
        <f t="shared" si="39"/>
        <v>1</v>
      </c>
      <c r="V295" s="8">
        <f t="shared" si="40"/>
        <v>1900</v>
      </c>
    </row>
    <row r="296" spans="1:22">
      <c r="A296" s="44"/>
      <c r="B296" s="24"/>
      <c r="C296" s="24"/>
      <c r="D296" s="24"/>
      <c r="E296" s="24">
        <f t="shared" si="41"/>
        <v>0</v>
      </c>
      <c r="F296" s="24">
        <f t="shared" si="42"/>
        <v>0</v>
      </c>
      <c r="G296" s="47">
        <v>2.27</v>
      </c>
      <c r="K296" s="48">
        <f t="shared" si="37"/>
        <v>4.0535714285714288</v>
      </c>
      <c r="L296" s="48"/>
      <c r="M296" s="44">
        <f t="shared" si="38"/>
        <v>0</v>
      </c>
      <c r="N296" s="48"/>
      <c r="O296" s="48"/>
      <c r="P296" s="48"/>
      <c r="Q296" s="48"/>
      <c r="R296" s="48"/>
      <c r="U296" s="8">
        <f t="shared" si="39"/>
        <v>1</v>
      </c>
      <c r="V296" s="8">
        <f t="shared" si="40"/>
        <v>1900</v>
      </c>
    </row>
    <row r="297" spans="1:22">
      <c r="A297" s="44"/>
      <c r="B297" s="24"/>
      <c r="C297" s="24"/>
      <c r="D297" s="24"/>
      <c r="E297" s="24">
        <f t="shared" si="41"/>
        <v>0</v>
      </c>
      <c r="F297" s="24">
        <f t="shared" si="42"/>
        <v>0</v>
      </c>
      <c r="G297" s="47">
        <v>2.36</v>
      </c>
      <c r="K297" s="48">
        <f t="shared" si="37"/>
        <v>4.2142857142857144</v>
      </c>
      <c r="L297" s="48"/>
      <c r="M297" s="44">
        <f t="shared" si="38"/>
        <v>0</v>
      </c>
      <c r="N297" s="48"/>
      <c r="O297" s="48"/>
      <c r="P297" s="48"/>
      <c r="Q297" s="48"/>
      <c r="R297" s="48"/>
      <c r="U297" s="8">
        <f t="shared" si="39"/>
        <v>1</v>
      </c>
      <c r="V297" s="8">
        <f t="shared" si="40"/>
        <v>1900</v>
      </c>
    </row>
    <row r="298" spans="1:22">
      <c r="A298" s="44"/>
      <c r="B298" s="24"/>
      <c r="C298" s="24"/>
      <c r="D298" s="24"/>
      <c r="E298" s="24">
        <f t="shared" si="41"/>
        <v>0</v>
      </c>
      <c r="F298" s="24">
        <f t="shared" si="42"/>
        <v>0</v>
      </c>
      <c r="G298" s="47">
        <v>2.41</v>
      </c>
      <c r="K298" s="48">
        <f t="shared" si="37"/>
        <v>4.3035714285714288</v>
      </c>
      <c r="L298" s="48"/>
      <c r="M298" s="44">
        <f t="shared" si="38"/>
        <v>0</v>
      </c>
      <c r="N298" s="48"/>
      <c r="O298" s="48"/>
      <c r="P298" s="48"/>
      <c r="Q298" s="48"/>
      <c r="R298" s="48"/>
      <c r="U298" s="8">
        <f t="shared" si="39"/>
        <v>1</v>
      </c>
      <c r="V298" s="8">
        <f t="shared" si="40"/>
        <v>1900</v>
      </c>
    </row>
    <row r="299" spans="1:22">
      <c r="A299" s="44"/>
      <c r="B299" s="24"/>
      <c r="C299" s="24"/>
      <c r="D299" s="24"/>
      <c r="E299" s="24">
        <f t="shared" si="41"/>
        <v>0</v>
      </c>
      <c r="F299" s="24">
        <f t="shared" si="42"/>
        <v>0</v>
      </c>
      <c r="G299" s="47">
        <v>2.5</v>
      </c>
      <c r="K299" s="48">
        <f t="shared" si="37"/>
        <v>4.4642857142857144</v>
      </c>
      <c r="L299" s="48"/>
      <c r="M299" s="44">
        <f t="shared" si="38"/>
        <v>0</v>
      </c>
      <c r="N299" s="48"/>
      <c r="O299" s="48"/>
      <c r="P299" s="48"/>
      <c r="Q299" s="48"/>
      <c r="R299" s="48"/>
      <c r="U299" s="8">
        <f t="shared" si="39"/>
        <v>1</v>
      </c>
      <c r="V299" s="8">
        <f t="shared" si="40"/>
        <v>1900</v>
      </c>
    </row>
    <row r="300" spans="1:22">
      <c r="A300" s="44"/>
      <c r="B300" s="24"/>
      <c r="C300" s="24"/>
      <c r="D300" s="24"/>
      <c r="E300" s="24">
        <f t="shared" si="41"/>
        <v>0</v>
      </c>
      <c r="F300" s="24">
        <f t="shared" si="42"/>
        <v>0</v>
      </c>
      <c r="G300" s="47">
        <v>2.65</v>
      </c>
      <c r="K300" s="48">
        <f t="shared" si="37"/>
        <v>4.7321428571428568</v>
      </c>
      <c r="L300" s="48"/>
      <c r="M300" s="44">
        <f t="shared" si="38"/>
        <v>0</v>
      </c>
      <c r="N300" s="48"/>
      <c r="O300" s="48"/>
      <c r="P300" s="48"/>
      <c r="Q300" s="48"/>
      <c r="R300" s="48"/>
      <c r="U300" s="8">
        <f t="shared" si="39"/>
        <v>1</v>
      </c>
      <c r="V300" s="8">
        <f t="shared" si="40"/>
        <v>1900</v>
      </c>
    </row>
    <row r="301" spans="1:22">
      <c r="A301" s="44"/>
      <c r="B301" s="24"/>
      <c r="C301" s="24"/>
      <c r="D301" s="24"/>
      <c r="E301" s="24">
        <f t="shared" si="41"/>
        <v>0</v>
      </c>
      <c r="F301" s="24">
        <f t="shared" si="42"/>
        <v>0</v>
      </c>
      <c r="G301" s="47">
        <v>2.79</v>
      </c>
      <c r="K301" s="48">
        <f t="shared" si="37"/>
        <v>4.9821428571428577</v>
      </c>
      <c r="L301" s="48"/>
      <c r="M301" s="44">
        <f t="shared" si="38"/>
        <v>0</v>
      </c>
      <c r="N301" s="48"/>
      <c r="O301" s="48"/>
      <c r="P301" s="48"/>
      <c r="Q301" s="48"/>
      <c r="R301" s="48"/>
      <c r="U301" s="8">
        <f t="shared" si="39"/>
        <v>1</v>
      </c>
      <c r="V301" s="8">
        <f t="shared" si="40"/>
        <v>1900</v>
      </c>
    </row>
    <row r="302" spans="1:22">
      <c r="A302" s="44"/>
      <c r="B302" s="24"/>
      <c r="C302" s="24"/>
      <c r="D302" s="24"/>
      <c r="E302" s="24">
        <f t="shared" si="41"/>
        <v>0</v>
      </c>
      <c r="F302" s="24">
        <f t="shared" si="42"/>
        <v>0</v>
      </c>
      <c r="G302" s="47">
        <v>2.68</v>
      </c>
      <c r="K302" s="48">
        <f t="shared" si="37"/>
        <v>4.7857142857142865</v>
      </c>
      <c r="L302" s="48"/>
      <c r="M302" s="44">
        <f t="shared" si="38"/>
        <v>0</v>
      </c>
      <c r="N302" s="48"/>
      <c r="O302" s="48"/>
      <c r="P302" s="48"/>
      <c r="Q302" s="48"/>
      <c r="R302" s="48"/>
      <c r="U302" s="8">
        <f t="shared" si="39"/>
        <v>1</v>
      </c>
      <c r="V302" s="8">
        <f t="shared" si="40"/>
        <v>1900</v>
      </c>
    </row>
    <row r="303" spans="1:22">
      <c r="A303" s="44"/>
      <c r="B303" s="24"/>
      <c r="C303" s="24"/>
      <c r="D303" s="24"/>
      <c r="E303" s="24">
        <f t="shared" si="41"/>
        <v>0</v>
      </c>
      <c r="F303" s="24">
        <f t="shared" si="42"/>
        <v>0</v>
      </c>
      <c r="G303" s="47">
        <v>2.83</v>
      </c>
      <c r="K303" s="48">
        <f t="shared" si="37"/>
        <v>5.0535714285714288</v>
      </c>
      <c r="L303" s="48"/>
      <c r="M303" s="44">
        <f t="shared" si="38"/>
        <v>0</v>
      </c>
      <c r="N303" s="48"/>
      <c r="O303" s="48"/>
      <c r="P303" s="48"/>
      <c r="Q303" s="48"/>
      <c r="R303" s="48"/>
      <c r="S303" s="24"/>
      <c r="T303" s="24"/>
      <c r="U303" s="8">
        <f t="shared" si="39"/>
        <v>1</v>
      </c>
      <c r="V303" s="8">
        <f t="shared" si="40"/>
        <v>1900</v>
      </c>
    </row>
    <row r="304" spans="1:22">
      <c r="A304" s="44"/>
      <c r="B304" s="24"/>
      <c r="C304" s="24"/>
      <c r="D304" s="24"/>
      <c r="E304" s="24">
        <f t="shared" si="41"/>
        <v>0</v>
      </c>
      <c r="F304" s="24">
        <f t="shared" si="42"/>
        <v>0</v>
      </c>
      <c r="G304" s="47">
        <v>3.12</v>
      </c>
      <c r="K304" s="48">
        <f t="shared" si="37"/>
        <v>5.5714285714285712</v>
      </c>
      <c r="L304" s="48"/>
      <c r="M304" s="44">
        <f t="shared" si="38"/>
        <v>0</v>
      </c>
      <c r="N304" s="48"/>
      <c r="O304" s="48"/>
      <c r="P304" s="48"/>
      <c r="Q304" s="48"/>
      <c r="R304" s="48"/>
      <c r="S304" s="24"/>
      <c r="T304" s="24"/>
      <c r="U304" s="8">
        <f t="shared" si="39"/>
        <v>1</v>
      </c>
      <c r="V304" s="8">
        <f t="shared" si="40"/>
        <v>1900</v>
      </c>
    </row>
    <row r="305" spans="1:22">
      <c r="A305" s="44"/>
      <c r="B305" s="24"/>
      <c r="C305" s="24"/>
      <c r="D305" s="24"/>
      <c r="E305" s="24">
        <f t="shared" si="41"/>
        <v>0</v>
      </c>
      <c r="F305" s="24">
        <f t="shared" si="42"/>
        <v>0</v>
      </c>
      <c r="G305" s="47">
        <v>3.22</v>
      </c>
      <c r="K305" s="48">
        <f t="shared" si="37"/>
        <v>5.75</v>
      </c>
      <c r="L305" s="48"/>
      <c r="M305" s="44">
        <f t="shared" si="38"/>
        <v>0</v>
      </c>
      <c r="N305" s="48"/>
      <c r="O305" s="48"/>
      <c r="P305" s="48"/>
      <c r="Q305" s="48"/>
      <c r="R305" s="48"/>
      <c r="S305" s="24"/>
      <c r="T305" s="24"/>
      <c r="U305" s="8">
        <f t="shared" si="39"/>
        <v>1</v>
      </c>
      <c r="V305" s="8">
        <f t="shared" si="40"/>
        <v>1900</v>
      </c>
    </row>
    <row r="306" spans="1:22">
      <c r="A306" s="44"/>
      <c r="B306" s="24"/>
      <c r="C306" s="24"/>
      <c r="D306" s="24"/>
      <c r="E306" s="24">
        <f t="shared" si="41"/>
        <v>0</v>
      </c>
      <c r="F306" s="24">
        <f t="shared" si="42"/>
        <v>0</v>
      </c>
      <c r="G306" s="47">
        <v>3.36</v>
      </c>
      <c r="H306" s="24">
        <f>G306-D306</f>
        <v>3.36</v>
      </c>
      <c r="K306" s="48">
        <f t="shared" si="37"/>
        <v>6</v>
      </c>
      <c r="L306" s="48"/>
      <c r="M306" s="44">
        <f t="shared" si="38"/>
        <v>0</v>
      </c>
      <c r="N306" s="48"/>
      <c r="O306" s="48"/>
      <c r="P306" s="48"/>
      <c r="Q306" s="48"/>
      <c r="R306" s="48"/>
      <c r="S306" s="24"/>
      <c r="T306" s="24"/>
      <c r="U306" s="8">
        <f t="shared" si="39"/>
        <v>1</v>
      </c>
      <c r="V306" s="8">
        <f t="shared" si="40"/>
        <v>1900</v>
      </c>
    </row>
    <row r="307" spans="1:22">
      <c r="A307" s="44"/>
      <c r="B307" s="24"/>
      <c r="C307" s="24"/>
      <c r="D307" s="24"/>
      <c r="E307" s="24">
        <f t="shared" si="41"/>
        <v>0</v>
      </c>
      <c r="F307" s="24">
        <f t="shared" si="42"/>
        <v>0</v>
      </c>
      <c r="G307" s="47">
        <v>3.53</v>
      </c>
      <c r="H307" s="24">
        <f t="shared" ref="H307:H370" si="43">G307-D307</f>
        <v>3.53</v>
      </c>
      <c r="K307" s="48">
        <f t="shared" si="37"/>
        <v>6.3035714285714279</v>
      </c>
      <c r="L307" s="48"/>
      <c r="M307" s="44">
        <f t="shared" si="38"/>
        <v>0</v>
      </c>
      <c r="N307" s="48"/>
      <c r="O307" s="48"/>
      <c r="P307" s="48"/>
      <c r="Q307" s="48"/>
      <c r="R307" s="48"/>
      <c r="S307" s="24"/>
      <c r="T307" s="24"/>
      <c r="U307" s="8">
        <f t="shared" si="39"/>
        <v>1</v>
      </c>
      <c r="V307" s="8">
        <f t="shared" si="40"/>
        <v>1900</v>
      </c>
    </row>
    <row r="308" spans="1:22">
      <c r="A308" s="44"/>
      <c r="B308" s="24"/>
      <c r="C308" s="24"/>
      <c r="D308" s="24"/>
      <c r="E308" s="24">
        <f t="shared" si="41"/>
        <v>0</v>
      </c>
      <c r="F308" s="24">
        <f t="shared" si="42"/>
        <v>0</v>
      </c>
      <c r="G308" s="47">
        <v>3.71</v>
      </c>
      <c r="H308" s="24">
        <f t="shared" si="43"/>
        <v>3.71</v>
      </c>
      <c r="K308" s="48">
        <f t="shared" si="37"/>
        <v>6.625</v>
      </c>
      <c r="L308" s="48"/>
      <c r="M308" s="44">
        <f t="shared" si="38"/>
        <v>0</v>
      </c>
      <c r="N308" s="48"/>
      <c r="O308" s="48"/>
      <c r="P308" s="48"/>
      <c r="Q308" s="48"/>
      <c r="R308" s="48"/>
      <c r="S308" s="24"/>
      <c r="T308" s="24"/>
      <c r="U308" s="8">
        <f t="shared" si="39"/>
        <v>1</v>
      </c>
      <c r="V308" s="8">
        <f t="shared" si="40"/>
        <v>1900</v>
      </c>
    </row>
    <row r="309" spans="1:22">
      <c r="A309" s="44"/>
      <c r="B309" s="24"/>
      <c r="C309" s="24"/>
      <c r="D309" s="24"/>
      <c r="E309" s="24">
        <f t="shared" si="41"/>
        <v>0</v>
      </c>
      <c r="F309" s="24">
        <f t="shared" si="42"/>
        <v>0</v>
      </c>
      <c r="G309" s="47">
        <v>3.92</v>
      </c>
      <c r="H309" s="24">
        <f t="shared" si="43"/>
        <v>3.92</v>
      </c>
      <c r="K309" s="48">
        <f t="shared" si="37"/>
        <v>6.9999999999999991</v>
      </c>
      <c r="L309" s="48"/>
      <c r="M309" s="44">
        <f t="shared" si="38"/>
        <v>0</v>
      </c>
      <c r="N309" s="48"/>
      <c r="O309" s="48"/>
      <c r="P309" s="48"/>
      <c r="Q309" s="48"/>
      <c r="R309" s="48"/>
      <c r="S309" s="24"/>
      <c r="T309" s="24"/>
      <c r="U309" s="8">
        <f t="shared" si="39"/>
        <v>1</v>
      </c>
      <c r="V309" s="8">
        <f t="shared" si="40"/>
        <v>1900</v>
      </c>
    </row>
    <row r="310" spans="1:22">
      <c r="A310" s="44"/>
      <c r="B310" s="24"/>
      <c r="C310" s="24"/>
      <c r="D310" s="24"/>
      <c r="E310" s="24">
        <f t="shared" si="41"/>
        <v>0</v>
      </c>
      <c r="F310" s="24">
        <f t="shared" si="42"/>
        <v>0</v>
      </c>
      <c r="G310" s="47">
        <v>4.47</v>
      </c>
      <c r="H310" s="24">
        <f t="shared" si="43"/>
        <v>4.47</v>
      </c>
      <c r="K310" s="48">
        <f t="shared" si="37"/>
        <v>7.9821428571428568</v>
      </c>
      <c r="L310" s="48"/>
      <c r="M310" s="44">
        <f t="shared" si="38"/>
        <v>0</v>
      </c>
      <c r="N310" s="48"/>
      <c r="O310" s="48"/>
      <c r="P310" s="48"/>
      <c r="Q310" s="48"/>
      <c r="R310" s="48"/>
      <c r="S310" s="24"/>
      <c r="T310" s="24"/>
      <c r="U310" s="8">
        <f t="shared" si="39"/>
        <v>1</v>
      </c>
      <c r="V310" s="8">
        <f t="shared" si="40"/>
        <v>1900</v>
      </c>
    </row>
    <row r="311" spans="1:22">
      <c r="A311" s="44"/>
      <c r="B311" s="24"/>
      <c r="C311" s="24"/>
      <c r="D311" s="24"/>
      <c r="E311" s="24">
        <f t="shared" si="41"/>
        <v>0</v>
      </c>
      <c r="F311" s="24">
        <f t="shared" si="42"/>
        <v>0</v>
      </c>
      <c r="G311" s="47">
        <v>4.8600000000000003</v>
      </c>
      <c r="H311" s="24">
        <f t="shared" si="43"/>
        <v>4.8600000000000003</v>
      </c>
      <c r="K311" s="48">
        <f t="shared" si="37"/>
        <v>8.6785714285714288</v>
      </c>
      <c r="L311" s="48"/>
      <c r="M311" s="44">
        <f t="shared" si="38"/>
        <v>0</v>
      </c>
      <c r="N311" s="48"/>
      <c r="O311" s="48"/>
      <c r="P311" s="48"/>
      <c r="Q311" s="48"/>
      <c r="R311" s="48"/>
      <c r="S311" s="24"/>
      <c r="T311" s="24"/>
      <c r="U311" s="8">
        <f t="shared" si="39"/>
        <v>1</v>
      </c>
      <c r="V311" s="8">
        <f t="shared" si="40"/>
        <v>1900</v>
      </c>
    </row>
    <row r="312" spans="1:22">
      <c r="A312" s="44"/>
      <c r="B312" s="24"/>
      <c r="C312" s="24"/>
      <c r="D312" s="24"/>
      <c r="E312" s="24">
        <f t="shared" si="41"/>
        <v>0</v>
      </c>
      <c r="F312" s="24">
        <f t="shared" si="42"/>
        <v>0</v>
      </c>
      <c r="G312" s="47">
        <v>4.74</v>
      </c>
      <c r="H312" s="24">
        <f t="shared" si="43"/>
        <v>4.74</v>
      </c>
      <c r="K312" s="48">
        <f t="shared" si="37"/>
        <v>8.4642857142857153</v>
      </c>
      <c r="L312" s="48"/>
      <c r="M312" s="44">
        <f t="shared" si="38"/>
        <v>0</v>
      </c>
      <c r="N312" s="48"/>
      <c r="O312" s="48"/>
      <c r="P312" s="48"/>
      <c r="Q312" s="48"/>
      <c r="R312" s="48"/>
      <c r="S312" s="24"/>
      <c r="T312" s="24"/>
      <c r="U312" s="8">
        <f t="shared" si="39"/>
        <v>1</v>
      </c>
      <c r="V312" s="8">
        <f t="shared" si="40"/>
        <v>1900</v>
      </c>
    </row>
    <row r="313" spans="1:22">
      <c r="A313" s="44"/>
      <c r="B313" s="24"/>
      <c r="C313" s="24"/>
      <c r="D313" s="24"/>
      <c r="E313" s="24">
        <f t="shared" si="41"/>
        <v>0</v>
      </c>
      <c r="F313" s="24">
        <f t="shared" si="42"/>
        <v>0</v>
      </c>
      <c r="G313" s="47">
        <v>4.7</v>
      </c>
      <c r="H313" s="24">
        <f t="shared" si="43"/>
        <v>4.7</v>
      </c>
      <c r="K313" s="48">
        <f t="shared" si="37"/>
        <v>8.3928571428571441</v>
      </c>
      <c r="L313" s="48"/>
      <c r="M313" s="44">
        <f t="shared" si="38"/>
        <v>0</v>
      </c>
      <c r="N313" s="48"/>
      <c r="O313" s="48"/>
      <c r="P313" s="48"/>
      <c r="Q313" s="48"/>
      <c r="R313" s="48"/>
      <c r="S313" s="24"/>
      <c r="T313" s="24"/>
      <c r="U313" s="8">
        <f t="shared" si="39"/>
        <v>1</v>
      </c>
      <c r="V313" s="8">
        <f t="shared" si="40"/>
        <v>1900</v>
      </c>
    </row>
    <row r="314" spans="1:22">
      <c r="A314" s="44"/>
      <c r="B314" s="24"/>
      <c r="C314" s="24"/>
      <c r="D314" s="24"/>
      <c r="E314" s="24">
        <f t="shared" si="41"/>
        <v>0</v>
      </c>
      <c r="F314" s="24">
        <f t="shared" si="42"/>
        <v>0</v>
      </c>
      <c r="G314" s="47">
        <v>4.4800000000000004</v>
      </c>
      <c r="H314" s="24">
        <f t="shared" si="43"/>
        <v>4.4800000000000004</v>
      </c>
      <c r="K314" s="48">
        <f t="shared" si="37"/>
        <v>8</v>
      </c>
      <c r="L314" s="48"/>
      <c r="M314" s="44">
        <f t="shared" si="38"/>
        <v>0</v>
      </c>
      <c r="N314" s="48"/>
      <c r="O314" s="48"/>
      <c r="P314" s="48"/>
      <c r="Q314" s="48"/>
      <c r="R314" s="48"/>
      <c r="S314" s="24"/>
      <c r="T314" s="24"/>
      <c r="U314" s="8">
        <f t="shared" si="39"/>
        <v>1</v>
      </c>
      <c r="V314" s="8">
        <f t="shared" si="40"/>
        <v>1900</v>
      </c>
    </row>
    <row r="315" spans="1:22">
      <c r="A315" s="44"/>
      <c r="B315" s="24"/>
      <c r="C315" s="24"/>
      <c r="D315" s="24"/>
      <c r="E315" s="24">
        <f t="shared" si="41"/>
        <v>0</v>
      </c>
      <c r="F315" s="24">
        <f t="shared" si="42"/>
        <v>0</v>
      </c>
      <c r="G315" s="47">
        <v>3.39</v>
      </c>
      <c r="H315" s="24">
        <f t="shared" si="43"/>
        <v>3.39</v>
      </c>
      <c r="K315" s="48">
        <f t="shared" si="37"/>
        <v>6.0535714285714288</v>
      </c>
      <c r="L315" s="48"/>
      <c r="M315" s="44">
        <f t="shared" si="38"/>
        <v>0</v>
      </c>
      <c r="N315" s="48"/>
      <c r="O315" s="48"/>
      <c r="P315" s="48"/>
      <c r="Q315" s="48"/>
      <c r="R315" s="48"/>
      <c r="S315" s="24"/>
      <c r="T315" s="24"/>
      <c r="U315" s="8">
        <f t="shared" si="39"/>
        <v>1</v>
      </c>
      <c r="V315" s="8">
        <f t="shared" si="40"/>
        <v>1900</v>
      </c>
    </row>
    <row r="316" spans="1:22">
      <c r="A316" s="44"/>
      <c r="B316" s="24"/>
      <c r="C316" s="24"/>
      <c r="D316" s="24"/>
      <c r="E316" s="24">
        <f t="shared" si="41"/>
        <v>0</v>
      </c>
      <c r="F316" s="24">
        <f t="shared" si="42"/>
        <v>0</v>
      </c>
      <c r="G316" s="47">
        <v>2.81</v>
      </c>
      <c r="H316" s="24">
        <f t="shared" si="43"/>
        <v>2.81</v>
      </c>
      <c r="K316" s="48">
        <f t="shared" si="37"/>
        <v>5.0178571428571423</v>
      </c>
      <c r="L316" s="48"/>
      <c r="M316" s="44">
        <f t="shared" si="38"/>
        <v>0</v>
      </c>
      <c r="N316" s="48"/>
      <c r="O316" s="48"/>
      <c r="P316" s="48"/>
      <c r="Q316" s="48"/>
      <c r="R316" s="48"/>
      <c r="S316" s="24"/>
      <c r="T316" s="24"/>
      <c r="U316" s="8">
        <f t="shared" si="39"/>
        <v>1</v>
      </c>
      <c r="V316" s="8">
        <f t="shared" si="40"/>
        <v>1900</v>
      </c>
    </row>
    <row r="317" spans="1:22">
      <c r="A317" s="44"/>
      <c r="B317" s="24"/>
      <c r="C317" s="24"/>
      <c r="D317" s="24"/>
      <c r="E317" s="24">
        <f t="shared" si="41"/>
        <v>0</v>
      </c>
      <c r="F317" s="24">
        <f t="shared" si="42"/>
        <v>0</v>
      </c>
      <c r="G317" s="47">
        <v>2.63</v>
      </c>
      <c r="H317" s="24">
        <f t="shared" si="43"/>
        <v>2.63</v>
      </c>
      <c r="K317" s="48">
        <f t="shared" si="37"/>
        <v>4.6964285714285712</v>
      </c>
      <c r="L317" s="48"/>
      <c r="M317" s="44">
        <f t="shared" si="38"/>
        <v>0</v>
      </c>
      <c r="N317" s="48"/>
      <c r="O317" s="48"/>
      <c r="P317" s="48"/>
      <c r="Q317" s="48"/>
      <c r="R317" s="48"/>
      <c r="S317" s="24"/>
      <c r="T317" s="24"/>
      <c r="U317" s="8">
        <f t="shared" si="39"/>
        <v>1</v>
      </c>
      <c r="V317" s="8">
        <f t="shared" si="40"/>
        <v>1900</v>
      </c>
    </row>
    <row r="318" spans="1:22">
      <c r="A318" s="44"/>
      <c r="B318" s="24"/>
      <c r="C318" s="24"/>
      <c r="D318" s="24"/>
      <c r="E318" s="24">
        <f t="shared" si="41"/>
        <v>0</v>
      </c>
      <c r="F318" s="24">
        <f t="shared" si="42"/>
        <v>0</v>
      </c>
      <c r="G318" s="47">
        <v>2.62</v>
      </c>
      <c r="H318" s="24">
        <f t="shared" si="43"/>
        <v>2.62</v>
      </c>
      <c r="K318" s="48">
        <f t="shared" si="37"/>
        <v>4.6785714285714288</v>
      </c>
      <c r="L318" s="48"/>
      <c r="M318" s="44">
        <f t="shared" si="38"/>
        <v>0</v>
      </c>
      <c r="N318" s="48"/>
      <c r="O318" s="48"/>
      <c r="P318" s="48"/>
      <c r="Q318" s="48"/>
      <c r="R318" s="48"/>
      <c r="S318" s="24"/>
      <c r="T318" s="24"/>
      <c r="U318" s="8">
        <f t="shared" si="39"/>
        <v>1</v>
      </c>
      <c r="V318" s="8">
        <f t="shared" si="40"/>
        <v>1900</v>
      </c>
    </row>
    <row r="319" spans="1:22">
      <c r="A319" s="44"/>
      <c r="B319" s="24"/>
      <c r="C319" s="24"/>
      <c r="D319" s="24"/>
      <c r="E319" s="24">
        <f t="shared" si="41"/>
        <v>0</v>
      </c>
      <c r="F319" s="24">
        <f t="shared" si="42"/>
        <v>0</v>
      </c>
      <c r="G319" s="47">
        <v>2.62</v>
      </c>
      <c r="H319" s="24">
        <f t="shared" si="43"/>
        <v>2.62</v>
      </c>
      <c r="K319" s="48">
        <f t="shared" si="37"/>
        <v>4.6785714285714288</v>
      </c>
      <c r="L319" s="48"/>
      <c r="M319" s="44">
        <f t="shared" si="38"/>
        <v>0</v>
      </c>
      <c r="N319" s="48"/>
      <c r="O319" s="48"/>
      <c r="P319" s="48"/>
      <c r="Q319" s="48"/>
      <c r="R319" s="48"/>
      <c r="S319" s="24"/>
      <c r="T319" s="24"/>
      <c r="U319" s="8">
        <f t="shared" si="39"/>
        <v>1</v>
      </c>
      <c r="V319" s="8">
        <f t="shared" si="40"/>
        <v>1900</v>
      </c>
    </row>
    <row r="320" spans="1:22">
      <c r="A320" s="44"/>
      <c r="B320" s="24"/>
      <c r="C320" s="24"/>
      <c r="D320" s="24"/>
      <c r="E320" s="24">
        <f t="shared" si="41"/>
        <v>0</v>
      </c>
      <c r="F320" s="24">
        <f t="shared" si="42"/>
        <v>0</v>
      </c>
      <c r="G320" s="47">
        <v>2.71</v>
      </c>
      <c r="H320" s="24">
        <f t="shared" si="43"/>
        <v>2.71</v>
      </c>
      <c r="K320" s="48">
        <f t="shared" ref="K320:K383" si="44">G320/56*100</f>
        <v>4.8392857142857144</v>
      </c>
      <c r="L320" s="48"/>
      <c r="M320" s="44">
        <f t="shared" si="38"/>
        <v>0</v>
      </c>
      <c r="N320" s="48"/>
      <c r="O320" s="48"/>
      <c r="P320" s="48"/>
      <c r="Q320" s="48"/>
      <c r="R320" s="48"/>
      <c r="S320" s="24"/>
      <c r="T320" s="24"/>
      <c r="U320" s="8">
        <f t="shared" si="39"/>
        <v>1</v>
      </c>
      <c r="V320" s="8">
        <f t="shared" si="40"/>
        <v>1900</v>
      </c>
    </row>
    <row r="321" spans="1:22">
      <c r="A321" s="44"/>
      <c r="B321" s="24"/>
      <c r="C321" s="24"/>
      <c r="D321" s="24"/>
      <c r="E321" s="24">
        <f t="shared" si="41"/>
        <v>0</v>
      </c>
      <c r="F321" s="24">
        <f t="shared" si="42"/>
        <v>0</v>
      </c>
      <c r="G321" s="47">
        <v>2.9</v>
      </c>
      <c r="H321" s="24">
        <f t="shared" si="43"/>
        <v>2.9</v>
      </c>
      <c r="K321" s="48">
        <f t="shared" si="44"/>
        <v>5.1785714285714279</v>
      </c>
      <c r="L321" s="48"/>
      <c r="M321" s="44">
        <f t="shared" si="38"/>
        <v>0</v>
      </c>
      <c r="N321" s="48"/>
      <c r="O321" s="48"/>
      <c r="P321" s="48"/>
      <c r="Q321" s="48"/>
      <c r="R321" s="48"/>
      <c r="S321" s="24"/>
      <c r="T321" s="24"/>
      <c r="U321" s="8">
        <f t="shared" si="39"/>
        <v>1</v>
      </c>
      <c r="V321" s="8">
        <f t="shared" si="40"/>
        <v>1900</v>
      </c>
    </row>
    <row r="322" spans="1:22">
      <c r="A322" s="44"/>
      <c r="B322" s="24"/>
      <c r="C322" s="24"/>
      <c r="D322" s="24"/>
      <c r="E322" s="24">
        <f t="shared" si="41"/>
        <v>0</v>
      </c>
      <c r="F322" s="24">
        <f t="shared" si="42"/>
        <v>0</v>
      </c>
      <c r="G322" s="47">
        <v>2.87</v>
      </c>
      <c r="H322" s="24">
        <f t="shared" si="43"/>
        <v>2.87</v>
      </c>
      <c r="K322" s="48">
        <f t="shared" si="44"/>
        <v>5.125</v>
      </c>
      <c r="L322" s="48"/>
      <c r="M322" s="44">
        <f t="shared" si="38"/>
        <v>0</v>
      </c>
      <c r="N322" s="48"/>
      <c r="O322" s="48"/>
      <c r="P322" s="48"/>
      <c r="Q322" s="48"/>
      <c r="R322" s="48"/>
      <c r="S322" s="24"/>
      <c r="T322" s="24"/>
      <c r="U322" s="8">
        <f t="shared" si="39"/>
        <v>1</v>
      </c>
      <c r="V322" s="8">
        <f t="shared" si="40"/>
        <v>1900</v>
      </c>
    </row>
    <row r="323" spans="1:22">
      <c r="A323" s="44"/>
      <c r="B323" s="24"/>
      <c r="C323" s="24"/>
      <c r="D323" s="24"/>
      <c r="E323" s="24">
        <f t="shared" si="41"/>
        <v>0</v>
      </c>
      <c r="F323" s="24">
        <f t="shared" si="42"/>
        <v>0</v>
      </c>
      <c r="G323" s="47">
        <v>2.74</v>
      </c>
      <c r="H323" s="24">
        <f t="shared" si="43"/>
        <v>2.74</v>
      </c>
      <c r="K323" s="48">
        <f t="shared" si="44"/>
        <v>4.8928571428571432</v>
      </c>
      <c r="L323" s="48"/>
      <c r="M323" s="44">
        <f t="shared" ref="M323:M386" si="45">A323</f>
        <v>0</v>
      </c>
      <c r="N323" s="48"/>
      <c r="O323" s="48"/>
      <c r="P323" s="48"/>
      <c r="Q323" s="48"/>
      <c r="R323" s="48"/>
      <c r="S323" s="24"/>
      <c r="T323" s="24"/>
      <c r="U323" s="8">
        <f t="shared" ref="U323:U386" si="46">MONTH(M323)</f>
        <v>1</v>
      </c>
      <c r="V323" s="8">
        <f t="shared" ref="V323:V386" si="47">YEAR(M323)</f>
        <v>1900</v>
      </c>
    </row>
    <row r="324" spans="1:22">
      <c r="A324" s="44"/>
      <c r="B324" s="24"/>
      <c r="C324" s="24"/>
      <c r="D324" s="24"/>
      <c r="E324" s="24">
        <f t="shared" si="41"/>
        <v>0</v>
      </c>
      <c r="F324" s="24">
        <f t="shared" si="42"/>
        <v>0</v>
      </c>
      <c r="G324" s="47">
        <v>2.59</v>
      </c>
      <c r="H324" s="24">
        <f t="shared" si="43"/>
        <v>2.59</v>
      </c>
      <c r="K324" s="48">
        <f t="shared" si="44"/>
        <v>4.625</v>
      </c>
      <c r="L324" s="48"/>
      <c r="M324" s="44">
        <f t="shared" si="45"/>
        <v>0</v>
      </c>
      <c r="N324" s="48"/>
      <c r="O324" s="48"/>
      <c r="P324" s="48"/>
      <c r="Q324" s="48"/>
      <c r="R324" s="48"/>
      <c r="S324" s="24"/>
      <c r="T324" s="24"/>
      <c r="U324" s="8">
        <f t="shared" si="46"/>
        <v>1</v>
      </c>
      <c r="V324" s="8">
        <f t="shared" si="47"/>
        <v>1900</v>
      </c>
    </row>
    <row r="325" spans="1:22">
      <c r="A325" s="44"/>
      <c r="B325" s="24"/>
      <c r="C325" s="24"/>
      <c r="D325" s="24"/>
      <c r="E325" s="24">
        <f t="shared" si="41"/>
        <v>0</v>
      </c>
      <c r="F325" s="24">
        <f t="shared" si="42"/>
        <v>0</v>
      </c>
      <c r="G325" s="47">
        <v>2.44</v>
      </c>
      <c r="H325" s="24">
        <f t="shared" si="43"/>
        <v>2.44</v>
      </c>
      <c r="K325" s="48">
        <f t="shared" si="44"/>
        <v>4.3571428571428577</v>
      </c>
      <c r="L325" s="48"/>
      <c r="M325" s="44">
        <f t="shared" si="45"/>
        <v>0</v>
      </c>
      <c r="N325" s="48"/>
      <c r="O325" s="48"/>
      <c r="P325" s="48"/>
      <c r="Q325" s="48"/>
      <c r="R325" s="48"/>
      <c r="S325" s="24"/>
      <c r="T325" s="24"/>
      <c r="U325" s="8">
        <f t="shared" si="46"/>
        <v>1</v>
      </c>
      <c r="V325" s="8">
        <f t="shared" si="47"/>
        <v>1900</v>
      </c>
    </row>
    <row r="326" spans="1:22">
      <c r="A326" s="44"/>
      <c r="B326" s="24"/>
      <c r="C326" s="24"/>
      <c r="D326" s="24"/>
      <c r="E326" s="24">
        <f t="shared" si="41"/>
        <v>0</v>
      </c>
      <c r="F326" s="24">
        <f t="shared" si="42"/>
        <v>0</v>
      </c>
      <c r="G326" s="47">
        <v>2.6</v>
      </c>
      <c r="H326" s="24">
        <f t="shared" si="43"/>
        <v>2.6</v>
      </c>
      <c r="K326" s="48">
        <f t="shared" si="44"/>
        <v>4.6428571428571432</v>
      </c>
      <c r="L326" s="48"/>
      <c r="M326" s="44">
        <f t="shared" si="45"/>
        <v>0</v>
      </c>
      <c r="N326" s="48"/>
      <c r="O326" s="48"/>
      <c r="P326" s="48"/>
      <c r="Q326" s="48"/>
      <c r="R326" s="48"/>
      <c r="S326" s="24"/>
      <c r="T326" s="24"/>
      <c r="U326" s="8">
        <f t="shared" si="46"/>
        <v>1</v>
      </c>
      <c r="V326" s="8">
        <f t="shared" si="47"/>
        <v>1900</v>
      </c>
    </row>
    <row r="327" spans="1:22">
      <c r="A327" s="44"/>
      <c r="B327" s="24"/>
      <c r="C327" s="24"/>
      <c r="D327" s="24"/>
      <c r="E327" s="24">
        <f t="shared" si="41"/>
        <v>0</v>
      </c>
      <c r="F327" s="24">
        <f t="shared" si="42"/>
        <v>0</v>
      </c>
      <c r="G327" s="47">
        <v>2.61</v>
      </c>
      <c r="H327" s="24">
        <f t="shared" si="43"/>
        <v>2.61</v>
      </c>
      <c r="K327" s="48">
        <f t="shared" si="44"/>
        <v>4.6607142857142856</v>
      </c>
      <c r="L327" s="48"/>
      <c r="M327" s="44">
        <f t="shared" si="45"/>
        <v>0</v>
      </c>
      <c r="N327" s="48"/>
      <c r="O327" s="48"/>
      <c r="P327" s="48"/>
      <c r="Q327" s="48"/>
      <c r="R327" s="48"/>
      <c r="S327" s="24"/>
      <c r="T327" s="24"/>
      <c r="U327" s="8">
        <f t="shared" si="46"/>
        <v>1</v>
      </c>
      <c r="V327" s="8">
        <f t="shared" si="47"/>
        <v>1900</v>
      </c>
    </row>
    <row r="328" spans="1:22">
      <c r="A328" s="44"/>
      <c r="B328" s="24"/>
      <c r="C328" s="24"/>
      <c r="D328" s="24"/>
      <c r="E328" s="24">
        <f t="shared" si="41"/>
        <v>0</v>
      </c>
      <c r="F328" s="24">
        <f t="shared" si="42"/>
        <v>0</v>
      </c>
      <c r="G328" s="47">
        <v>2.66</v>
      </c>
      <c r="H328" s="24">
        <f t="shared" si="43"/>
        <v>2.66</v>
      </c>
      <c r="K328" s="48">
        <f t="shared" si="44"/>
        <v>4.75</v>
      </c>
      <c r="L328" s="48"/>
      <c r="M328" s="44">
        <f t="shared" si="45"/>
        <v>0</v>
      </c>
      <c r="N328" s="48"/>
      <c r="O328" s="48"/>
      <c r="P328" s="48"/>
      <c r="Q328" s="48"/>
      <c r="R328" s="48"/>
      <c r="S328" s="24"/>
      <c r="T328" s="24"/>
      <c r="U328" s="8">
        <f t="shared" si="46"/>
        <v>1</v>
      </c>
      <c r="V328" s="8">
        <f t="shared" si="47"/>
        <v>1900</v>
      </c>
    </row>
    <row r="329" spans="1:22">
      <c r="A329" s="44"/>
      <c r="B329" s="24"/>
      <c r="C329" s="24"/>
      <c r="D329" s="24"/>
      <c r="E329" s="24">
        <f t="shared" si="41"/>
        <v>0</v>
      </c>
      <c r="F329" s="24">
        <f t="shared" si="42"/>
        <v>0</v>
      </c>
      <c r="G329" s="47">
        <v>2.7</v>
      </c>
      <c r="H329" s="24">
        <f t="shared" si="43"/>
        <v>2.7</v>
      </c>
      <c r="K329" s="48">
        <f t="shared" si="44"/>
        <v>4.8214285714285721</v>
      </c>
      <c r="L329" s="48"/>
      <c r="M329" s="44">
        <f t="shared" si="45"/>
        <v>0</v>
      </c>
      <c r="N329" s="48"/>
      <c r="O329" s="48"/>
      <c r="P329" s="48"/>
      <c r="Q329" s="48"/>
      <c r="R329" s="48"/>
      <c r="S329" s="24"/>
      <c r="T329" s="24"/>
      <c r="U329" s="8">
        <f t="shared" si="46"/>
        <v>1</v>
      </c>
      <c r="V329" s="8">
        <f t="shared" si="47"/>
        <v>1900</v>
      </c>
    </row>
    <row r="330" spans="1:22">
      <c r="A330" s="44"/>
      <c r="B330" s="24"/>
      <c r="C330" s="24"/>
      <c r="D330" s="24"/>
      <c r="E330" s="24">
        <f t="shared" si="41"/>
        <v>0</v>
      </c>
      <c r="F330" s="24">
        <f t="shared" si="42"/>
        <v>0</v>
      </c>
      <c r="G330" s="47">
        <v>2.6</v>
      </c>
      <c r="H330" s="24">
        <f t="shared" si="43"/>
        <v>2.6</v>
      </c>
      <c r="K330" s="48">
        <f t="shared" si="44"/>
        <v>4.6428571428571432</v>
      </c>
      <c r="L330" s="48"/>
      <c r="M330" s="44">
        <f t="shared" si="45"/>
        <v>0</v>
      </c>
      <c r="N330" s="48"/>
      <c r="O330" s="48"/>
      <c r="P330" s="48"/>
      <c r="Q330" s="48"/>
      <c r="R330" s="48"/>
      <c r="S330" s="24"/>
      <c r="T330" s="24"/>
      <c r="U330" s="8">
        <f t="shared" si="46"/>
        <v>1</v>
      </c>
      <c r="V330" s="8">
        <f t="shared" si="47"/>
        <v>1900</v>
      </c>
    </row>
    <row r="331" spans="1:22">
      <c r="A331" s="44"/>
      <c r="B331" s="24"/>
      <c r="C331" s="24"/>
      <c r="D331" s="24"/>
      <c r="E331" s="24">
        <f t="shared" ref="E331:E394" si="48">B331-D331</f>
        <v>0</v>
      </c>
      <c r="F331" s="24">
        <f t="shared" ref="F331:F394" si="49">C331-D331</f>
        <v>0</v>
      </c>
      <c r="G331" s="47">
        <v>2.6</v>
      </c>
      <c r="H331" s="24">
        <f t="shared" si="43"/>
        <v>2.6</v>
      </c>
      <c r="K331" s="48">
        <f t="shared" si="44"/>
        <v>4.6428571428571432</v>
      </c>
      <c r="L331" s="48"/>
      <c r="M331" s="44">
        <f t="shared" si="45"/>
        <v>0</v>
      </c>
      <c r="N331" s="48"/>
      <c r="O331" s="48"/>
      <c r="P331" s="48"/>
      <c r="Q331" s="48"/>
      <c r="R331" s="48"/>
      <c r="S331" s="24"/>
      <c r="T331" s="24"/>
      <c r="U331" s="8">
        <f t="shared" si="46"/>
        <v>1</v>
      </c>
      <c r="V331" s="8">
        <f t="shared" si="47"/>
        <v>1900</v>
      </c>
    </row>
    <row r="332" spans="1:22">
      <c r="A332" s="44"/>
      <c r="B332" s="24"/>
      <c r="C332" s="24"/>
      <c r="D332" s="24"/>
      <c r="E332" s="24">
        <f t="shared" si="48"/>
        <v>0</v>
      </c>
      <c r="F332" s="24">
        <f t="shared" si="49"/>
        <v>0</v>
      </c>
      <c r="G332" s="47">
        <v>2.58</v>
      </c>
      <c r="H332" s="24">
        <f t="shared" si="43"/>
        <v>2.58</v>
      </c>
      <c r="K332" s="48">
        <f t="shared" si="44"/>
        <v>4.6071428571428577</v>
      </c>
      <c r="L332" s="48"/>
      <c r="M332" s="44">
        <f t="shared" si="45"/>
        <v>0</v>
      </c>
      <c r="N332" s="48"/>
      <c r="O332" s="48"/>
      <c r="P332" s="48"/>
      <c r="Q332" s="48"/>
      <c r="R332" s="48"/>
      <c r="S332" s="24"/>
      <c r="T332" s="24"/>
      <c r="U332" s="8">
        <f t="shared" si="46"/>
        <v>1</v>
      </c>
      <c r="V332" s="8">
        <f t="shared" si="47"/>
        <v>1900</v>
      </c>
    </row>
    <row r="333" spans="1:22">
      <c r="A333" s="44"/>
      <c r="B333" s="24"/>
      <c r="C333" s="24"/>
      <c r="D333" s="24"/>
      <c r="E333" s="24">
        <f t="shared" si="48"/>
        <v>0</v>
      </c>
      <c r="F333" s="24">
        <f t="shared" si="49"/>
        <v>0</v>
      </c>
      <c r="G333" s="47">
        <v>2.59</v>
      </c>
      <c r="H333" s="24">
        <f t="shared" si="43"/>
        <v>2.59</v>
      </c>
      <c r="K333" s="48">
        <f t="shared" si="44"/>
        <v>4.625</v>
      </c>
      <c r="L333" s="48"/>
      <c r="M333" s="44">
        <f t="shared" si="45"/>
        <v>0</v>
      </c>
      <c r="N333" s="48"/>
      <c r="O333" s="48"/>
      <c r="P333" s="48"/>
      <c r="Q333" s="48"/>
      <c r="R333" s="48"/>
      <c r="S333" s="24"/>
      <c r="T333" s="24"/>
      <c r="U333" s="8">
        <f t="shared" si="46"/>
        <v>1</v>
      </c>
      <c r="V333" s="8">
        <f t="shared" si="47"/>
        <v>1900</v>
      </c>
    </row>
    <row r="334" spans="1:22">
      <c r="A334" s="44"/>
      <c r="B334" s="24"/>
      <c r="C334" s="24"/>
      <c r="D334" s="24"/>
      <c r="E334" s="24">
        <f t="shared" si="48"/>
        <v>0</v>
      </c>
      <c r="F334" s="24">
        <f t="shared" si="49"/>
        <v>0</v>
      </c>
      <c r="G334" s="47">
        <v>2.41</v>
      </c>
      <c r="H334" s="24">
        <f t="shared" si="43"/>
        <v>2.41</v>
      </c>
      <c r="K334" s="48">
        <f t="shared" si="44"/>
        <v>4.3035714285714288</v>
      </c>
      <c r="L334" s="48"/>
      <c r="M334" s="44">
        <f t="shared" si="45"/>
        <v>0</v>
      </c>
      <c r="N334" s="48"/>
      <c r="O334" s="48"/>
      <c r="P334" s="48"/>
      <c r="Q334" s="48"/>
      <c r="R334" s="48"/>
      <c r="S334" s="24"/>
      <c r="T334" s="24"/>
      <c r="U334" s="8">
        <f t="shared" si="46"/>
        <v>1</v>
      </c>
      <c r="V334" s="8">
        <f t="shared" si="47"/>
        <v>1900</v>
      </c>
    </row>
    <row r="335" spans="1:22">
      <c r="A335" s="44"/>
      <c r="B335" s="24"/>
      <c r="C335" s="24"/>
      <c r="D335" s="24"/>
      <c r="E335" s="24">
        <f t="shared" si="48"/>
        <v>0</v>
      </c>
      <c r="F335" s="24">
        <f t="shared" si="49"/>
        <v>0</v>
      </c>
      <c r="G335" s="47">
        <v>2.37</v>
      </c>
      <c r="H335" s="24">
        <f t="shared" si="43"/>
        <v>2.37</v>
      </c>
      <c r="K335" s="48">
        <f t="shared" si="44"/>
        <v>4.2321428571428577</v>
      </c>
      <c r="L335" s="48"/>
      <c r="M335" s="44">
        <f t="shared" si="45"/>
        <v>0</v>
      </c>
      <c r="N335" s="48"/>
      <c r="O335" s="48"/>
      <c r="P335" s="48"/>
      <c r="Q335" s="48"/>
      <c r="R335" s="48"/>
      <c r="S335" s="24"/>
      <c r="T335" s="24"/>
      <c r="U335" s="8">
        <f t="shared" si="46"/>
        <v>1</v>
      </c>
      <c r="V335" s="8">
        <f t="shared" si="47"/>
        <v>1900</v>
      </c>
    </row>
    <row r="336" spans="1:22">
      <c r="A336" s="44"/>
      <c r="B336" s="24"/>
      <c r="C336" s="24"/>
      <c r="D336" s="24"/>
      <c r="E336" s="24">
        <f t="shared" si="48"/>
        <v>0</v>
      </c>
      <c r="F336" s="24">
        <f t="shared" si="49"/>
        <v>0</v>
      </c>
      <c r="G336" s="47">
        <v>2.29</v>
      </c>
      <c r="H336" s="24">
        <f t="shared" si="43"/>
        <v>2.29</v>
      </c>
      <c r="K336" s="48">
        <f t="shared" si="44"/>
        <v>4.0892857142857144</v>
      </c>
      <c r="L336" s="48"/>
      <c r="M336" s="44">
        <f t="shared" si="45"/>
        <v>0</v>
      </c>
      <c r="N336" s="48"/>
      <c r="O336" s="48"/>
      <c r="P336" s="48"/>
      <c r="Q336" s="48"/>
      <c r="R336" s="48"/>
      <c r="S336" s="24"/>
      <c r="T336" s="24"/>
      <c r="U336" s="8">
        <f t="shared" si="46"/>
        <v>1</v>
      </c>
      <c r="V336" s="8">
        <f t="shared" si="47"/>
        <v>1900</v>
      </c>
    </row>
    <row r="337" spans="1:22">
      <c r="A337" s="44"/>
      <c r="B337" s="24"/>
      <c r="C337" s="24"/>
      <c r="D337" s="24"/>
      <c r="E337" s="24">
        <f t="shared" si="48"/>
        <v>0</v>
      </c>
      <c r="F337" s="24">
        <f t="shared" si="49"/>
        <v>0</v>
      </c>
      <c r="G337" s="47">
        <v>2.16</v>
      </c>
      <c r="H337" s="24">
        <f t="shared" si="43"/>
        <v>2.16</v>
      </c>
      <c r="K337" s="48">
        <f t="shared" si="44"/>
        <v>3.8571428571428577</v>
      </c>
      <c r="L337" s="48"/>
      <c r="M337" s="44">
        <f t="shared" si="45"/>
        <v>0</v>
      </c>
      <c r="N337" s="48"/>
      <c r="O337" s="48"/>
      <c r="P337" s="48"/>
      <c r="Q337" s="48"/>
      <c r="R337" s="48"/>
      <c r="S337" s="24"/>
      <c r="T337" s="24"/>
      <c r="U337" s="8">
        <f t="shared" si="46"/>
        <v>1</v>
      </c>
      <c r="V337" s="8">
        <f t="shared" si="47"/>
        <v>1900</v>
      </c>
    </row>
    <row r="338" spans="1:22">
      <c r="A338" s="44"/>
      <c r="B338" s="24"/>
      <c r="C338" s="24"/>
      <c r="D338" s="24"/>
      <c r="E338" s="24">
        <f t="shared" si="48"/>
        <v>0</v>
      </c>
      <c r="F338" s="24">
        <f t="shared" si="49"/>
        <v>0</v>
      </c>
      <c r="G338" s="47">
        <v>1.86</v>
      </c>
      <c r="H338" s="24">
        <f t="shared" si="43"/>
        <v>1.86</v>
      </c>
      <c r="K338" s="48">
        <f t="shared" si="44"/>
        <v>3.3214285714285716</v>
      </c>
      <c r="L338" s="48"/>
      <c r="M338" s="44">
        <f t="shared" si="45"/>
        <v>0</v>
      </c>
      <c r="N338" s="48"/>
      <c r="O338" s="48"/>
      <c r="P338" s="48"/>
      <c r="Q338" s="48"/>
      <c r="R338" s="48"/>
      <c r="S338" s="24"/>
      <c r="T338" s="24"/>
      <c r="U338" s="8">
        <f t="shared" si="46"/>
        <v>1</v>
      </c>
      <c r="V338" s="8">
        <f t="shared" si="47"/>
        <v>1900</v>
      </c>
    </row>
    <row r="339" spans="1:22">
      <c r="A339" s="44"/>
      <c r="B339" s="24"/>
      <c r="C339" s="24"/>
      <c r="D339" s="24"/>
      <c r="E339" s="24">
        <f t="shared" si="48"/>
        <v>0</v>
      </c>
      <c r="F339" s="24">
        <f t="shared" si="49"/>
        <v>0</v>
      </c>
      <c r="G339" s="47">
        <v>1.78</v>
      </c>
      <c r="H339" s="24">
        <f t="shared" si="43"/>
        <v>1.78</v>
      </c>
      <c r="K339" s="48">
        <f t="shared" si="44"/>
        <v>3.1785714285714284</v>
      </c>
      <c r="L339" s="48"/>
      <c r="M339" s="44">
        <f t="shared" si="45"/>
        <v>0</v>
      </c>
      <c r="N339" s="48"/>
      <c r="O339" s="48"/>
      <c r="P339" s="48"/>
      <c r="Q339" s="48"/>
      <c r="R339" s="48"/>
      <c r="S339" s="24"/>
      <c r="T339" s="24"/>
      <c r="U339" s="8">
        <f t="shared" si="46"/>
        <v>1</v>
      </c>
      <c r="V339" s="8">
        <f t="shared" si="47"/>
        <v>1900</v>
      </c>
    </row>
    <row r="340" spans="1:22">
      <c r="A340" s="44"/>
      <c r="B340" s="24"/>
      <c r="C340" s="24"/>
      <c r="D340" s="24"/>
      <c r="E340" s="24">
        <f t="shared" si="48"/>
        <v>0</v>
      </c>
      <c r="F340" s="24">
        <f t="shared" si="49"/>
        <v>0</v>
      </c>
      <c r="G340" s="47">
        <v>1.94</v>
      </c>
      <c r="H340" s="24">
        <f t="shared" si="43"/>
        <v>1.94</v>
      </c>
      <c r="K340" s="48">
        <f t="shared" si="44"/>
        <v>3.4642857142857144</v>
      </c>
      <c r="L340" s="48"/>
      <c r="M340" s="44">
        <f t="shared" si="45"/>
        <v>0</v>
      </c>
      <c r="N340" s="48"/>
      <c r="O340" s="48"/>
      <c r="P340" s="48"/>
      <c r="Q340" s="48"/>
      <c r="R340" s="48"/>
      <c r="S340" s="24"/>
      <c r="T340" s="24"/>
      <c r="U340" s="8">
        <f t="shared" si="46"/>
        <v>1</v>
      </c>
      <c r="V340" s="8">
        <f t="shared" si="47"/>
        <v>1900</v>
      </c>
    </row>
    <row r="341" spans="1:22">
      <c r="A341" s="44"/>
      <c r="B341" s="24"/>
      <c r="C341" s="24"/>
      <c r="D341" s="24"/>
      <c r="E341" s="24">
        <f t="shared" si="48"/>
        <v>0</v>
      </c>
      <c r="F341" s="24">
        <f t="shared" si="49"/>
        <v>0</v>
      </c>
      <c r="G341" s="47">
        <v>2.09</v>
      </c>
      <c r="H341" s="24">
        <f t="shared" si="43"/>
        <v>2.09</v>
      </c>
      <c r="K341" s="48">
        <f t="shared" si="44"/>
        <v>3.7321428571428568</v>
      </c>
      <c r="L341" s="48"/>
      <c r="M341" s="44">
        <f t="shared" si="45"/>
        <v>0</v>
      </c>
      <c r="N341" s="48"/>
      <c r="O341" s="48"/>
      <c r="P341" s="48"/>
      <c r="Q341" s="48"/>
      <c r="R341" s="48"/>
      <c r="S341" s="24"/>
      <c r="T341" s="24"/>
      <c r="U341" s="8">
        <f t="shared" si="46"/>
        <v>1</v>
      </c>
      <c r="V341" s="8">
        <f t="shared" si="47"/>
        <v>1900</v>
      </c>
    </row>
    <row r="342" spans="1:22">
      <c r="A342" s="44"/>
      <c r="B342" s="24"/>
      <c r="C342" s="24"/>
      <c r="D342" s="24"/>
      <c r="E342" s="24">
        <f t="shared" si="48"/>
        <v>0</v>
      </c>
      <c r="F342" s="24">
        <f t="shared" si="49"/>
        <v>0</v>
      </c>
      <c r="G342" s="47">
        <v>2.08</v>
      </c>
      <c r="H342" s="24">
        <f t="shared" si="43"/>
        <v>2.08</v>
      </c>
      <c r="K342" s="48">
        <f t="shared" si="44"/>
        <v>3.7142857142857144</v>
      </c>
      <c r="L342" s="48"/>
      <c r="M342" s="44">
        <f t="shared" si="45"/>
        <v>0</v>
      </c>
      <c r="N342" s="48"/>
      <c r="O342" s="48"/>
      <c r="P342" s="48"/>
      <c r="Q342" s="48"/>
      <c r="R342" s="48"/>
      <c r="S342" s="24"/>
      <c r="T342" s="24"/>
      <c r="U342" s="8">
        <f t="shared" si="46"/>
        <v>1</v>
      </c>
      <c r="V342" s="8">
        <f t="shared" si="47"/>
        <v>1900</v>
      </c>
    </row>
    <row r="343" spans="1:22">
      <c r="A343" s="44"/>
      <c r="B343" s="24"/>
      <c r="C343" s="24"/>
      <c r="D343" s="24"/>
      <c r="E343" s="24">
        <f t="shared" si="48"/>
        <v>0</v>
      </c>
      <c r="F343" s="24">
        <f t="shared" si="49"/>
        <v>0</v>
      </c>
      <c r="G343" s="47">
        <v>2.0699999999999998</v>
      </c>
      <c r="H343" s="24">
        <f t="shared" si="43"/>
        <v>2.0699999999999998</v>
      </c>
      <c r="K343" s="48">
        <f t="shared" si="44"/>
        <v>3.6964285714285712</v>
      </c>
      <c r="L343" s="48"/>
      <c r="M343" s="44">
        <f t="shared" si="45"/>
        <v>0</v>
      </c>
      <c r="N343" s="48"/>
      <c r="O343" s="48"/>
      <c r="P343" s="48"/>
      <c r="Q343" s="48"/>
      <c r="R343" s="48"/>
      <c r="S343" s="24"/>
      <c r="T343" s="24"/>
      <c r="U343" s="8">
        <f t="shared" si="46"/>
        <v>1</v>
      </c>
      <c r="V343" s="8">
        <f t="shared" si="47"/>
        <v>1900</v>
      </c>
    </row>
    <row r="344" spans="1:22">
      <c r="A344" s="44"/>
      <c r="B344" s="24"/>
      <c r="C344" s="24"/>
      <c r="D344" s="24"/>
      <c r="E344" s="24">
        <f t="shared" si="48"/>
        <v>0</v>
      </c>
      <c r="F344" s="24">
        <f t="shared" si="49"/>
        <v>0</v>
      </c>
      <c r="G344" s="47">
        <v>2.0499999999999998</v>
      </c>
      <c r="H344" s="24">
        <f t="shared" si="43"/>
        <v>2.0499999999999998</v>
      </c>
      <c r="K344" s="48">
        <f t="shared" si="44"/>
        <v>3.6607142857142851</v>
      </c>
      <c r="L344" s="48"/>
      <c r="M344" s="44">
        <f t="shared" si="45"/>
        <v>0</v>
      </c>
      <c r="N344" s="48"/>
      <c r="O344" s="48"/>
      <c r="P344" s="48"/>
      <c r="Q344" s="48"/>
      <c r="R344" s="48"/>
      <c r="S344" s="24"/>
      <c r="T344" s="24"/>
      <c r="U344" s="8">
        <f t="shared" si="46"/>
        <v>1</v>
      </c>
      <c r="V344" s="8">
        <f t="shared" si="47"/>
        <v>1900</v>
      </c>
    </row>
    <row r="345" spans="1:22">
      <c r="A345" s="44"/>
      <c r="B345" s="24"/>
      <c r="C345" s="24"/>
      <c r="D345" s="24"/>
      <c r="E345" s="24">
        <f t="shared" si="48"/>
        <v>0</v>
      </c>
      <c r="F345" s="24">
        <f t="shared" si="49"/>
        <v>0</v>
      </c>
      <c r="G345" s="47">
        <v>2.09</v>
      </c>
      <c r="H345" s="24">
        <f t="shared" si="43"/>
        <v>2.09</v>
      </c>
      <c r="K345" s="48">
        <f t="shared" si="44"/>
        <v>3.7321428571428568</v>
      </c>
      <c r="L345" s="48"/>
      <c r="M345" s="44">
        <f t="shared" si="45"/>
        <v>0</v>
      </c>
      <c r="N345" s="48"/>
      <c r="O345" s="48"/>
      <c r="P345" s="48"/>
      <c r="Q345" s="48"/>
      <c r="R345" s="48"/>
      <c r="S345" s="24"/>
      <c r="T345" s="24"/>
      <c r="U345" s="8">
        <f t="shared" si="46"/>
        <v>1</v>
      </c>
      <c r="V345" s="8">
        <f t="shared" si="47"/>
        <v>1900</v>
      </c>
    </row>
    <row r="346" spans="1:22">
      <c r="A346" s="44"/>
      <c r="B346" s="24"/>
      <c r="C346" s="24"/>
      <c r="D346" s="24"/>
      <c r="E346" s="24">
        <f t="shared" si="48"/>
        <v>0</v>
      </c>
      <c r="F346" s="24">
        <f t="shared" si="49"/>
        <v>0</v>
      </c>
      <c r="G346" s="47">
        <v>2.0499999999999998</v>
      </c>
      <c r="H346" s="24">
        <f t="shared" si="43"/>
        <v>2.0499999999999998</v>
      </c>
      <c r="K346" s="48">
        <f t="shared" si="44"/>
        <v>3.6607142857142851</v>
      </c>
      <c r="L346" s="48"/>
      <c r="M346" s="44">
        <f t="shared" si="45"/>
        <v>0</v>
      </c>
      <c r="N346" s="48"/>
      <c r="O346" s="48"/>
      <c r="P346" s="48"/>
      <c r="Q346" s="48"/>
      <c r="R346" s="48"/>
      <c r="S346" s="24"/>
      <c r="T346" s="24"/>
      <c r="U346" s="8">
        <f t="shared" si="46"/>
        <v>1</v>
      </c>
      <c r="V346" s="8">
        <f t="shared" si="47"/>
        <v>1900</v>
      </c>
    </row>
    <row r="347" spans="1:22">
      <c r="A347" s="44"/>
      <c r="B347" s="24"/>
      <c r="C347" s="24"/>
      <c r="D347" s="24"/>
      <c r="E347" s="24">
        <f t="shared" si="48"/>
        <v>0</v>
      </c>
      <c r="F347" s="24">
        <f t="shared" si="49"/>
        <v>0</v>
      </c>
      <c r="G347" s="47">
        <v>2.0299999999999998</v>
      </c>
      <c r="H347" s="24">
        <f t="shared" si="43"/>
        <v>2.0299999999999998</v>
      </c>
      <c r="K347" s="48">
        <f t="shared" si="44"/>
        <v>3.6249999999999996</v>
      </c>
      <c r="L347" s="48"/>
      <c r="M347" s="44">
        <f t="shared" si="45"/>
        <v>0</v>
      </c>
      <c r="N347" s="48"/>
      <c r="O347" s="48"/>
      <c r="P347" s="48"/>
      <c r="Q347" s="48"/>
      <c r="R347" s="48"/>
      <c r="S347" s="24"/>
      <c r="T347" s="24"/>
      <c r="U347" s="8">
        <f t="shared" si="46"/>
        <v>1</v>
      </c>
      <c r="V347" s="8">
        <f t="shared" si="47"/>
        <v>1900</v>
      </c>
    </row>
    <row r="348" spans="1:22">
      <c r="A348" s="44"/>
      <c r="B348" s="24"/>
      <c r="C348" s="24"/>
      <c r="D348" s="24"/>
      <c r="E348" s="24">
        <f t="shared" si="48"/>
        <v>0</v>
      </c>
      <c r="F348" s="24">
        <f t="shared" si="49"/>
        <v>0</v>
      </c>
      <c r="G348" s="47">
        <v>1.99</v>
      </c>
      <c r="H348" s="24">
        <f t="shared" si="43"/>
        <v>1.99</v>
      </c>
      <c r="K348" s="48">
        <f t="shared" si="44"/>
        <v>3.5535714285714288</v>
      </c>
      <c r="L348" s="48"/>
      <c r="M348" s="44">
        <f t="shared" si="45"/>
        <v>0</v>
      </c>
      <c r="N348" s="48"/>
      <c r="O348" s="48"/>
      <c r="P348" s="48"/>
      <c r="Q348" s="48"/>
      <c r="R348" s="48"/>
      <c r="S348" s="24"/>
      <c r="T348" s="24"/>
      <c r="U348" s="8">
        <f t="shared" si="46"/>
        <v>1</v>
      </c>
      <c r="V348" s="8">
        <f t="shared" si="47"/>
        <v>1900</v>
      </c>
    </row>
    <row r="349" spans="1:22">
      <c r="A349" s="44"/>
      <c r="B349" s="24"/>
      <c r="C349" s="24"/>
      <c r="D349" s="24"/>
      <c r="E349" s="24">
        <f t="shared" si="48"/>
        <v>0</v>
      </c>
      <c r="F349" s="24">
        <f t="shared" si="49"/>
        <v>0</v>
      </c>
      <c r="G349" s="47">
        <v>1.67</v>
      </c>
      <c r="H349" s="24">
        <f t="shared" si="43"/>
        <v>1.67</v>
      </c>
      <c r="K349" s="48">
        <f t="shared" si="44"/>
        <v>2.9821428571428572</v>
      </c>
      <c r="L349" s="48"/>
      <c r="M349" s="44">
        <f t="shared" si="45"/>
        <v>0</v>
      </c>
      <c r="N349" s="48"/>
      <c r="O349" s="48"/>
      <c r="P349" s="48"/>
      <c r="Q349" s="48"/>
      <c r="R349" s="48"/>
      <c r="S349" s="24"/>
      <c r="T349" s="24"/>
      <c r="U349" s="8">
        <f t="shared" si="46"/>
        <v>1</v>
      </c>
      <c r="V349" s="8">
        <f t="shared" si="47"/>
        <v>1900</v>
      </c>
    </row>
    <row r="350" spans="1:22">
      <c r="A350" s="44"/>
      <c r="B350" s="24"/>
      <c r="C350" s="24"/>
      <c r="D350" s="24"/>
      <c r="E350" s="24">
        <f t="shared" si="48"/>
        <v>0</v>
      </c>
      <c r="F350" s="24">
        <f t="shared" si="49"/>
        <v>0</v>
      </c>
      <c r="G350" s="47">
        <v>1.84</v>
      </c>
      <c r="H350" s="24">
        <f t="shared" si="43"/>
        <v>1.84</v>
      </c>
      <c r="K350" s="48">
        <f t="shared" si="44"/>
        <v>3.2857142857142856</v>
      </c>
      <c r="L350" s="48"/>
      <c r="M350" s="44">
        <f t="shared" si="45"/>
        <v>0</v>
      </c>
      <c r="N350" s="48"/>
      <c r="O350" s="48"/>
      <c r="P350" s="48"/>
      <c r="Q350" s="48"/>
      <c r="R350" s="48"/>
      <c r="S350" s="24"/>
      <c r="T350" s="24"/>
      <c r="U350" s="8">
        <f t="shared" si="46"/>
        <v>1</v>
      </c>
      <c r="V350" s="8">
        <f t="shared" si="47"/>
        <v>1900</v>
      </c>
    </row>
    <row r="351" spans="1:22">
      <c r="A351" s="44"/>
      <c r="B351" s="24"/>
      <c r="C351" s="24"/>
      <c r="D351" s="24"/>
      <c r="E351" s="24">
        <f t="shared" si="48"/>
        <v>0</v>
      </c>
      <c r="F351" s="24">
        <f t="shared" si="49"/>
        <v>0</v>
      </c>
      <c r="G351" s="47">
        <v>1.81</v>
      </c>
      <c r="H351" s="24">
        <f t="shared" si="43"/>
        <v>1.81</v>
      </c>
      <c r="K351" s="48">
        <f t="shared" si="44"/>
        <v>3.2321428571428572</v>
      </c>
      <c r="L351" s="48"/>
      <c r="M351" s="44">
        <f t="shared" si="45"/>
        <v>0</v>
      </c>
      <c r="N351" s="48"/>
      <c r="O351" s="48"/>
      <c r="P351" s="48"/>
      <c r="Q351" s="48"/>
      <c r="R351" s="48"/>
      <c r="S351" s="24"/>
      <c r="T351" s="24"/>
      <c r="U351" s="8">
        <f t="shared" si="46"/>
        <v>1</v>
      </c>
      <c r="V351" s="8">
        <f t="shared" si="47"/>
        <v>1900</v>
      </c>
    </row>
    <row r="352" spans="1:22">
      <c r="A352" s="44"/>
      <c r="B352" s="24"/>
      <c r="C352" s="24"/>
      <c r="D352" s="24"/>
      <c r="E352" s="24">
        <f t="shared" si="48"/>
        <v>0</v>
      </c>
      <c r="F352" s="24">
        <f t="shared" si="49"/>
        <v>0</v>
      </c>
      <c r="G352" s="47">
        <v>1.72</v>
      </c>
      <c r="H352" s="24">
        <f t="shared" si="43"/>
        <v>1.72</v>
      </c>
      <c r="K352" s="48">
        <f t="shared" si="44"/>
        <v>3.0714285714285716</v>
      </c>
      <c r="L352" s="48"/>
      <c r="M352" s="44">
        <f t="shared" si="45"/>
        <v>0</v>
      </c>
      <c r="N352" s="48"/>
      <c r="O352" s="48"/>
      <c r="P352" s="48"/>
      <c r="Q352" s="48"/>
      <c r="R352" s="48"/>
      <c r="S352" s="24"/>
      <c r="T352" s="24"/>
      <c r="U352" s="8">
        <f t="shared" si="46"/>
        <v>1</v>
      </c>
      <c r="V352" s="8">
        <f t="shared" si="47"/>
        <v>1900</v>
      </c>
    </row>
    <row r="353" spans="1:23">
      <c r="A353" s="44"/>
      <c r="B353" s="24"/>
      <c r="C353" s="24"/>
      <c r="D353" s="24"/>
      <c r="E353" s="24">
        <f t="shared" si="48"/>
        <v>0</v>
      </c>
      <c r="F353" s="24">
        <f t="shared" si="49"/>
        <v>0</v>
      </c>
      <c r="G353" s="47">
        <v>1.82</v>
      </c>
      <c r="H353" s="24">
        <f t="shared" si="43"/>
        <v>1.82</v>
      </c>
      <c r="K353" s="48">
        <f t="shared" si="44"/>
        <v>3.25</v>
      </c>
      <c r="L353" s="48"/>
      <c r="M353" s="44">
        <f t="shared" si="45"/>
        <v>0</v>
      </c>
      <c r="N353" s="48"/>
      <c r="O353" s="48"/>
      <c r="P353" s="48"/>
      <c r="Q353" s="48"/>
      <c r="R353" s="48"/>
      <c r="S353" s="24"/>
      <c r="T353" s="24"/>
      <c r="U353" s="8">
        <f t="shared" si="46"/>
        <v>1</v>
      </c>
      <c r="V353" s="8">
        <f t="shared" si="47"/>
        <v>1900</v>
      </c>
    </row>
    <row r="354" spans="1:23">
      <c r="A354" s="44"/>
      <c r="B354" s="24"/>
      <c r="C354" s="24"/>
      <c r="D354" s="24"/>
      <c r="E354" s="24">
        <f t="shared" si="48"/>
        <v>0</v>
      </c>
      <c r="F354" s="24">
        <f t="shared" si="49"/>
        <v>0</v>
      </c>
      <c r="G354" s="47">
        <v>1.84</v>
      </c>
      <c r="H354" s="24">
        <f t="shared" si="43"/>
        <v>1.84</v>
      </c>
      <c r="K354" s="48">
        <f t="shared" si="44"/>
        <v>3.2857142857142856</v>
      </c>
      <c r="L354" s="48"/>
      <c r="M354" s="44">
        <f t="shared" si="45"/>
        <v>0</v>
      </c>
      <c r="N354" s="48"/>
      <c r="O354" s="48"/>
      <c r="P354" s="48"/>
      <c r="Q354" s="48"/>
      <c r="R354" s="48"/>
      <c r="S354" s="24"/>
      <c r="T354" s="24"/>
      <c r="U354" s="8">
        <f t="shared" si="46"/>
        <v>1</v>
      </c>
      <c r="V354" s="8">
        <f t="shared" si="47"/>
        <v>1900</v>
      </c>
    </row>
    <row r="355" spans="1:23">
      <c r="A355" s="44"/>
      <c r="B355" s="24"/>
      <c r="C355" s="24"/>
      <c r="D355" s="24"/>
      <c r="E355" s="24">
        <f t="shared" si="48"/>
        <v>0</v>
      </c>
      <c r="F355" s="24">
        <f t="shared" si="49"/>
        <v>0</v>
      </c>
      <c r="G355" s="47">
        <v>1.95</v>
      </c>
      <c r="H355" s="24">
        <f t="shared" si="43"/>
        <v>1.95</v>
      </c>
      <c r="K355" s="48">
        <f t="shared" si="44"/>
        <v>3.4821428571428572</v>
      </c>
      <c r="L355" s="48"/>
      <c r="M355" s="44">
        <f t="shared" si="45"/>
        <v>0</v>
      </c>
      <c r="N355" s="24" t="e">
        <v>#VALUE!</v>
      </c>
      <c r="O355" s="24" t="e">
        <v>#VALUE!</v>
      </c>
      <c r="P355" s="24" t="e">
        <v>#VALUE!</v>
      </c>
      <c r="Q355" s="24" t="e">
        <f>N355-P355</f>
        <v>#VALUE!</v>
      </c>
      <c r="R355" s="24" t="e">
        <f>O355-P355</f>
        <v>#VALUE!</v>
      </c>
      <c r="S355" s="24" t="e">
        <f t="shared" ref="S355:S418" si="50">P355/39.3679/W355</f>
        <v>#VALUE!</v>
      </c>
      <c r="T355" s="24" t="e">
        <f>S355-D355</f>
        <v>#VALUE!</v>
      </c>
      <c r="U355" s="8">
        <f t="shared" si="46"/>
        <v>1</v>
      </c>
      <c r="V355" s="8">
        <f t="shared" si="47"/>
        <v>1900</v>
      </c>
      <c r="W355" s="24">
        <v>1.0127157894736842</v>
      </c>
    </row>
    <row r="356" spans="1:23">
      <c r="A356" s="44"/>
      <c r="B356" s="24"/>
      <c r="C356" s="24"/>
      <c r="D356" s="24"/>
      <c r="E356" s="24">
        <f t="shared" si="48"/>
        <v>0</v>
      </c>
      <c r="F356" s="24">
        <f t="shared" si="49"/>
        <v>0</v>
      </c>
      <c r="G356" s="47">
        <v>2.0299999999999998</v>
      </c>
      <c r="H356" s="24">
        <f t="shared" si="43"/>
        <v>2.0299999999999998</v>
      </c>
      <c r="K356" s="48">
        <f t="shared" si="44"/>
        <v>3.6249999999999996</v>
      </c>
      <c r="L356" s="48"/>
      <c r="M356" s="44">
        <f t="shared" si="45"/>
        <v>0</v>
      </c>
      <c r="N356" s="24" t="e">
        <v>#VALUE!</v>
      </c>
      <c r="O356" s="24" t="e">
        <v>#VALUE!</v>
      </c>
      <c r="P356" s="24" t="e">
        <v>#VALUE!</v>
      </c>
      <c r="Q356" s="24" t="e">
        <f t="shared" ref="Q356:Q419" si="51">N356-P356</f>
        <v>#VALUE!</v>
      </c>
      <c r="R356" s="24" t="e">
        <f t="shared" ref="R356:R419" si="52">O356-P356</f>
        <v>#VALUE!</v>
      </c>
      <c r="S356" s="24" t="e">
        <f t="shared" si="50"/>
        <v>#VALUE!</v>
      </c>
      <c r="T356" s="24" t="e">
        <f t="shared" ref="T356:T419" si="53">S356-D356</f>
        <v>#VALUE!</v>
      </c>
      <c r="U356" s="8">
        <f t="shared" si="46"/>
        <v>1</v>
      </c>
      <c r="V356" s="8">
        <f t="shared" si="47"/>
        <v>1900</v>
      </c>
      <c r="W356" s="24">
        <v>0.98412000000000011</v>
      </c>
    </row>
    <row r="357" spans="1:23">
      <c r="A357" s="44"/>
      <c r="B357" s="24"/>
      <c r="C357" s="24"/>
      <c r="D357" s="24"/>
      <c r="E357" s="24">
        <f t="shared" si="48"/>
        <v>0</v>
      </c>
      <c r="F357" s="24">
        <f t="shared" si="49"/>
        <v>0</v>
      </c>
      <c r="G357" s="47">
        <v>2.08</v>
      </c>
      <c r="H357" s="24">
        <f t="shared" si="43"/>
        <v>2.08</v>
      </c>
      <c r="K357" s="48">
        <f t="shared" si="44"/>
        <v>3.7142857142857144</v>
      </c>
      <c r="L357" s="48"/>
      <c r="M357" s="44">
        <f t="shared" si="45"/>
        <v>0</v>
      </c>
      <c r="N357" s="24" t="e">
        <v>#VALUE!</v>
      </c>
      <c r="O357" s="24" t="e">
        <v>#VALUE!</v>
      </c>
      <c r="P357" s="24" t="e">
        <v>#VALUE!</v>
      </c>
      <c r="Q357" s="24" t="e">
        <f t="shared" si="51"/>
        <v>#VALUE!</v>
      </c>
      <c r="R357" s="24" t="e">
        <f t="shared" si="52"/>
        <v>#VALUE!</v>
      </c>
      <c r="S357" s="24" t="e">
        <f t="shared" si="50"/>
        <v>#VALUE!</v>
      </c>
      <c r="T357" s="24" t="e">
        <f t="shared" si="53"/>
        <v>#VALUE!</v>
      </c>
      <c r="U357" s="8">
        <f t="shared" si="46"/>
        <v>1</v>
      </c>
      <c r="V357" s="8">
        <f t="shared" si="47"/>
        <v>1900</v>
      </c>
      <c r="W357" s="24">
        <v>0.96478695652173907</v>
      </c>
    </row>
    <row r="358" spans="1:23">
      <c r="A358" s="44"/>
      <c r="B358" s="24"/>
      <c r="C358" s="24"/>
      <c r="D358" s="24"/>
      <c r="E358" s="24">
        <f t="shared" si="48"/>
        <v>0</v>
      </c>
      <c r="F358" s="24">
        <f t="shared" si="49"/>
        <v>0</v>
      </c>
      <c r="G358" s="47">
        <v>2.09</v>
      </c>
      <c r="H358" s="24">
        <f t="shared" si="43"/>
        <v>2.09</v>
      </c>
      <c r="K358" s="48">
        <f t="shared" si="44"/>
        <v>3.7321428571428568</v>
      </c>
      <c r="L358" s="48"/>
      <c r="M358" s="44">
        <f t="shared" si="45"/>
        <v>0</v>
      </c>
      <c r="N358" s="24" t="e">
        <v>#VALUE!</v>
      </c>
      <c r="O358" s="24" t="e">
        <v>#VALUE!</v>
      </c>
      <c r="P358" s="24" t="e">
        <v>#VALUE!</v>
      </c>
      <c r="Q358" s="24" t="e">
        <f t="shared" si="51"/>
        <v>#VALUE!</v>
      </c>
      <c r="R358" s="24" t="e">
        <f t="shared" si="52"/>
        <v>#VALUE!</v>
      </c>
      <c r="S358" s="24" t="e">
        <f t="shared" si="50"/>
        <v>#VALUE!</v>
      </c>
      <c r="T358" s="24" t="e">
        <f t="shared" si="53"/>
        <v>#VALUE!</v>
      </c>
      <c r="U358" s="8">
        <f t="shared" si="46"/>
        <v>1</v>
      </c>
      <c r="V358" s="8">
        <f t="shared" si="47"/>
        <v>1900</v>
      </c>
      <c r="W358" s="24">
        <v>0.94546842105263151</v>
      </c>
    </row>
    <row r="359" spans="1:23">
      <c r="A359" s="44"/>
      <c r="B359" s="24"/>
      <c r="C359" s="24"/>
      <c r="D359" s="24"/>
      <c r="E359" s="24">
        <f t="shared" si="48"/>
        <v>0</v>
      </c>
      <c r="F359" s="24">
        <f t="shared" si="49"/>
        <v>0</v>
      </c>
      <c r="G359" s="47">
        <v>2.15</v>
      </c>
      <c r="H359" s="24">
        <f t="shared" si="43"/>
        <v>2.15</v>
      </c>
      <c r="K359" s="48">
        <f t="shared" si="44"/>
        <v>3.839285714285714</v>
      </c>
      <c r="L359" s="48"/>
      <c r="M359" s="44">
        <f t="shared" si="45"/>
        <v>0</v>
      </c>
      <c r="N359" s="24" t="e">
        <v>#VALUE!</v>
      </c>
      <c r="O359" s="24" t="e">
        <v>#VALUE!</v>
      </c>
      <c r="P359" s="24" t="e">
        <v>#VALUE!</v>
      </c>
      <c r="Q359" s="24" t="e">
        <f t="shared" si="51"/>
        <v>#VALUE!</v>
      </c>
      <c r="R359" s="24" t="e">
        <f t="shared" si="52"/>
        <v>#VALUE!</v>
      </c>
      <c r="S359" s="24" t="e">
        <f t="shared" si="50"/>
        <v>#VALUE!</v>
      </c>
      <c r="T359" s="24" t="e">
        <f t="shared" si="53"/>
        <v>#VALUE!</v>
      </c>
      <c r="U359" s="8">
        <f t="shared" si="46"/>
        <v>1</v>
      </c>
      <c r="V359" s="8">
        <f t="shared" si="47"/>
        <v>1900</v>
      </c>
      <c r="W359" s="24">
        <v>0.90741363636363626</v>
      </c>
    </row>
    <row r="360" spans="1:23">
      <c r="A360" s="44"/>
      <c r="B360" s="24"/>
      <c r="C360" s="24"/>
      <c r="D360" s="24"/>
      <c r="E360" s="24">
        <f t="shared" si="48"/>
        <v>0</v>
      </c>
      <c r="F360" s="24">
        <f t="shared" si="49"/>
        <v>0</v>
      </c>
      <c r="G360" s="47">
        <v>1.83</v>
      </c>
      <c r="H360" s="24">
        <f t="shared" si="43"/>
        <v>1.83</v>
      </c>
      <c r="K360" s="48">
        <f t="shared" si="44"/>
        <v>3.2678571428571432</v>
      </c>
      <c r="L360" s="48"/>
      <c r="M360" s="44">
        <f t="shared" si="45"/>
        <v>0</v>
      </c>
      <c r="N360" s="24" t="e">
        <v>#VALUE!</v>
      </c>
      <c r="O360" s="24" t="e">
        <v>#VALUE!</v>
      </c>
      <c r="P360" s="24" t="e">
        <v>#VALUE!</v>
      </c>
      <c r="Q360" s="24" t="e">
        <f t="shared" si="51"/>
        <v>#VALUE!</v>
      </c>
      <c r="R360" s="24" t="e">
        <f t="shared" si="52"/>
        <v>#VALUE!</v>
      </c>
      <c r="S360" s="24" t="e">
        <f t="shared" si="50"/>
        <v>#VALUE!</v>
      </c>
      <c r="T360" s="24" t="e">
        <f t="shared" si="53"/>
        <v>#VALUE!</v>
      </c>
      <c r="U360" s="8">
        <f t="shared" si="46"/>
        <v>1</v>
      </c>
      <c r="V360" s="8">
        <f t="shared" si="47"/>
        <v>1900</v>
      </c>
      <c r="W360" s="24">
        <v>0.94966363636363627</v>
      </c>
    </row>
    <row r="361" spans="1:23">
      <c r="A361" s="44"/>
      <c r="B361" s="24"/>
      <c r="C361" s="24"/>
      <c r="D361" s="24"/>
      <c r="E361" s="24">
        <f t="shared" si="48"/>
        <v>0</v>
      </c>
      <c r="F361" s="24">
        <f t="shared" si="49"/>
        <v>0</v>
      </c>
      <c r="G361" s="47">
        <v>1.53</v>
      </c>
      <c r="H361" s="24">
        <f t="shared" si="43"/>
        <v>1.53</v>
      </c>
      <c r="K361" s="48">
        <f t="shared" si="44"/>
        <v>2.7321428571428572</v>
      </c>
      <c r="L361" s="48"/>
      <c r="M361" s="44">
        <f t="shared" si="45"/>
        <v>0</v>
      </c>
      <c r="N361" s="24" t="e">
        <v>#VALUE!</v>
      </c>
      <c r="O361" s="24" t="e">
        <v>#VALUE!</v>
      </c>
      <c r="P361" s="24" t="e">
        <v>#VALUE!</v>
      </c>
      <c r="Q361" s="24" t="e">
        <f t="shared" si="51"/>
        <v>#VALUE!</v>
      </c>
      <c r="R361" s="24" t="e">
        <f t="shared" si="52"/>
        <v>#VALUE!</v>
      </c>
      <c r="S361" s="24" t="e">
        <f t="shared" si="50"/>
        <v>#VALUE!</v>
      </c>
      <c r="T361" s="24" t="e">
        <f t="shared" si="53"/>
        <v>#VALUE!</v>
      </c>
      <c r="U361" s="8">
        <f t="shared" si="46"/>
        <v>1</v>
      </c>
      <c r="V361" s="8">
        <f t="shared" si="47"/>
        <v>1900</v>
      </c>
      <c r="W361" s="24">
        <v>0.93879500000000005</v>
      </c>
    </row>
    <row r="362" spans="1:23">
      <c r="A362" s="44"/>
      <c r="B362" s="24"/>
      <c r="C362" s="24"/>
      <c r="D362" s="24"/>
      <c r="E362" s="24">
        <f t="shared" si="48"/>
        <v>0</v>
      </c>
      <c r="F362" s="24">
        <f t="shared" si="49"/>
        <v>0</v>
      </c>
      <c r="G362" s="47">
        <v>1.49</v>
      </c>
      <c r="H362" s="24">
        <f t="shared" si="43"/>
        <v>1.49</v>
      </c>
      <c r="K362" s="48">
        <f t="shared" si="44"/>
        <v>2.6607142857142856</v>
      </c>
      <c r="L362" s="48"/>
      <c r="M362" s="44">
        <f t="shared" si="45"/>
        <v>0</v>
      </c>
      <c r="N362" s="24" t="e">
        <v>#VALUE!</v>
      </c>
      <c r="O362" s="24" t="e">
        <v>#VALUE!</v>
      </c>
      <c r="P362" s="24" t="e">
        <v>#VALUE!</v>
      </c>
      <c r="Q362" s="24" t="e">
        <f t="shared" si="51"/>
        <v>#VALUE!</v>
      </c>
      <c r="R362" s="24" t="e">
        <f t="shared" si="52"/>
        <v>#VALUE!</v>
      </c>
      <c r="S362" s="24" t="e">
        <f t="shared" si="50"/>
        <v>#VALUE!</v>
      </c>
      <c r="T362" s="24" t="e">
        <f t="shared" si="53"/>
        <v>#VALUE!</v>
      </c>
      <c r="U362" s="8">
        <f t="shared" si="46"/>
        <v>1</v>
      </c>
      <c r="V362" s="8">
        <f t="shared" si="47"/>
        <v>1900</v>
      </c>
      <c r="W362" s="24">
        <v>0.90418260869565226</v>
      </c>
    </row>
    <row r="363" spans="1:23">
      <c r="A363" s="44"/>
      <c r="B363" s="24"/>
      <c r="C363" s="24"/>
      <c r="D363" s="24"/>
      <c r="E363" s="24">
        <f t="shared" si="48"/>
        <v>0</v>
      </c>
      <c r="F363" s="24">
        <f t="shared" si="49"/>
        <v>0</v>
      </c>
      <c r="G363" s="47">
        <v>1.58</v>
      </c>
      <c r="H363" s="24">
        <f t="shared" si="43"/>
        <v>1.58</v>
      </c>
      <c r="K363" s="48">
        <f t="shared" si="44"/>
        <v>2.8214285714285716</v>
      </c>
      <c r="L363" s="48"/>
      <c r="M363" s="44">
        <f t="shared" si="45"/>
        <v>0</v>
      </c>
      <c r="N363" s="24" t="e">
        <v>#VALUE!</v>
      </c>
      <c r="O363" s="24" t="e">
        <v>#VALUE!</v>
      </c>
      <c r="P363" s="24" t="e">
        <v>#VALUE!</v>
      </c>
      <c r="Q363" s="24" t="e">
        <f t="shared" si="51"/>
        <v>#VALUE!</v>
      </c>
      <c r="R363" s="24" t="e">
        <f t="shared" si="52"/>
        <v>#VALUE!</v>
      </c>
      <c r="S363" s="24" t="e">
        <f t="shared" si="50"/>
        <v>#VALUE!</v>
      </c>
      <c r="T363" s="24" t="e">
        <f t="shared" si="53"/>
        <v>#VALUE!</v>
      </c>
      <c r="U363" s="8">
        <f t="shared" si="46"/>
        <v>1</v>
      </c>
      <c r="V363" s="8">
        <f t="shared" si="47"/>
        <v>1900</v>
      </c>
      <c r="W363" s="24">
        <v>0.86938499999999996</v>
      </c>
    </row>
    <row r="364" spans="1:23">
      <c r="A364" s="44"/>
      <c r="B364" s="24"/>
      <c r="C364" s="24"/>
      <c r="D364" s="24"/>
      <c r="E364" s="24">
        <f t="shared" si="48"/>
        <v>0</v>
      </c>
      <c r="F364" s="24">
        <f t="shared" si="49"/>
        <v>0</v>
      </c>
      <c r="G364" s="47">
        <v>1.81</v>
      </c>
      <c r="H364" s="24">
        <f t="shared" si="43"/>
        <v>1.81</v>
      </c>
      <c r="K364" s="48">
        <f t="shared" si="44"/>
        <v>3.2321428571428572</v>
      </c>
      <c r="L364" s="48"/>
      <c r="M364" s="44">
        <f t="shared" si="45"/>
        <v>0</v>
      </c>
      <c r="N364" s="24" t="e">
        <v>#VALUE!</v>
      </c>
      <c r="O364" s="24" t="e">
        <v>#VALUE!</v>
      </c>
      <c r="P364" s="24" t="e">
        <v>#VALUE!</v>
      </c>
      <c r="Q364" s="24" t="e">
        <f t="shared" si="51"/>
        <v>#VALUE!</v>
      </c>
      <c r="R364" s="24" t="e">
        <f t="shared" si="52"/>
        <v>#VALUE!</v>
      </c>
      <c r="S364" s="24" t="e">
        <f t="shared" si="50"/>
        <v>#VALUE!</v>
      </c>
      <c r="T364" s="24" t="e">
        <f t="shared" si="53"/>
        <v>#VALUE!</v>
      </c>
      <c r="U364" s="8">
        <f t="shared" si="46"/>
        <v>1</v>
      </c>
      <c r="V364" s="8">
        <f t="shared" si="47"/>
        <v>1900</v>
      </c>
      <c r="W364" s="24">
        <v>0.85322272727272752</v>
      </c>
    </row>
    <row r="365" spans="1:23">
      <c r="A365" s="44"/>
      <c r="B365" s="24"/>
      <c r="C365" s="24"/>
      <c r="D365" s="24"/>
      <c r="E365" s="24">
        <f t="shared" si="48"/>
        <v>0</v>
      </c>
      <c r="F365" s="24">
        <f t="shared" si="49"/>
        <v>0</v>
      </c>
      <c r="G365" s="47">
        <v>1.96</v>
      </c>
      <c r="H365" s="24">
        <f t="shared" si="43"/>
        <v>1.96</v>
      </c>
      <c r="K365" s="48">
        <f t="shared" si="44"/>
        <v>3.4999999999999996</v>
      </c>
      <c r="L365" s="48"/>
      <c r="M365" s="44">
        <f t="shared" si="45"/>
        <v>0</v>
      </c>
      <c r="N365" s="24" t="e">
        <v>#VALUE!</v>
      </c>
      <c r="O365" s="24" t="e">
        <v>#VALUE!</v>
      </c>
      <c r="P365" s="24" t="e">
        <v>#VALUE!</v>
      </c>
      <c r="Q365" s="24" t="e">
        <f t="shared" si="51"/>
        <v>#VALUE!</v>
      </c>
      <c r="R365" s="24" t="e">
        <f t="shared" si="52"/>
        <v>#VALUE!</v>
      </c>
      <c r="S365" s="24" t="e">
        <f t="shared" si="50"/>
        <v>#VALUE!</v>
      </c>
      <c r="T365" s="24" t="e">
        <f t="shared" si="53"/>
        <v>#VALUE!</v>
      </c>
      <c r="U365" s="8">
        <f t="shared" si="46"/>
        <v>1</v>
      </c>
      <c r="V365" s="8">
        <f t="shared" si="47"/>
        <v>1900</v>
      </c>
      <c r="W365" s="24">
        <v>0.85611904761904745</v>
      </c>
    </row>
    <row r="366" spans="1:23">
      <c r="A366" s="44"/>
      <c r="B366" s="24"/>
      <c r="C366" s="24"/>
      <c r="D366" s="24"/>
      <c r="E366" s="24">
        <f t="shared" si="48"/>
        <v>0</v>
      </c>
      <c r="F366" s="24">
        <f t="shared" si="49"/>
        <v>0</v>
      </c>
      <c r="G366" s="47">
        <v>2.0099999999999998</v>
      </c>
      <c r="H366" s="24">
        <f t="shared" si="43"/>
        <v>2.0099999999999998</v>
      </c>
      <c r="K366" s="48">
        <f t="shared" si="44"/>
        <v>3.5892857142857135</v>
      </c>
      <c r="L366" s="48"/>
      <c r="M366" s="44">
        <f t="shared" si="45"/>
        <v>0</v>
      </c>
      <c r="N366" s="24" t="e">
        <v>#VALUE!</v>
      </c>
      <c r="O366" s="24" t="e">
        <v>#VALUE!</v>
      </c>
      <c r="P366" s="24" t="e">
        <v>#VALUE!</v>
      </c>
      <c r="Q366" s="24" t="e">
        <f t="shared" si="51"/>
        <v>#VALUE!</v>
      </c>
      <c r="R366" s="24" t="e">
        <f t="shared" si="52"/>
        <v>#VALUE!</v>
      </c>
      <c r="S366" s="24" t="e">
        <f t="shared" si="50"/>
        <v>#VALUE!</v>
      </c>
      <c r="T366" s="24" t="e">
        <f t="shared" si="53"/>
        <v>#VALUE!</v>
      </c>
      <c r="U366" s="8">
        <f t="shared" si="46"/>
        <v>1</v>
      </c>
      <c r="V366" s="8">
        <f t="shared" si="47"/>
        <v>1900</v>
      </c>
      <c r="W366" s="24">
        <v>0.90001500000000001</v>
      </c>
    </row>
    <row r="367" spans="1:23">
      <c r="A367" s="44"/>
      <c r="B367" s="24"/>
      <c r="C367" s="24"/>
      <c r="D367" s="24"/>
      <c r="E367" s="24">
        <f t="shared" si="48"/>
        <v>0</v>
      </c>
      <c r="F367" s="24">
        <f t="shared" si="49"/>
        <v>0</v>
      </c>
      <c r="G367" s="47">
        <v>1.99</v>
      </c>
      <c r="H367" s="24">
        <f t="shared" si="43"/>
        <v>1.99</v>
      </c>
      <c r="K367" s="48">
        <f t="shared" si="44"/>
        <v>3.5535714285714288</v>
      </c>
      <c r="L367" s="48"/>
      <c r="M367" s="44">
        <f t="shared" si="45"/>
        <v>0</v>
      </c>
      <c r="N367" s="24" t="e">
        <v>#VALUE!</v>
      </c>
      <c r="O367" s="24" t="e">
        <v>#VALUE!</v>
      </c>
      <c r="P367" s="24" t="e">
        <v>#VALUE!</v>
      </c>
      <c r="Q367" s="24" t="e">
        <f t="shared" si="51"/>
        <v>#VALUE!</v>
      </c>
      <c r="R367" s="24" t="e">
        <f t="shared" si="52"/>
        <v>#VALUE!</v>
      </c>
      <c r="S367" s="24" t="e">
        <f t="shared" si="50"/>
        <v>#VALUE!</v>
      </c>
      <c r="T367" s="24" t="e">
        <f t="shared" si="53"/>
        <v>#VALUE!</v>
      </c>
      <c r="U367" s="8">
        <f t="shared" si="46"/>
        <v>1</v>
      </c>
      <c r="V367" s="8">
        <f t="shared" si="47"/>
        <v>1900</v>
      </c>
      <c r="W367" s="24">
        <v>0.93795714285714282</v>
      </c>
    </row>
    <row r="368" spans="1:23">
      <c r="A368" s="44"/>
      <c r="B368" s="24"/>
      <c r="C368" s="24"/>
      <c r="D368" s="24"/>
      <c r="E368" s="24">
        <f t="shared" si="48"/>
        <v>0</v>
      </c>
      <c r="F368" s="24">
        <f t="shared" si="49"/>
        <v>0</v>
      </c>
      <c r="G368" s="47">
        <v>1.95</v>
      </c>
      <c r="H368" s="24">
        <f t="shared" si="43"/>
        <v>1.95</v>
      </c>
      <c r="K368" s="48">
        <f t="shared" si="44"/>
        <v>3.4821428571428572</v>
      </c>
      <c r="L368" s="48"/>
      <c r="M368" s="44">
        <f t="shared" si="45"/>
        <v>0</v>
      </c>
      <c r="N368" s="24" t="e">
        <v>#VALUE!</v>
      </c>
      <c r="O368" s="24" t="e">
        <v>#VALUE!</v>
      </c>
      <c r="P368" s="24" t="e">
        <v>#VALUE!</v>
      </c>
      <c r="Q368" s="24" t="e">
        <f t="shared" si="51"/>
        <v>#VALUE!</v>
      </c>
      <c r="R368" s="24" t="e">
        <f t="shared" si="52"/>
        <v>#VALUE!</v>
      </c>
      <c r="S368" s="24" t="e">
        <f t="shared" si="50"/>
        <v>#VALUE!</v>
      </c>
      <c r="T368" s="24" t="e">
        <f t="shared" si="53"/>
        <v>#VALUE!</v>
      </c>
      <c r="U368" s="8">
        <f t="shared" si="46"/>
        <v>1</v>
      </c>
      <c r="V368" s="8">
        <f t="shared" si="47"/>
        <v>1900</v>
      </c>
      <c r="W368" s="24">
        <v>0.92086842105263178</v>
      </c>
    </row>
    <row r="369" spans="1:23">
      <c r="A369" s="44"/>
      <c r="B369" s="24"/>
      <c r="C369" s="24"/>
      <c r="D369" s="24"/>
      <c r="E369" s="24">
        <f t="shared" si="48"/>
        <v>0</v>
      </c>
      <c r="F369" s="24">
        <f t="shared" si="49"/>
        <v>0</v>
      </c>
      <c r="G369" s="47">
        <v>1.92</v>
      </c>
      <c r="H369" s="24">
        <f t="shared" si="43"/>
        <v>1.92</v>
      </c>
      <c r="K369" s="48">
        <f t="shared" si="44"/>
        <v>3.4285714285714288</v>
      </c>
      <c r="L369" s="48"/>
      <c r="M369" s="44">
        <f t="shared" si="45"/>
        <v>0</v>
      </c>
      <c r="N369" s="24" t="e">
        <v>#VALUE!</v>
      </c>
      <c r="O369" s="24" t="e">
        <v>#VALUE!</v>
      </c>
      <c r="P369" s="24" t="e">
        <v>#VALUE!</v>
      </c>
      <c r="Q369" s="24" t="e">
        <f t="shared" si="51"/>
        <v>#VALUE!</v>
      </c>
      <c r="R369" s="24" t="e">
        <f t="shared" si="52"/>
        <v>#VALUE!</v>
      </c>
      <c r="S369" s="24" t="e">
        <f t="shared" si="50"/>
        <v>#VALUE!</v>
      </c>
      <c r="T369" s="24" t="e">
        <f t="shared" si="53"/>
        <v>#VALUE!</v>
      </c>
      <c r="U369" s="8">
        <f t="shared" si="46"/>
        <v>1</v>
      </c>
      <c r="V369" s="8">
        <f t="shared" si="47"/>
        <v>1900</v>
      </c>
      <c r="W369" s="24">
        <v>0.90847727272727274</v>
      </c>
    </row>
    <row r="370" spans="1:23">
      <c r="A370" s="44"/>
      <c r="B370" s="24"/>
      <c r="C370" s="24"/>
      <c r="D370" s="24"/>
      <c r="E370" s="24">
        <f t="shared" si="48"/>
        <v>0</v>
      </c>
      <c r="F370" s="24">
        <f t="shared" si="49"/>
        <v>0</v>
      </c>
      <c r="G370" s="47">
        <v>1.87</v>
      </c>
      <c r="H370" s="24">
        <f t="shared" si="43"/>
        <v>1.87</v>
      </c>
      <c r="K370" s="48">
        <f t="shared" si="44"/>
        <v>3.3392857142857149</v>
      </c>
      <c r="L370" s="48"/>
      <c r="M370" s="44">
        <f t="shared" si="45"/>
        <v>0</v>
      </c>
      <c r="N370" s="24" t="e">
        <v>#VALUE!</v>
      </c>
      <c r="O370" s="24" t="e">
        <v>#VALUE!</v>
      </c>
      <c r="P370" s="24" t="e">
        <v>#VALUE!</v>
      </c>
      <c r="Q370" s="24" t="e">
        <f t="shared" si="51"/>
        <v>#VALUE!</v>
      </c>
      <c r="R370" s="24" t="e">
        <f t="shared" si="52"/>
        <v>#VALUE!</v>
      </c>
      <c r="S370" s="24" t="e">
        <f t="shared" si="50"/>
        <v>#VALUE!</v>
      </c>
      <c r="T370" s="24" t="e">
        <f t="shared" si="53"/>
        <v>#VALUE!</v>
      </c>
      <c r="U370" s="8">
        <f t="shared" si="46"/>
        <v>1</v>
      </c>
      <c r="V370" s="8">
        <f t="shared" si="47"/>
        <v>1900</v>
      </c>
      <c r="W370" s="24">
        <v>0.89342500000000002</v>
      </c>
    </row>
    <row r="371" spans="1:23">
      <c r="A371" s="44"/>
      <c r="B371" s="24"/>
      <c r="C371" s="24"/>
      <c r="D371" s="24"/>
      <c r="E371" s="24">
        <f t="shared" si="48"/>
        <v>0</v>
      </c>
      <c r="F371" s="24">
        <f t="shared" si="49"/>
        <v>0</v>
      </c>
      <c r="G371" s="47">
        <v>1.78</v>
      </c>
      <c r="H371" s="24">
        <f t="shared" ref="H371:H434" si="54">G371-D371</f>
        <v>1.78</v>
      </c>
      <c r="K371" s="48">
        <f t="shared" si="44"/>
        <v>3.1785714285714284</v>
      </c>
      <c r="L371" s="48"/>
      <c r="M371" s="44">
        <f t="shared" si="45"/>
        <v>0</v>
      </c>
      <c r="N371" s="24" t="e">
        <v>#VALUE!</v>
      </c>
      <c r="O371" s="24" t="e">
        <v>#VALUE!</v>
      </c>
      <c r="P371" s="24" t="e">
        <v>#VALUE!</v>
      </c>
      <c r="Q371" s="24" t="e">
        <f t="shared" si="51"/>
        <v>#VALUE!</v>
      </c>
      <c r="R371" s="24" t="e">
        <f t="shared" si="52"/>
        <v>#VALUE!</v>
      </c>
      <c r="S371" s="24" t="e">
        <f t="shared" si="50"/>
        <v>#VALUE!</v>
      </c>
      <c r="T371" s="24" t="e">
        <f t="shared" si="53"/>
        <v>#VALUE!</v>
      </c>
      <c r="U371" s="8">
        <f t="shared" si="46"/>
        <v>1</v>
      </c>
      <c r="V371" s="8">
        <f t="shared" si="47"/>
        <v>1900</v>
      </c>
      <c r="W371" s="24">
        <v>0.87528636363636381</v>
      </c>
    </row>
    <row r="372" spans="1:23">
      <c r="A372" s="44"/>
      <c r="B372" s="24"/>
      <c r="C372" s="24"/>
      <c r="D372" s="24"/>
      <c r="E372" s="24">
        <f t="shared" si="48"/>
        <v>0</v>
      </c>
      <c r="F372" s="24">
        <f t="shared" si="49"/>
        <v>0</v>
      </c>
      <c r="G372" s="47">
        <v>1.76</v>
      </c>
      <c r="H372" s="24">
        <f t="shared" si="54"/>
        <v>1.76</v>
      </c>
      <c r="K372" s="48">
        <f t="shared" si="44"/>
        <v>3.1428571428571432</v>
      </c>
      <c r="L372" s="48"/>
      <c r="M372" s="44">
        <f t="shared" si="45"/>
        <v>0</v>
      </c>
      <c r="N372" s="24" t="e">
        <v>#VALUE!</v>
      </c>
      <c r="O372" s="24" t="e">
        <v>#VALUE!</v>
      </c>
      <c r="P372" s="24" t="e">
        <v>#VALUE!</v>
      </c>
      <c r="Q372" s="24" t="e">
        <f t="shared" si="51"/>
        <v>#VALUE!</v>
      </c>
      <c r="R372" s="24" t="e">
        <f t="shared" si="52"/>
        <v>#VALUE!</v>
      </c>
      <c r="S372" s="24" t="e">
        <f t="shared" si="50"/>
        <v>#VALUE!</v>
      </c>
      <c r="T372" s="24" t="e">
        <f t="shared" si="53"/>
        <v>#VALUE!</v>
      </c>
      <c r="U372" s="8">
        <f t="shared" si="46"/>
        <v>1</v>
      </c>
      <c r="V372" s="8">
        <f t="shared" si="47"/>
        <v>1900</v>
      </c>
      <c r="W372" s="24">
        <v>0.85353333333333314</v>
      </c>
    </row>
    <row r="373" spans="1:23">
      <c r="A373" s="44"/>
      <c r="B373" s="24"/>
      <c r="C373" s="24"/>
      <c r="D373" s="24"/>
      <c r="E373" s="24">
        <f t="shared" si="48"/>
        <v>0</v>
      </c>
      <c r="F373" s="24">
        <f t="shared" si="49"/>
        <v>0</v>
      </c>
      <c r="G373" s="47">
        <v>1.92</v>
      </c>
      <c r="H373" s="24">
        <f t="shared" si="54"/>
        <v>1.92</v>
      </c>
      <c r="K373" s="48">
        <f t="shared" si="44"/>
        <v>3.4285714285714288</v>
      </c>
      <c r="L373" s="48"/>
      <c r="M373" s="44">
        <f t="shared" si="45"/>
        <v>0</v>
      </c>
      <c r="N373" s="24" t="e">
        <v>#VALUE!</v>
      </c>
      <c r="O373" s="24" t="e">
        <v>#VALUE!</v>
      </c>
      <c r="P373" s="24" t="e">
        <v>#VALUE!</v>
      </c>
      <c r="Q373" s="24" t="e">
        <f t="shared" si="51"/>
        <v>#VALUE!</v>
      </c>
      <c r="R373" s="24" t="e">
        <f t="shared" si="52"/>
        <v>#VALUE!</v>
      </c>
      <c r="S373" s="24" t="e">
        <f t="shared" si="50"/>
        <v>#VALUE!</v>
      </c>
      <c r="T373" s="24" t="e">
        <f t="shared" si="53"/>
        <v>#VALUE!</v>
      </c>
      <c r="U373" s="8">
        <f t="shared" si="46"/>
        <v>1</v>
      </c>
      <c r="V373" s="8">
        <f t="shared" si="47"/>
        <v>1900</v>
      </c>
      <c r="W373" s="24">
        <v>0.86240476190476212</v>
      </c>
    </row>
    <row r="374" spans="1:23">
      <c r="A374" s="44"/>
      <c r="B374" s="24"/>
      <c r="C374" s="24"/>
      <c r="D374" s="24"/>
      <c r="E374" s="24">
        <f t="shared" si="48"/>
        <v>0</v>
      </c>
      <c r="F374" s="24">
        <f t="shared" si="49"/>
        <v>0</v>
      </c>
      <c r="G374" s="47">
        <v>2</v>
      </c>
      <c r="H374" s="24">
        <f t="shared" si="54"/>
        <v>2</v>
      </c>
      <c r="K374" s="48">
        <f t="shared" si="44"/>
        <v>3.5714285714285712</v>
      </c>
      <c r="L374" s="48"/>
      <c r="M374" s="44">
        <f t="shared" si="45"/>
        <v>0</v>
      </c>
      <c r="N374" s="24" t="e">
        <v>#VALUE!</v>
      </c>
      <c r="O374" s="24" t="e">
        <v>#VALUE!</v>
      </c>
      <c r="P374" s="24" t="e">
        <v>#VALUE!</v>
      </c>
      <c r="Q374" s="24" t="e">
        <f t="shared" si="51"/>
        <v>#VALUE!</v>
      </c>
      <c r="R374" s="24" t="e">
        <f t="shared" si="52"/>
        <v>#VALUE!</v>
      </c>
      <c r="S374" s="24" t="e">
        <f t="shared" si="50"/>
        <v>#VALUE!</v>
      </c>
      <c r="T374" s="24" t="e">
        <f t="shared" si="53"/>
        <v>#VALUE!</v>
      </c>
      <c r="U374" s="8">
        <f t="shared" si="46"/>
        <v>1</v>
      </c>
      <c r="V374" s="8">
        <f t="shared" si="47"/>
        <v>1900</v>
      </c>
      <c r="W374" s="24">
        <v>0.90229999999999999</v>
      </c>
    </row>
    <row r="375" spans="1:23">
      <c r="A375" s="44"/>
      <c r="B375" s="24"/>
      <c r="C375" s="24"/>
      <c r="D375" s="24"/>
      <c r="E375" s="24">
        <f t="shared" si="48"/>
        <v>0</v>
      </c>
      <c r="F375" s="24">
        <f t="shared" si="49"/>
        <v>0</v>
      </c>
      <c r="G375" s="47">
        <v>1.94</v>
      </c>
      <c r="H375" s="24">
        <f t="shared" si="54"/>
        <v>1.94</v>
      </c>
      <c r="K375" s="48">
        <f t="shared" si="44"/>
        <v>3.4642857142857144</v>
      </c>
      <c r="L375" s="48"/>
      <c r="M375" s="44">
        <f t="shared" si="45"/>
        <v>0</v>
      </c>
      <c r="N375" s="24" t="e">
        <v>#VALUE!</v>
      </c>
      <c r="O375" s="24" t="e">
        <v>#VALUE!</v>
      </c>
      <c r="P375" s="24" t="e">
        <v>#VALUE!</v>
      </c>
      <c r="Q375" s="24" t="e">
        <f t="shared" si="51"/>
        <v>#VALUE!</v>
      </c>
      <c r="R375" s="24" t="e">
        <f t="shared" si="52"/>
        <v>#VALUE!</v>
      </c>
      <c r="S375" s="24" t="e">
        <f t="shared" si="50"/>
        <v>#VALUE!</v>
      </c>
      <c r="T375" s="24" t="e">
        <f t="shared" si="53"/>
        <v>#VALUE!</v>
      </c>
      <c r="U375" s="8">
        <f t="shared" si="46"/>
        <v>1</v>
      </c>
      <c r="V375" s="8">
        <f t="shared" si="47"/>
        <v>1900</v>
      </c>
      <c r="W375" s="24">
        <v>0.91307058823529419</v>
      </c>
    </row>
    <row r="376" spans="1:23">
      <c r="A376" s="44"/>
      <c r="B376" s="24"/>
      <c r="C376" s="24"/>
      <c r="D376" s="24"/>
      <c r="E376" s="24">
        <f t="shared" si="48"/>
        <v>0</v>
      </c>
      <c r="F376" s="24">
        <f t="shared" si="49"/>
        <v>0</v>
      </c>
      <c r="G376" s="47">
        <v>1.84</v>
      </c>
      <c r="H376" s="24">
        <f t="shared" si="54"/>
        <v>1.84</v>
      </c>
      <c r="K376" s="48">
        <f t="shared" si="44"/>
        <v>3.2857142857142856</v>
      </c>
      <c r="L376" s="48"/>
      <c r="M376" s="44">
        <f t="shared" si="45"/>
        <v>0</v>
      </c>
      <c r="N376" s="24" t="e">
        <v>#VALUE!</v>
      </c>
      <c r="O376" s="24" t="e">
        <v>#VALUE!</v>
      </c>
      <c r="P376" s="24" t="e">
        <v>#VALUE!</v>
      </c>
      <c r="Q376" s="24" t="e">
        <f t="shared" si="51"/>
        <v>#VALUE!</v>
      </c>
      <c r="R376" s="24" t="e">
        <f t="shared" si="52"/>
        <v>#VALUE!</v>
      </c>
      <c r="S376" s="24" t="e">
        <f t="shared" si="50"/>
        <v>#VALUE!</v>
      </c>
      <c r="T376" s="24" t="e">
        <f t="shared" si="53"/>
        <v>#VALUE!</v>
      </c>
      <c r="U376" s="8">
        <f t="shared" si="46"/>
        <v>1</v>
      </c>
      <c r="V376" s="8">
        <f t="shared" si="47"/>
        <v>1900</v>
      </c>
      <c r="W376" s="24">
        <v>0.90594782608695634</v>
      </c>
    </row>
    <row r="377" spans="1:23">
      <c r="A377" s="44"/>
      <c r="B377" s="24"/>
      <c r="C377" s="24"/>
      <c r="D377" s="24"/>
      <c r="E377" s="24">
        <f t="shared" si="48"/>
        <v>0</v>
      </c>
      <c r="F377" s="24">
        <f t="shared" si="49"/>
        <v>0</v>
      </c>
      <c r="G377" s="47">
        <v>1.9</v>
      </c>
      <c r="H377" s="24">
        <f t="shared" si="54"/>
        <v>1.9</v>
      </c>
      <c r="K377" s="48">
        <f t="shared" si="44"/>
        <v>3.3928571428571428</v>
      </c>
      <c r="L377" s="48"/>
      <c r="M377" s="44">
        <f t="shared" si="45"/>
        <v>0</v>
      </c>
      <c r="N377" s="24" t="e">
        <v>#VALUE!</v>
      </c>
      <c r="O377" s="24" t="e">
        <v>#VALUE!</v>
      </c>
      <c r="P377" s="24" t="e">
        <v>#VALUE!</v>
      </c>
      <c r="Q377" s="24" t="e">
        <f t="shared" si="51"/>
        <v>#VALUE!</v>
      </c>
      <c r="R377" s="24" t="e">
        <f t="shared" si="52"/>
        <v>#VALUE!</v>
      </c>
      <c r="S377" s="24" t="e">
        <f t="shared" si="50"/>
        <v>#VALUE!</v>
      </c>
      <c r="T377" s="24" t="e">
        <f t="shared" si="53"/>
        <v>#VALUE!</v>
      </c>
      <c r="U377" s="8">
        <f t="shared" si="46"/>
        <v>1</v>
      </c>
      <c r="V377" s="8">
        <f t="shared" si="47"/>
        <v>1900</v>
      </c>
      <c r="W377" s="24">
        <v>0.88849047619047616</v>
      </c>
    </row>
    <row r="378" spans="1:23">
      <c r="A378" s="44"/>
      <c r="B378" s="24"/>
      <c r="C378" s="24"/>
      <c r="D378" s="24"/>
      <c r="E378" s="24">
        <f t="shared" si="48"/>
        <v>0</v>
      </c>
      <c r="F378" s="24">
        <f t="shared" si="49"/>
        <v>0</v>
      </c>
      <c r="G378" s="47">
        <v>1.97</v>
      </c>
      <c r="H378" s="24">
        <f t="shared" si="54"/>
        <v>1.97</v>
      </c>
      <c r="K378" s="48">
        <f t="shared" si="44"/>
        <v>3.5178571428571428</v>
      </c>
      <c r="L378" s="48"/>
      <c r="M378" s="44">
        <f t="shared" si="45"/>
        <v>0</v>
      </c>
      <c r="N378" s="24" t="e">
        <v>#VALUE!</v>
      </c>
      <c r="O378" s="24" t="e">
        <v>#VALUE!</v>
      </c>
      <c r="P378" s="24" t="e">
        <v>#VALUE!</v>
      </c>
      <c r="Q378" s="24" t="e">
        <f t="shared" si="51"/>
        <v>#VALUE!</v>
      </c>
      <c r="R378" s="24" t="e">
        <f t="shared" si="52"/>
        <v>#VALUE!</v>
      </c>
      <c r="S378" s="24" t="e">
        <f t="shared" si="50"/>
        <v>#VALUE!</v>
      </c>
      <c r="T378" s="24" t="e">
        <f t="shared" si="53"/>
        <v>#VALUE!</v>
      </c>
      <c r="U378" s="8">
        <f t="shared" si="46"/>
        <v>1</v>
      </c>
      <c r="V378" s="8">
        <f t="shared" si="47"/>
        <v>1900</v>
      </c>
      <c r="W378" s="24">
        <v>0.89254736842105253</v>
      </c>
    </row>
    <row r="379" spans="1:23">
      <c r="A379" s="44"/>
      <c r="B379" s="24"/>
      <c r="C379" s="24"/>
      <c r="D379" s="24"/>
      <c r="E379" s="24">
        <f t="shared" si="48"/>
        <v>0</v>
      </c>
      <c r="F379" s="24">
        <f t="shared" si="49"/>
        <v>0</v>
      </c>
      <c r="G379" s="47">
        <v>1.95</v>
      </c>
      <c r="H379" s="24">
        <f t="shared" si="54"/>
        <v>1.95</v>
      </c>
      <c r="K379" s="48">
        <f t="shared" si="44"/>
        <v>3.4821428571428572</v>
      </c>
      <c r="L379" s="48"/>
      <c r="M379" s="44">
        <f t="shared" si="45"/>
        <v>0</v>
      </c>
      <c r="N379" s="24" t="e">
        <v>#VALUE!</v>
      </c>
      <c r="O379" s="24" t="e">
        <v>#VALUE!</v>
      </c>
      <c r="P379" s="24" t="e">
        <v>#VALUE!</v>
      </c>
      <c r="Q379" s="24" t="e">
        <f t="shared" si="51"/>
        <v>#VALUE!</v>
      </c>
      <c r="R379" s="24" t="e">
        <f t="shared" si="52"/>
        <v>#VALUE!</v>
      </c>
      <c r="S379" s="24" t="e">
        <f t="shared" si="50"/>
        <v>#VALUE!</v>
      </c>
      <c r="T379" s="24" t="e">
        <f t="shared" si="53"/>
        <v>#VALUE!</v>
      </c>
      <c r="U379" s="8">
        <f t="shared" si="46"/>
        <v>1</v>
      </c>
      <c r="V379" s="8">
        <f t="shared" si="47"/>
        <v>1900</v>
      </c>
      <c r="W379" s="24">
        <v>0.88269047619047603</v>
      </c>
    </row>
    <row r="380" spans="1:23">
      <c r="A380" s="44"/>
      <c r="B380" s="24"/>
      <c r="C380" s="24"/>
      <c r="D380" s="24"/>
      <c r="E380" s="24">
        <f t="shared" si="48"/>
        <v>0</v>
      </c>
      <c r="F380" s="24">
        <f t="shared" si="49"/>
        <v>0</v>
      </c>
      <c r="G380" s="47">
        <v>1.92</v>
      </c>
      <c r="H380" s="24">
        <f t="shared" si="54"/>
        <v>1.92</v>
      </c>
      <c r="K380" s="48">
        <f t="shared" si="44"/>
        <v>3.4285714285714288</v>
      </c>
      <c r="L380" s="48"/>
      <c r="M380" s="44">
        <f t="shared" si="45"/>
        <v>0</v>
      </c>
      <c r="N380" s="24" t="e">
        <v>#VALUE!</v>
      </c>
      <c r="O380" s="24" t="e">
        <v>#VALUE!</v>
      </c>
      <c r="P380" s="24" t="e">
        <v>#VALUE!</v>
      </c>
      <c r="Q380" s="24" t="e">
        <f t="shared" si="51"/>
        <v>#VALUE!</v>
      </c>
      <c r="R380" s="24" t="e">
        <f t="shared" si="52"/>
        <v>#VALUE!</v>
      </c>
      <c r="S380" s="24" t="e">
        <f t="shared" si="50"/>
        <v>#VALUE!</v>
      </c>
      <c r="T380" s="24" t="e">
        <f t="shared" si="53"/>
        <v>#VALUE!</v>
      </c>
      <c r="U380" s="8">
        <f t="shared" si="46"/>
        <v>1</v>
      </c>
      <c r="V380" s="8">
        <f t="shared" si="47"/>
        <v>1900</v>
      </c>
      <c r="W380" s="24">
        <v>0.87040526315789479</v>
      </c>
    </row>
    <row r="381" spans="1:23">
      <c r="A381" s="44"/>
      <c r="B381" s="24"/>
      <c r="C381" s="24"/>
      <c r="D381" s="24"/>
      <c r="E381" s="24">
        <f t="shared" si="48"/>
        <v>0</v>
      </c>
      <c r="F381" s="24">
        <f t="shared" si="49"/>
        <v>0</v>
      </c>
      <c r="G381" s="47">
        <v>1.92</v>
      </c>
      <c r="H381" s="24">
        <f t="shared" si="54"/>
        <v>1.92</v>
      </c>
      <c r="K381" s="48">
        <f t="shared" si="44"/>
        <v>3.4285714285714288</v>
      </c>
      <c r="L381" s="48"/>
      <c r="M381" s="44">
        <f t="shared" si="45"/>
        <v>0</v>
      </c>
      <c r="N381" s="24" t="e">
        <v>#VALUE!</v>
      </c>
      <c r="O381" s="24" t="e">
        <v>#VALUE!</v>
      </c>
      <c r="P381" s="24" t="e">
        <v>#VALUE!</v>
      </c>
      <c r="Q381" s="24" t="e">
        <f t="shared" si="51"/>
        <v>#VALUE!</v>
      </c>
      <c r="R381" s="24" t="e">
        <f t="shared" si="52"/>
        <v>#VALUE!</v>
      </c>
      <c r="S381" s="24" t="e">
        <f t="shared" si="50"/>
        <v>#VALUE!</v>
      </c>
      <c r="T381" s="24" t="e">
        <f t="shared" si="53"/>
        <v>#VALUE!</v>
      </c>
      <c r="U381" s="8">
        <f t="shared" si="46"/>
        <v>1</v>
      </c>
      <c r="V381" s="8">
        <f t="shared" si="47"/>
        <v>1900</v>
      </c>
      <c r="W381" s="24">
        <v>0.87680500000000006</v>
      </c>
    </row>
    <row r="382" spans="1:23">
      <c r="A382" s="44"/>
      <c r="B382" s="24"/>
      <c r="C382" s="24"/>
      <c r="D382" s="24"/>
      <c r="E382" s="24">
        <f t="shared" si="48"/>
        <v>0</v>
      </c>
      <c r="F382" s="24">
        <f t="shared" si="49"/>
        <v>0</v>
      </c>
      <c r="G382" s="47">
        <v>1.89</v>
      </c>
      <c r="H382" s="24">
        <f t="shared" si="54"/>
        <v>1.89</v>
      </c>
      <c r="K382" s="48">
        <f t="shared" si="44"/>
        <v>3.3749999999999996</v>
      </c>
      <c r="L382" s="48"/>
      <c r="M382" s="44">
        <f t="shared" si="45"/>
        <v>0</v>
      </c>
      <c r="N382" s="24" t="e">
        <v>#VALUE!</v>
      </c>
      <c r="O382" s="24" t="e">
        <v>#VALUE!</v>
      </c>
      <c r="P382" s="24" t="e">
        <v>#VALUE!</v>
      </c>
      <c r="Q382" s="24" t="e">
        <f t="shared" si="51"/>
        <v>#VALUE!</v>
      </c>
      <c r="R382" s="24" t="e">
        <f t="shared" si="52"/>
        <v>#VALUE!</v>
      </c>
      <c r="S382" s="24" t="e">
        <f t="shared" si="50"/>
        <v>#VALUE!</v>
      </c>
      <c r="T382" s="24" t="e">
        <f t="shared" si="53"/>
        <v>#VALUE!</v>
      </c>
      <c r="U382" s="8">
        <f t="shared" si="46"/>
        <v>1</v>
      </c>
      <c r="V382" s="8">
        <f t="shared" si="47"/>
        <v>1900</v>
      </c>
      <c r="W382" s="24">
        <v>0.88639999999999974</v>
      </c>
    </row>
    <row r="383" spans="1:23">
      <c r="A383" s="44"/>
      <c r="B383" s="24"/>
      <c r="C383" s="24"/>
      <c r="D383" s="24"/>
      <c r="E383" s="24">
        <f t="shared" si="48"/>
        <v>0</v>
      </c>
      <c r="F383" s="24">
        <f t="shared" si="49"/>
        <v>0</v>
      </c>
      <c r="G383" s="47">
        <v>1.96</v>
      </c>
      <c r="H383" s="24">
        <f t="shared" si="54"/>
        <v>1.96</v>
      </c>
      <c r="K383" s="48">
        <f t="shared" si="44"/>
        <v>3.4999999999999996</v>
      </c>
      <c r="L383" s="48"/>
      <c r="M383" s="44">
        <f t="shared" si="45"/>
        <v>0</v>
      </c>
      <c r="N383" s="24" t="e">
        <v>#VALUE!</v>
      </c>
      <c r="O383" s="24" t="e">
        <v>#VALUE!</v>
      </c>
      <c r="P383" s="24" t="e">
        <v>#VALUE!</v>
      </c>
      <c r="Q383" s="24" t="e">
        <f t="shared" si="51"/>
        <v>#VALUE!</v>
      </c>
      <c r="R383" s="24" t="e">
        <f t="shared" si="52"/>
        <v>#VALUE!</v>
      </c>
      <c r="S383" s="24" t="e">
        <f t="shared" si="50"/>
        <v>#VALUE!</v>
      </c>
      <c r="T383" s="24" t="e">
        <f t="shared" si="53"/>
        <v>#VALUE!</v>
      </c>
      <c r="U383" s="8">
        <f t="shared" si="46"/>
        <v>1</v>
      </c>
      <c r="V383" s="8">
        <f t="shared" si="47"/>
        <v>1900</v>
      </c>
      <c r="W383" s="24">
        <v>0.91743636363636361</v>
      </c>
    </row>
    <row r="384" spans="1:23">
      <c r="A384" s="44"/>
      <c r="B384" s="24"/>
      <c r="C384" s="24"/>
      <c r="D384" s="24"/>
      <c r="E384" s="24">
        <f t="shared" si="48"/>
        <v>0</v>
      </c>
      <c r="F384" s="24">
        <f t="shared" si="49"/>
        <v>0</v>
      </c>
      <c r="G384" s="47">
        <v>2.04</v>
      </c>
      <c r="H384" s="24">
        <f t="shared" si="54"/>
        <v>2.04</v>
      </c>
      <c r="K384" s="48">
        <f t="shared" ref="K384:K447" si="55">G384/56*100</f>
        <v>3.6428571428571428</v>
      </c>
      <c r="L384" s="48"/>
      <c r="M384" s="44">
        <f t="shared" si="45"/>
        <v>0</v>
      </c>
      <c r="N384" s="24" t="e">
        <v>#VALUE!</v>
      </c>
      <c r="O384" s="24" t="e">
        <v>#VALUE!</v>
      </c>
      <c r="P384" s="24" t="e">
        <v>#VALUE!</v>
      </c>
      <c r="Q384" s="24" t="e">
        <f t="shared" si="51"/>
        <v>#VALUE!</v>
      </c>
      <c r="R384" s="24" t="e">
        <f t="shared" si="52"/>
        <v>#VALUE!</v>
      </c>
      <c r="S384" s="24" t="e">
        <f t="shared" si="50"/>
        <v>#VALUE!</v>
      </c>
      <c r="T384" s="24" t="e">
        <f t="shared" si="53"/>
        <v>#VALUE!</v>
      </c>
      <c r="U384" s="8">
        <f t="shared" si="46"/>
        <v>1</v>
      </c>
      <c r="V384" s="8">
        <f t="shared" si="47"/>
        <v>1900</v>
      </c>
      <c r="W384" s="24">
        <v>0.95654499999999998</v>
      </c>
    </row>
    <row r="385" spans="1:23">
      <c r="A385" s="44"/>
      <c r="B385" s="24"/>
      <c r="C385" s="24"/>
      <c r="D385" s="24"/>
      <c r="E385" s="24">
        <f t="shared" si="48"/>
        <v>0</v>
      </c>
      <c r="F385" s="24">
        <f t="shared" si="49"/>
        <v>0</v>
      </c>
      <c r="G385" s="47">
        <v>2.2200000000000002</v>
      </c>
      <c r="H385" s="24">
        <f t="shared" si="54"/>
        <v>2.2200000000000002</v>
      </c>
      <c r="K385" s="48">
        <f t="shared" si="55"/>
        <v>3.9642857142857144</v>
      </c>
      <c r="L385" s="48"/>
      <c r="M385" s="44">
        <f t="shared" si="45"/>
        <v>0</v>
      </c>
      <c r="N385" s="24" t="e">
        <v>#VALUE!</v>
      </c>
      <c r="O385" s="24" t="e">
        <v>#VALUE!</v>
      </c>
      <c r="P385" s="24" t="e">
        <v>#VALUE!</v>
      </c>
      <c r="Q385" s="24" t="e">
        <f t="shared" si="51"/>
        <v>#VALUE!</v>
      </c>
      <c r="R385" s="24" t="e">
        <f t="shared" si="52"/>
        <v>#VALUE!</v>
      </c>
      <c r="S385" s="24" t="e">
        <f t="shared" si="50"/>
        <v>#VALUE!</v>
      </c>
      <c r="T385" s="24" t="e">
        <f t="shared" si="53"/>
        <v>#VALUE!</v>
      </c>
      <c r="U385" s="8">
        <f t="shared" si="46"/>
        <v>1</v>
      </c>
      <c r="V385" s="8">
        <f t="shared" si="47"/>
        <v>1900</v>
      </c>
      <c r="W385" s="24">
        <v>0.99312727272727241</v>
      </c>
    </row>
    <row r="386" spans="1:23">
      <c r="A386" s="44"/>
      <c r="B386" s="24"/>
      <c r="C386" s="24"/>
      <c r="D386" s="24"/>
      <c r="E386" s="24">
        <f t="shared" si="48"/>
        <v>0</v>
      </c>
      <c r="F386" s="24">
        <f t="shared" si="49"/>
        <v>0</v>
      </c>
      <c r="G386" s="47">
        <v>2.5</v>
      </c>
      <c r="H386" s="24">
        <f t="shared" si="54"/>
        <v>2.5</v>
      </c>
      <c r="K386" s="48">
        <f t="shared" si="55"/>
        <v>4.4642857142857144</v>
      </c>
      <c r="L386" s="48"/>
      <c r="M386" s="44">
        <f t="shared" si="45"/>
        <v>0</v>
      </c>
      <c r="N386" s="24" t="e">
        <v>#VALUE!</v>
      </c>
      <c r="O386" s="24" t="e">
        <v>#VALUE!</v>
      </c>
      <c r="P386" s="24" t="e">
        <v>#VALUE!</v>
      </c>
      <c r="Q386" s="24" t="e">
        <f t="shared" si="51"/>
        <v>#VALUE!</v>
      </c>
      <c r="R386" s="24" t="e">
        <f t="shared" si="52"/>
        <v>#VALUE!</v>
      </c>
      <c r="S386" s="24" t="e">
        <f t="shared" si="50"/>
        <v>#VALUE!</v>
      </c>
      <c r="T386" s="24" t="e">
        <f t="shared" si="53"/>
        <v>#VALUE!</v>
      </c>
      <c r="U386" s="8">
        <f t="shared" si="46"/>
        <v>1</v>
      </c>
      <c r="V386" s="8">
        <f t="shared" si="47"/>
        <v>1900</v>
      </c>
      <c r="W386" s="24">
        <v>0.97766818181818183</v>
      </c>
    </row>
    <row r="387" spans="1:23">
      <c r="A387" s="44"/>
      <c r="B387" s="24"/>
      <c r="C387" s="24"/>
      <c r="D387" s="24"/>
      <c r="E387" s="24">
        <f t="shared" si="48"/>
        <v>0</v>
      </c>
      <c r="F387" s="24">
        <f t="shared" si="49"/>
        <v>0</v>
      </c>
      <c r="G387" s="47">
        <v>2.57</v>
      </c>
      <c r="H387" s="24">
        <f t="shared" si="54"/>
        <v>2.57</v>
      </c>
      <c r="K387" s="48">
        <f t="shared" si="55"/>
        <v>4.5892857142857135</v>
      </c>
      <c r="L387" s="48"/>
      <c r="M387" s="44">
        <f t="shared" ref="M387:M450" si="56">A387</f>
        <v>0</v>
      </c>
      <c r="N387" s="24" t="e">
        <v>#VALUE!</v>
      </c>
      <c r="O387" s="24" t="e">
        <v>#VALUE!</v>
      </c>
      <c r="P387" s="24" t="e">
        <v>#VALUE!</v>
      </c>
      <c r="Q387" s="24" t="e">
        <f t="shared" si="51"/>
        <v>#VALUE!</v>
      </c>
      <c r="R387" s="24" t="e">
        <f t="shared" si="52"/>
        <v>#VALUE!</v>
      </c>
      <c r="S387" s="24" t="e">
        <f t="shared" si="50"/>
        <v>#VALUE!</v>
      </c>
      <c r="T387" s="24" t="e">
        <f t="shared" si="53"/>
        <v>#VALUE!</v>
      </c>
      <c r="U387" s="8">
        <f t="shared" ref="U387:U450" si="57">MONTH(M387)</f>
        <v>1</v>
      </c>
      <c r="V387" s="8">
        <f t="shared" ref="V387:V450" si="58">YEAR(M387)</f>
        <v>1900</v>
      </c>
      <c r="W387" s="24">
        <v>0.98052000000000006</v>
      </c>
    </row>
    <row r="388" spans="1:23">
      <c r="A388" s="44"/>
      <c r="B388" s="24"/>
      <c r="C388" s="24"/>
      <c r="D388" s="24"/>
      <c r="E388" s="24">
        <f t="shared" si="48"/>
        <v>0</v>
      </c>
      <c r="F388" s="24">
        <f t="shared" si="49"/>
        <v>0</v>
      </c>
      <c r="G388" s="47">
        <v>2.41</v>
      </c>
      <c r="H388" s="24">
        <f t="shared" si="54"/>
        <v>2.41</v>
      </c>
      <c r="K388" s="48">
        <f t="shared" si="55"/>
        <v>4.3035714285714288</v>
      </c>
      <c r="L388" s="48"/>
      <c r="M388" s="44">
        <f t="shared" si="56"/>
        <v>0</v>
      </c>
      <c r="N388" s="24" t="e">
        <v>#VALUE!</v>
      </c>
      <c r="O388" s="24" t="e">
        <v>#VALUE!</v>
      </c>
      <c r="P388" s="24" t="e">
        <v>#VALUE!</v>
      </c>
      <c r="Q388" s="24" t="e">
        <f t="shared" si="51"/>
        <v>#VALUE!</v>
      </c>
      <c r="R388" s="24" t="e">
        <f t="shared" si="52"/>
        <v>#VALUE!</v>
      </c>
      <c r="S388" s="24" t="e">
        <f t="shared" si="50"/>
        <v>#VALUE!</v>
      </c>
      <c r="T388" s="24" t="e">
        <f t="shared" si="53"/>
        <v>#VALUE!</v>
      </c>
      <c r="U388" s="8">
        <f t="shared" si="57"/>
        <v>1</v>
      </c>
      <c r="V388" s="8">
        <f t="shared" si="58"/>
        <v>1900</v>
      </c>
      <c r="W388" s="24">
        <v>0.98144782608695647</v>
      </c>
    </row>
    <row r="389" spans="1:23">
      <c r="A389" s="44"/>
      <c r="B389" s="24"/>
      <c r="C389" s="24"/>
      <c r="D389" s="24"/>
      <c r="E389" s="24">
        <f t="shared" si="48"/>
        <v>0</v>
      </c>
      <c r="F389" s="24">
        <f t="shared" si="49"/>
        <v>0</v>
      </c>
      <c r="G389" s="47">
        <v>2.36</v>
      </c>
      <c r="H389" s="24">
        <f t="shared" si="54"/>
        <v>2.36</v>
      </c>
      <c r="K389" s="48">
        <f t="shared" si="55"/>
        <v>4.2142857142857144</v>
      </c>
      <c r="L389" s="48"/>
      <c r="M389" s="44">
        <f t="shared" si="56"/>
        <v>0</v>
      </c>
      <c r="N389" s="24" t="e">
        <v>#VALUE!</v>
      </c>
      <c r="O389" s="24" t="e">
        <v>#VALUE!</v>
      </c>
      <c r="P389" s="24" t="e">
        <v>#VALUE!</v>
      </c>
      <c r="Q389" s="24" t="e">
        <f t="shared" si="51"/>
        <v>#VALUE!</v>
      </c>
      <c r="R389" s="24" t="e">
        <f t="shared" si="52"/>
        <v>#VALUE!</v>
      </c>
      <c r="S389" s="24" t="e">
        <f t="shared" si="50"/>
        <v>#VALUE!</v>
      </c>
      <c r="T389" s="24" t="e">
        <f t="shared" si="53"/>
        <v>#VALUE!</v>
      </c>
      <c r="U389" s="8">
        <f t="shared" si="57"/>
        <v>1</v>
      </c>
      <c r="V389" s="8">
        <f t="shared" si="58"/>
        <v>1900</v>
      </c>
      <c r="W389" s="24">
        <v>1.0020849999999999</v>
      </c>
    </row>
    <row r="390" spans="1:23">
      <c r="A390" s="44"/>
      <c r="B390" s="24"/>
      <c r="C390" s="24"/>
      <c r="D390" s="24"/>
      <c r="E390" s="24">
        <f t="shared" si="48"/>
        <v>0</v>
      </c>
      <c r="F390" s="24">
        <f t="shared" si="49"/>
        <v>0</v>
      </c>
      <c r="G390" s="47">
        <v>2.3199999999999998</v>
      </c>
      <c r="H390" s="24">
        <f t="shared" si="54"/>
        <v>2.3199999999999998</v>
      </c>
      <c r="K390" s="48">
        <f t="shared" si="55"/>
        <v>4.1428571428571423</v>
      </c>
      <c r="L390" s="48"/>
      <c r="M390" s="44">
        <f t="shared" si="56"/>
        <v>0</v>
      </c>
      <c r="N390" s="24" t="e">
        <v>#VALUE!</v>
      </c>
      <c r="O390" s="24" t="e">
        <v>#VALUE!</v>
      </c>
      <c r="P390" s="24" t="e">
        <v>#VALUE!</v>
      </c>
      <c r="Q390" s="24" t="e">
        <f t="shared" si="51"/>
        <v>#VALUE!</v>
      </c>
      <c r="R390" s="24" t="e">
        <f t="shared" si="52"/>
        <v>#VALUE!</v>
      </c>
      <c r="S390" s="24" t="e">
        <f t="shared" si="50"/>
        <v>#VALUE!</v>
      </c>
      <c r="T390" s="24" t="e">
        <f t="shared" si="53"/>
        <v>#VALUE!</v>
      </c>
      <c r="U390" s="8">
        <f t="shared" si="57"/>
        <v>1</v>
      </c>
      <c r="V390" s="8">
        <f t="shared" si="58"/>
        <v>1900</v>
      </c>
      <c r="W390" s="24">
        <v>1.0204300000000002</v>
      </c>
    </row>
    <row r="391" spans="1:23">
      <c r="A391" s="44"/>
      <c r="B391" s="24"/>
      <c r="C391" s="24"/>
      <c r="D391" s="24"/>
      <c r="E391" s="24">
        <f t="shared" si="48"/>
        <v>0</v>
      </c>
      <c r="F391" s="24">
        <f t="shared" si="49"/>
        <v>0</v>
      </c>
      <c r="G391" s="47">
        <v>2.29</v>
      </c>
      <c r="H391" s="24">
        <f t="shared" si="54"/>
        <v>2.29</v>
      </c>
      <c r="K391" s="48">
        <f t="shared" si="55"/>
        <v>4.0892857142857144</v>
      </c>
      <c r="L391" s="48"/>
      <c r="M391" s="44">
        <f t="shared" si="56"/>
        <v>0</v>
      </c>
      <c r="N391" s="24" t="e">
        <v>#VALUE!</v>
      </c>
      <c r="O391" s="24" t="e">
        <v>#VALUE!</v>
      </c>
      <c r="P391" s="24" t="e">
        <v>#VALUE!</v>
      </c>
      <c r="Q391" s="24" t="e">
        <f t="shared" si="51"/>
        <v>#VALUE!</v>
      </c>
      <c r="R391" s="24" t="e">
        <f t="shared" si="52"/>
        <v>#VALUE!</v>
      </c>
      <c r="S391" s="24" t="e">
        <f t="shared" si="50"/>
        <v>#VALUE!</v>
      </c>
      <c r="T391" s="24" t="e">
        <f t="shared" si="53"/>
        <v>#VALUE!</v>
      </c>
      <c r="U391" s="8">
        <f t="shared" si="57"/>
        <v>1</v>
      </c>
      <c r="V391" s="8">
        <f t="shared" si="58"/>
        <v>1900</v>
      </c>
      <c r="W391" s="24">
        <v>1.0631238095238096</v>
      </c>
    </row>
    <row r="392" spans="1:23">
      <c r="A392" s="44"/>
      <c r="B392" s="24"/>
      <c r="C392" s="24"/>
      <c r="D392" s="24"/>
      <c r="E392" s="24">
        <f t="shared" si="48"/>
        <v>0</v>
      </c>
      <c r="F392" s="24">
        <f t="shared" si="49"/>
        <v>0</v>
      </c>
      <c r="G392" s="47">
        <v>2.33</v>
      </c>
      <c r="H392" s="24">
        <f t="shared" si="54"/>
        <v>2.33</v>
      </c>
      <c r="K392" s="48">
        <f t="shared" si="55"/>
        <v>4.1607142857142856</v>
      </c>
      <c r="L392" s="48"/>
      <c r="M392" s="44">
        <f t="shared" si="56"/>
        <v>0</v>
      </c>
      <c r="N392" s="24" t="e">
        <v>#VALUE!</v>
      </c>
      <c r="O392" s="24" t="e">
        <v>#VALUE!</v>
      </c>
      <c r="P392" s="24" t="e">
        <v>#VALUE!</v>
      </c>
      <c r="Q392" s="24" t="e">
        <f t="shared" si="51"/>
        <v>#VALUE!</v>
      </c>
      <c r="R392" s="24" t="e">
        <f t="shared" si="52"/>
        <v>#VALUE!</v>
      </c>
      <c r="S392" s="24" t="e">
        <f t="shared" si="50"/>
        <v>#VALUE!</v>
      </c>
      <c r="T392" s="24" t="e">
        <f t="shared" si="53"/>
        <v>#VALUE!</v>
      </c>
      <c r="U392" s="8">
        <f t="shared" si="57"/>
        <v>1</v>
      </c>
      <c r="V392" s="8">
        <f t="shared" si="58"/>
        <v>1900</v>
      </c>
      <c r="W392" s="24">
        <v>1.077757894736842</v>
      </c>
    </row>
    <row r="393" spans="1:23">
      <c r="A393" s="44"/>
      <c r="B393" s="24"/>
      <c r="C393" s="24"/>
      <c r="D393" s="24"/>
      <c r="E393" s="24">
        <f t="shared" si="48"/>
        <v>0</v>
      </c>
      <c r="F393" s="24">
        <f t="shared" si="49"/>
        <v>0</v>
      </c>
      <c r="G393" s="47">
        <v>2.31</v>
      </c>
      <c r="H393" s="24">
        <f t="shared" si="54"/>
        <v>2.31</v>
      </c>
      <c r="K393" s="48">
        <f t="shared" si="55"/>
        <v>4.125</v>
      </c>
      <c r="L393" s="48"/>
      <c r="M393" s="44">
        <f t="shared" si="56"/>
        <v>0</v>
      </c>
      <c r="N393" s="24" t="e">
        <v>#VALUE!</v>
      </c>
      <c r="O393" s="24" t="e">
        <v>#VALUE!</v>
      </c>
      <c r="P393" s="24" t="e">
        <v>#VALUE!</v>
      </c>
      <c r="Q393" s="24" t="e">
        <f t="shared" si="51"/>
        <v>#VALUE!</v>
      </c>
      <c r="R393" s="24" t="e">
        <f t="shared" si="52"/>
        <v>#VALUE!</v>
      </c>
      <c r="S393" s="24" t="e">
        <f t="shared" si="50"/>
        <v>#VALUE!</v>
      </c>
      <c r="T393" s="24" t="e">
        <f t="shared" si="53"/>
        <v>#VALUE!</v>
      </c>
      <c r="U393" s="8">
        <f t="shared" si="57"/>
        <v>1</v>
      </c>
      <c r="V393" s="8">
        <f t="shared" si="58"/>
        <v>1900</v>
      </c>
      <c r="W393" s="24">
        <v>1.0793714285714286</v>
      </c>
    </row>
    <row r="394" spans="1:23">
      <c r="A394" s="44"/>
      <c r="B394" s="24"/>
      <c r="C394" s="24"/>
      <c r="D394" s="24"/>
      <c r="E394" s="24">
        <f t="shared" si="48"/>
        <v>0</v>
      </c>
      <c r="F394" s="24">
        <f t="shared" si="49"/>
        <v>0</v>
      </c>
      <c r="G394" s="47">
        <v>2.36</v>
      </c>
      <c r="H394" s="24">
        <f t="shared" si="54"/>
        <v>2.36</v>
      </c>
      <c r="K394" s="48">
        <f t="shared" si="55"/>
        <v>4.2142857142857144</v>
      </c>
      <c r="L394" s="48"/>
      <c r="M394" s="44">
        <f t="shared" si="56"/>
        <v>0</v>
      </c>
      <c r="N394" s="24" t="e">
        <v>#VALUE!</v>
      </c>
      <c r="O394" s="24" t="e">
        <v>#VALUE!</v>
      </c>
      <c r="P394" s="24" t="e">
        <v>#VALUE!</v>
      </c>
      <c r="Q394" s="24" t="e">
        <f t="shared" si="51"/>
        <v>#VALUE!</v>
      </c>
      <c r="R394" s="24" t="e">
        <f t="shared" si="52"/>
        <v>#VALUE!</v>
      </c>
      <c r="S394" s="24" t="e">
        <f t="shared" si="50"/>
        <v>#VALUE!</v>
      </c>
      <c r="T394" s="24" t="e">
        <f t="shared" si="53"/>
        <v>#VALUE!</v>
      </c>
      <c r="U394" s="8">
        <f t="shared" si="57"/>
        <v>1</v>
      </c>
      <c r="V394" s="8">
        <f t="shared" si="58"/>
        <v>1900</v>
      </c>
      <c r="W394" s="24">
        <v>1.0871666666666666</v>
      </c>
    </row>
    <row r="395" spans="1:23">
      <c r="A395" s="44"/>
      <c r="B395" s="24"/>
      <c r="C395" s="24"/>
      <c r="D395" s="24"/>
      <c r="E395" s="24">
        <f t="shared" ref="E395:E458" si="59">B395-D395</f>
        <v>0</v>
      </c>
      <c r="F395" s="24">
        <f t="shared" ref="F395:F458" si="60">C395-D395</f>
        <v>0</v>
      </c>
      <c r="G395" s="47">
        <v>2.4</v>
      </c>
      <c r="H395" s="24">
        <f t="shared" si="54"/>
        <v>2.4</v>
      </c>
      <c r="K395" s="48">
        <f t="shared" si="55"/>
        <v>4.2857142857142856</v>
      </c>
      <c r="L395" s="48"/>
      <c r="M395" s="44">
        <f t="shared" si="56"/>
        <v>0</v>
      </c>
      <c r="N395" s="24" t="e">
        <v>#VALUE!</v>
      </c>
      <c r="O395" s="24" t="e">
        <v>#VALUE!</v>
      </c>
      <c r="P395" s="24" t="e">
        <v>#VALUE!</v>
      </c>
      <c r="Q395" s="24" t="e">
        <f t="shared" si="51"/>
        <v>#VALUE!</v>
      </c>
      <c r="R395" s="24" t="e">
        <f t="shared" si="52"/>
        <v>#VALUE!</v>
      </c>
      <c r="S395" s="24" t="e">
        <f t="shared" si="50"/>
        <v>#VALUE!</v>
      </c>
      <c r="T395" s="24" t="e">
        <f t="shared" si="53"/>
        <v>#VALUE!</v>
      </c>
      <c r="U395" s="8">
        <f t="shared" si="57"/>
        <v>1</v>
      </c>
      <c r="V395" s="8">
        <f t="shared" si="58"/>
        <v>1900</v>
      </c>
      <c r="W395" s="24">
        <v>1.1562666666666668</v>
      </c>
    </row>
    <row r="396" spans="1:23">
      <c r="A396" s="44"/>
      <c r="B396" s="24"/>
      <c r="C396" s="24"/>
      <c r="D396" s="24"/>
      <c r="E396" s="24">
        <f t="shared" si="59"/>
        <v>0</v>
      </c>
      <c r="F396" s="24">
        <f t="shared" si="60"/>
        <v>0</v>
      </c>
      <c r="G396" s="47">
        <v>2.37</v>
      </c>
      <c r="H396" s="24">
        <f t="shared" si="54"/>
        <v>2.37</v>
      </c>
      <c r="K396" s="48">
        <f t="shared" si="55"/>
        <v>4.2321428571428577</v>
      </c>
      <c r="L396" s="48"/>
      <c r="M396" s="44">
        <f t="shared" si="56"/>
        <v>0</v>
      </c>
      <c r="N396" s="24" t="e">
        <v>#VALUE!</v>
      </c>
      <c r="O396" s="24" t="e">
        <v>#VALUE!</v>
      </c>
      <c r="P396" s="24" t="e">
        <v>#VALUE!</v>
      </c>
      <c r="Q396" s="24" t="e">
        <f t="shared" si="51"/>
        <v>#VALUE!</v>
      </c>
      <c r="R396" s="24" t="e">
        <f t="shared" si="52"/>
        <v>#VALUE!</v>
      </c>
      <c r="S396" s="24" t="e">
        <f t="shared" si="50"/>
        <v>#VALUE!</v>
      </c>
      <c r="T396" s="24" t="e">
        <f t="shared" si="53"/>
        <v>#VALUE!</v>
      </c>
      <c r="U396" s="8">
        <f t="shared" si="57"/>
        <v>1</v>
      </c>
      <c r="V396" s="8">
        <f t="shared" si="58"/>
        <v>1900</v>
      </c>
      <c r="W396" s="24">
        <v>1.1667142857142854</v>
      </c>
    </row>
    <row r="397" spans="1:23">
      <c r="A397" s="44"/>
      <c r="B397" s="24"/>
      <c r="C397" s="24"/>
      <c r="D397" s="24"/>
      <c r="E397" s="24">
        <f t="shared" si="59"/>
        <v>0</v>
      </c>
      <c r="F397" s="24">
        <f t="shared" si="60"/>
        <v>0</v>
      </c>
      <c r="G397" s="47">
        <v>2.13</v>
      </c>
      <c r="H397" s="24">
        <f t="shared" si="54"/>
        <v>2.13</v>
      </c>
      <c r="K397" s="48">
        <f t="shared" si="55"/>
        <v>3.8035714285714284</v>
      </c>
      <c r="L397" s="48"/>
      <c r="M397" s="44">
        <f t="shared" si="56"/>
        <v>0</v>
      </c>
      <c r="N397" s="24" t="e">
        <v>#VALUE!</v>
      </c>
      <c r="O397" s="24" t="e">
        <v>#VALUE!</v>
      </c>
      <c r="P397" s="24" t="e">
        <v>#VALUE!</v>
      </c>
      <c r="Q397" s="24" t="e">
        <f t="shared" si="51"/>
        <v>#VALUE!</v>
      </c>
      <c r="R397" s="24" t="e">
        <f t="shared" si="52"/>
        <v>#VALUE!</v>
      </c>
      <c r="S397" s="24" t="e">
        <f t="shared" si="50"/>
        <v>#VALUE!</v>
      </c>
      <c r="T397" s="24" t="e">
        <f t="shared" si="53"/>
        <v>#VALUE!</v>
      </c>
      <c r="U397" s="8">
        <f t="shared" si="57"/>
        <v>1</v>
      </c>
      <c r="V397" s="8">
        <f t="shared" si="58"/>
        <v>1900</v>
      </c>
      <c r="W397" s="24">
        <v>1.1364227272727276</v>
      </c>
    </row>
    <row r="398" spans="1:23">
      <c r="A398" s="44"/>
      <c r="B398" s="24"/>
      <c r="C398" s="24"/>
      <c r="D398" s="24"/>
      <c r="E398" s="24">
        <f t="shared" si="59"/>
        <v>0</v>
      </c>
      <c r="F398" s="24">
        <f t="shared" si="60"/>
        <v>0</v>
      </c>
      <c r="G398" s="47">
        <v>2.2599999999999998</v>
      </c>
      <c r="H398" s="24">
        <f t="shared" si="54"/>
        <v>2.2599999999999998</v>
      </c>
      <c r="K398" s="48">
        <f t="shared" si="55"/>
        <v>4.0357142857142856</v>
      </c>
      <c r="L398" s="48"/>
      <c r="M398" s="44">
        <f t="shared" si="56"/>
        <v>0</v>
      </c>
      <c r="N398" s="24" t="e">
        <v>#VALUE!</v>
      </c>
      <c r="O398" s="24" t="e">
        <v>#VALUE!</v>
      </c>
      <c r="P398" s="24" t="e">
        <v>#VALUE!</v>
      </c>
      <c r="Q398" s="24" t="e">
        <f t="shared" si="51"/>
        <v>#VALUE!</v>
      </c>
      <c r="R398" s="24" t="e">
        <f t="shared" si="52"/>
        <v>#VALUE!</v>
      </c>
      <c r="S398" s="24" t="e">
        <f t="shared" si="50"/>
        <v>#VALUE!</v>
      </c>
      <c r="T398" s="24" t="e">
        <f t="shared" si="53"/>
        <v>#VALUE!</v>
      </c>
      <c r="U398" s="8">
        <f t="shared" si="57"/>
        <v>1</v>
      </c>
      <c r="V398" s="8">
        <f t="shared" si="58"/>
        <v>1900</v>
      </c>
      <c r="W398" s="24">
        <v>1.1152000000000002</v>
      </c>
    </row>
    <row r="399" spans="1:23">
      <c r="A399" s="44"/>
      <c r="B399" s="24"/>
      <c r="C399" s="24"/>
      <c r="D399" s="24"/>
      <c r="E399" s="24">
        <f t="shared" si="59"/>
        <v>0</v>
      </c>
      <c r="F399" s="24">
        <f t="shared" si="60"/>
        <v>0</v>
      </c>
      <c r="G399" s="47">
        <v>2.25</v>
      </c>
      <c r="H399" s="24">
        <f t="shared" si="54"/>
        <v>2.25</v>
      </c>
      <c r="K399" s="48">
        <f t="shared" si="55"/>
        <v>4.0178571428571432</v>
      </c>
      <c r="L399" s="48"/>
      <c r="M399" s="44">
        <f t="shared" si="56"/>
        <v>0</v>
      </c>
      <c r="N399" s="24" t="e">
        <v>#VALUE!</v>
      </c>
      <c r="O399" s="24" t="e">
        <v>#VALUE!</v>
      </c>
      <c r="P399" s="24" t="e">
        <v>#VALUE!</v>
      </c>
      <c r="Q399" s="24" t="e">
        <f t="shared" si="51"/>
        <v>#VALUE!</v>
      </c>
      <c r="R399" s="24" t="e">
        <f t="shared" si="52"/>
        <v>#VALUE!</v>
      </c>
      <c r="S399" s="24" t="e">
        <f t="shared" si="50"/>
        <v>#VALUE!</v>
      </c>
      <c r="T399" s="24" t="e">
        <f t="shared" si="53"/>
        <v>#VALUE!</v>
      </c>
      <c r="U399" s="8">
        <f t="shared" si="57"/>
        <v>1</v>
      </c>
      <c r="V399" s="8">
        <f t="shared" si="58"/>
        <v>1900</v>
      </c>
      <c r="W399" s="24">
        <v>1.1272149999999999</v>
      </c>
    </row>
    <row r="400" spans="1:23">
      <c r="A400" s="44"/>
      <c r="B400" s="24"/>
      <c r="C400" s="24"/>
      <c r="D400" s="24"/>
      <c r="E400" s="24">
        <f t="shared" si="59"/>
        <v>0</v>
      </c>
      <c r="F400" s="24">
        <f t="shared" si="60"/>
        <v>0</v>
      </c>
      <c r="G400" s="47">
        <v>2.11</v>
      </c>
      <c r="H400" s="24">
        <f t="shared" si="54"/>
        <v>2.11</v>
      </c>
      <c r="K400" s="48">
        <f t="shared" si="55"/>
        <v>3.7678571428571428</v>
      </c>
      <c r="L400" s="48"/>
      <c r="M400" s="44">
        <f t="shared" si="56"/>
        <v>0</v>
      </c>
      <c r="N400" s="24" t="e">
        <v>#VALUE!</v>
      </c>
      <c r="O400" s="24" t="e">
        <v>#VALUE!</v>
      </c>
      <c r="P400" s="24" t="e">
        <v>#VALUE!</v>
      </c>
      <c r="Q400" s="24" t="e">
        <f t="shared" si="51"/>
        <v>#VALUE!</v>
      </c>
      <c r="R400" s="24" t="e">
        <f t="shared" si="52"/>
        <v>#VALUE!</v>
      </c>
      <c r="S400" s="24" t="e">
        <f t="shared" si="50"/>
        <v>#VALUE!</v>
      </c>
      <c r="T400" s="24" t="e">
        <f t="shared" si="53"/>
        <v>#VALUE!</v>
      </c>
      <c r="U400" s="8">
        <f t="shared" si="57"/>
        <v>1</v>
      </c>
      <c r="V400" s="8">
        <f t="shared" si="58"/>
        <v>1900</v>
      </c>
      <c r="W400" s="24">
        <v>1.170108695652174</v>
      </c>
    </row>
    <row r="401" spans="1:23">
      <c r="A401" s="44"/>
      <c r="B401" s="24"/>
      <c r="C401" s="24"/>
      <c r="D401" s="24"/>
      <c r="E401" s="24">
        <f t="shared" si="59"/>
        <v>0</v>
      </c>
      <c r="F401" s="24">
        <f t="shared" si="60"/>
        <v>0</v>
      </c>
      <c r="G401" s="47">
        <v>2.2599999999999998</v>
      </c>
      <c r="H401" s="24">
        <f t="shared" si="54"/>
        <v>2.2599999999999998</v>
      </c>
      <c r="K401" s="48">
        <f t="shared" si="55"/>
        <v>4.0357142857142856</v>
      </c>
      <c r="L401" s="48"/>
      <c r="M401" s="44">
        <f t="shared" si="56"/>
        <v>0</v>
      </c>
      <c r="N401" s="24" t="e">
        <v>#VALUE!</v>
      </c>
      <c r="O401" s="24" t="e">
        <v>#VALUE!</v>
      </c>
      <c r="P401" s="24" t="e">
        <v>#VALUE!</v>
      </c>
      <c r="Q401" s="24" t="e">
        <f t="shared" si="51"/>
        <v>#VALUE!</v>
      </c>
      <c r="R401" s="24" t="e">
        <f t="shared" si="52"/>
        <v>#VALUE!</v>
      </c>
      <c r="S401" s="24" t="e">
        <f t="shared" si="50"/>
        <v>#VALUE!</v>
      </c>
      <c r="T401" s="24" t="e">
        <f t="shared" si="53"/>
        <v>#VALUE!</v>
      </c>
      <c r="U401" s="8">
        <f t="shared" si="57"/>
        <v>1</v>
      </c>
      <c r="V401" s="8">
        <f t="shared" si="58"/>
        <v>1900</v>
      </c>
      <c r="W401" s="24">
        <v>1.1703368421052629</v>
      </c>
    </row>
    <row r="402" spans="1:23">
      <c r="A402" s="44"/>
      <c r="B402" s="24"/>
      <c r="C402" s="24"/>
      <c r="D402" s="24"/>
      <c r="E402" s="24">
        <f t="shared" si="59"/>
        <v>0</v>
      </c>
      <c r="F402" s="24">
        <f t="shared" si="60"/>
        <v>0</v>
      </c>
      <c r="G402" s="47">
        <v>2.38</v>
      </c>
      <c r="H402" s="24">
        <f t="shared" si="54"/>
        <v>2.38</v>
      </c>
      <c r="K402" s="48">
        <f t="shared" si="55"/>
        <v>4.25</v>
      </c>
      <c r="L402" s="48"/>
      <c r="M402" s="44">
        <f t="shared" si="56"/>
        <v>0</v>
      </c>
      <c r="N402" s="24" t="e">
        <v>#VALUE!</v>
      </c>
      <c r="O402" s="24" t="e">
        <v>#VALUE!</v>
      </c>
      <c r="P402" s="24" t="e">
        <v>#VALUE!</v>
      </c>
      <c r="Q402" s="24" t="e">
        <f t="shared" si="51"/>
        <v>#VALUE!</v>
      </c>
      <c r="R402" s="24" t="e">
        <f t="shared" si="52"/>
        <v>#VALUE!</v>
      </c>
      <c r="S402" s="24" t="e">
        <f t="shared" si="50"/>
        <v>#VALUE!</v>
      </c>
      <c r="T402" s="24" t="e">
        <f t="shared" si="53"/>
        <v>#VALUE!</v>
      </c>
      <c r="U402" s="8">
        <f t="shared" si="57"/>
        <v>1</v>
      </c>
      <c r="V402" s="8">
        <f t="shared" si="58"/>
        <v>1900</v>
      </c>
      <c r="W402" s="24">
        <v>1.2303772727272728</v>
      </c>
    </row>
    <row r="403" spans="1:23">
      <c r="A403" s="44"/>
      <c r="B403" s="24"/>
      <c r="C403" s="24"/>
      <c r="D403" s="24"/>
      <c r="E403" s="24">
        <f t="shared" si="59"/>
        <v>0</v>
      </c>
      <c r="F403" s="24">
        <f t="shared" si="60"/>
        <v>0</v>
      </c>
      <c r="G403" s="47">
        <v>2.52</v>
      </c>
      <c r="H403" s="24">
        <f t="shared" si="54"/>
        <v>2.52</v>
      </c>
      <c r="K403" s="48">
        <f t="shared" si="55"/>
        <v>4.5</v>
      </c>
      <c r="L403" s="48"/>
      <c r="M403" s="44">
        <f t="shared" si="56"/>
        <v>0</v>
      </c>
      <c r="N403" s="24" t="e">
        <v>#VALUE!</v>
      </c>
      <c r="O403" s="24" t="e">
        <v>#VALUE!</v>
      </c>
      <c r="P403" s="24" t="e">
        <v>#VALUE!</v>
      </c>
      <c r="Q403" s="24" t="e">
        <f t="shared" si="51"/>
        <v>#VALUE!</v>
      </c>
      <c r="R403" s="24" t="e">
        <f t="shared" si="52"/>
        <v>#VALUE!</v>
      </c>
      <c r="S403" s="24" t="e">
        <f t="shared" si="50"/>
        <v>#VALUE!</v>
      </c>
      <c r="T403" s="24" t="e">
        <f t="shared" si="53"/>
        <v>#VALUE!</v>
      </c>
      <c r="U403" s="8">
        <f t="shared" si="57"/>
        <v>1</v>
      </c>
      <c r="V403" s="8">
        <f t="shared" si="58"/>
        <v>1900</v>
      </c>
      <c r="W403" s="24">
        <v>1.2613750000000001</v>
      </c>
    </row>
    <row r="404" spans="1:23">
      <c r="A404" s="44"/>
      <c r="B404" s="24"/>
      <c r="C404" s="24"/>
      <c r="D404" s="24"/>
      <c r="E404" s="24">
        <f t="shared" si="59"/>
        <v>0</v>
      </c>
      <c r="F404" s="24">
        <f t="shared" si="60"/>
        <v>0</v>
      </c>
      <c r="G404" s="47">
        <v>2.73</v>
      </c>
      <c r="H404" s="24">
        <f t="shared" si="54"/>
        <v>2.73</v>
      </c>
      <c r="K404" s="48">
        <f t="shared" si="55"/>
        <v>4.875</v>
      </c>
      <c r="L404" s="48"/>
      <c r="M404" s="44">
        <f t="shared" si="56"/>
        <v>0</v>
      </c>
      <c r="N404" s="24" t="e">
        <v>#VALUE!</v>
      </c>
      <c r="O404" s="24" t="e">
        <v>#VALUE!</v>
      </c>
      <c r="P404" s="24" t="e">
        <v>#VALUE!</v>
      </c>
      <c r="Q404" s="24" t="e">
        <f t="shared" si="51"/>
        <v>#VALUE!</v>
      </c>
      <c r="R404" s="24" t="e">
        <f t="shared" si="52"/>
        <v>#VALUE!</v>
      </c>
      <c r="S404" s="24" t="e">
        <f t="shared" si="50"/>
        <v>#VALUE!</v>
      </c>
      <c r="T404" s="24" t="e">
        <f t="shared" si="53"/>
        <v>#VALUE!</v>
      </c>
      <c r="U404" s="8">
        <f t="shared" si="57"/>
        <v>1</v>
      </c>
      <c r="V404" s="8">
        <f t="shared" si="58"/>
        <v>1900</v>
      </c>
      <c r="W404" s="24">
        <v>1.2625157894736843</v>
      </c>
    </row>
    <row r="405" spans="1:23">
      <c r="A405" s="44"/>
      <c r="B405" s="24"/>
      <c r="C405" s="24"/>
      <c r="D405" s="24"/>
      <c r="E405" s="24">
        <f t="shared" si="59"/>
        <v>0</v>
      </c>
      <c r="F405" s="24">
        <f t="shared" si="60"/>
        <v>0</v>
      </c>
      <c r="G405" s="47">
        <v>2.89</v>
      </c>
      <c r="H405" s="24">
        <f t="shared" si="54"/>
        <v>2.89</v>
      </c>
      <c r="K405" s="48">
        <f t="shared" si="55"/>
        <v>5.1607142857142856</v>
      </c>
      <c r="L405" s="48"/>
      <c r="M405" s="44">
        <f t="shared" si="56"/>
        <v>0</v>
      </c>
      <c r="N405" s="24" t="e">
        <v>#VALUE!</v>
      </c>
      <c r="O405" s="24" t="e">
        <v>#VALUE!</v>
      </c>
      <c r="P405" s="24" t="e">
        <v>#VALUE!</v>
      </c>
      <c r="Q405" s="24" t="e">
        <f t="shared" si="51"/>
        <v>#VALUE!</v>
      </c>
      <c r="R405" s="24" t="e">
        <f t="shared" si="52"/>
        <v>#VALUE!</v>
      </c>
      <c r="S405" s="24" t="e">
        <f t="shared" si="50"/>
        <v>#VALUE!</v>
      </c>
      <c r="T405" s="24" t="e">
        <f t="shared" si="53"/>
        <v>#VALUE!</v>
      </c>
      <c r="U405" s="8">
        <f t="shared" si="57"/>
        <v>1</v>
      </c>
      <c r="V405" s="8">
        <f t="shared" si="58"/>
        <v>1900</v>
      </c>
      <c r="W405" s="24">
        <v>1.2263999999999999</v>
      </c>
    </row>
    <row r="406" spans="1:23">
      <c r="A406" s="44"/>
      <c r="B406" s="24"/>
      <c r="C406" s="24"/>
      <c r="D406" s="24"/>
      <c r="E406" s="24">
        <f t="shared" si="59"/>
        <v>0</v>
      </c>
      <c r="F406" s="24">
        <f t="shared" si="60"/>
        <v>0</v>
      </c>
      <c r="G406" s="47">
        <v>3.03</v>
      </c>
      <c r="H406" s="24">
        <f t="shared" si="54"/>
        <v>3.03</v>
      </c>
      <c r="K406" s="48">
        <f t="shared" si="55"/>
        <v>5.4107142857142856</v>
      </c>
      <c r="L406" s="48"/>
      <c r="M406" s="44">
        <f t="shared" si="56"/>
        <v>0</v>
      </c>
      <c r="N406" s="24" t="e">
        <v>#VALUE!</v>
      </c>
      <c r="O406" s="24" t="e">
        <v>#VALUE!</v>
      </c>
      <c r="P406" s="24" t="e">
        <v>#VALUE!</v>
      </c>
      <c r="Q406" s="24" t="e">
        <f t="shared" si="51"/>
        <v>#VALUE!</v>
      </c>
      <c r="R406" s="24" t="e">
        <f t="shared" si="52"/>
        <v>#VALUE!</v>
      </c>
      <c r="S406" s="24" t="e">
        <f t="shared" si="50"/>
        <v>#VALUE!</v>
      </c>
      <c r="T406" s="24" t="e">
        <f t="shared" si="53"/>
        <v>#VALUE!</v>
      </c>
      <c r="U406" s="8">
        <f t="shared" si="57"/>
        <v>1</v>
      </c>
      <c r="V406" s="8">
        <f t="shared" si="58"/>
        <v>1900</v>
      </c>
      <c r="W406" s="24">
        <v>1.1992666666666669</v>
      </c>
    </row>
    <row r="407" spans="1:23">
      <c r="A407" s="44"/>
      <c r="B407" s="24"/>
      <c r="C407" s="24"/>
      <c r="D407" s="24"/>
      <c r="E407" s="24">
        <f t="shared" si="59"/>
        <v>0</v>
      </c>
      <c r="F407" s="24">
        <f t="shared" si="60"/>
        <v>0</v>
      </c>
      <c r="G407" s="47">
        <v>2.9</v>
      </c>
      <c r="H407" s="24">
        <f t="shared" si="54"/>
        <v>2.9</v>
      </c>
      <c r="K407" s="48">
        <f t="shared" si="55"/>
        <v>5.1785714285714279</v>
      </c>
      <c r="L407" s="48"/>
      <c r="M407" s="44">
        <f t="shared" si="56"/>
        <v>0</v>
      </c>
      <c r="N407" s="24" t="e">
        <v>#VALUE!</v>
      </c>
      <c r="O407" s="24" t="e">
        <v>#VALUE!</v>
      </c>
      <c r="P407" s="24" t="e">
        <v>#VALUE!</v>
      </c>
      <c r="Q407" s="24" t="e">
        <f t="shared" si="51"/>
        <v>#VALUE!</v>
      </c>
      <c r="R407" s="24" t="e">
        <f t="shared" si="52"/>
        <v>#VALUE!</v>
      </c>
      <c r="S407" s="24" t="e">
        <f t="shared" si="50"/>
        <v>#VALUE!</v>
      </c>
      <c r="T407" s="24" t="e">
        <f t="shared" si="53"/>
        <v>#VALUE!</v>
      </c>
      <c r="U407" s="8">
        <f t="shared" si="57"/>
        <v>1</v>
      </c>
      <c r="V407" s="8">
        <f t="shared" si="58"/>
        <v>1900</v>
      </c>
      <c r="W407" s="24">
        <v>1.2004100000000002</v>
      </c>
    </row>
    <row r="408" spans="1:23">
      <c r="A408" s="44"/>
      <c r="B408" s="24"/>
      <c r="C408" s="24"/>
      <c r="D408" s="24"/>
      <c r="E408" s="24">
        <f t="shared" si="59"/>
        <v>0</v>
      </c>
      <c r="F408" s="24">
        <f t="shared" si="60"/>
        <v>0</v>
      </c>
      <c r="G408" s="47">
        <v>2.76</v>
      </c>
      <c r="H408" s="24">
        <f t="shared" si="54"/>
        <v>2.76</v>
      </c>
      <c r="K408" s="48">
        <f t="shared" si="55"/>
        <v>4.9285714285714279</v>
      </c>
      <c r="L408" s="48"/>
      <c r="M408" s="44">
        <f t="shared" si="56"/>
        <v>0</v>
      </c>
      <c r="N408" s="24" t="e">
        <v>#VALUE!</v>
      </c>
      <c r="O408" s="24" t="e">
        <v>#VALUE!</v>
      </c>
      <c r="P408" s="24" t="e">
        <v>#VALUE!</v>
      </c>
      <c r="Q408" s="24" t="e">
        <f t="shared" si="51"/>
        <v>#VALUE!</v>
      </c>
      <c r="R408" s="24" t="e">
        <f t="shared" si="52"/>
        <v>#VALUE!</v>
      </c>
      <c r="S408" s="24" t="e">
        <f t="shared" si="50"/>
        <v>#VALUE!</v>
      </c>
      <c r="T408" s="24" t="e">
        <f t="shared" si="53"/>
        <v>#VALUE!</v>
      </c>
      <c r="U408" s="8">
        <f t="shared" si="57"/>
        <v>1</v>
      </c>
      <c r="V408" s="8">
        <f t="shared" si="58"/>
        <v>1900</v>
      </c>
      <c r="W408" s="24">
        <v>1.2143727272727274</v>
      </c>
    </row>
    <row r="409" spans="1:23">
      <c r="A409" s="44"/>
      <c r="B409" s="24"/>
      <c r="C409" s="24"/>
      <c r="D409" s="24"/>
      <c r="E409" s="24">
        <f t="shared" si="59"/>
        <v>0</v>
      </c>
      <c r="F409" s="24">
        <f t="shared" si="60"/>
        <v>0</v>
      </c>
      <c r="G409" s="47">
        <v>2.2599999999999998</v>
      </c>
      <c r="H409" s="24">
        <f t="shared" si="54"/>
        <v>2.2599999999999998</v>
      </c>
      <c r="K409" s="48">
        <f t="shared" si="55"/>
        <v>4.0357142857142856</v>
      </c>
      <c r="L409" s="48"/>
      <c r="M409" s="44">
        <f t="shared" si="56"/>
        <v>0</v>
      </c>
      <c r="N409" s="24" t="e">
        <v>#VALUE!</v>
      </c>
      <c r="O409" s="24" t="e">
        <v>#VALUE!</v>
      </c>
      <c r="P409" s="24" t="e">
        <v>#VALUE!</v>
      </c>
      <c r="Q409" s="24" t="e">
        <f t="shared" si="51"/>
        <v>#VALUE!</v>
      </c>
      <c r="R409" s="24" t="e">
        <f t="shared" si="52"/>
        <v>#VALUE!</v>
      </c>
      <c r="S409" s="24" t="e">
        <f t="shared" si="50"/>
        <v>#VALUE!</v>
      </c>
      <c r="T409" s="24" t="e">
        <f t="shared" si="53"/>
        <v>#VALUE!</v>
      </c>
      <c r="U409" s="8">
        <f t="shared" si="57"/>
        <v>1</v>
      </c>
      <c r="V409" s="8">
        <f t="shared" si="58"/>
        <v>1900</v>
      </c>
      <c r="W409" s="24">
        <v>1.226404761904762</v>
      </c>
    </row>
    <row r="410" spans="1:23">
      <c r="A410" s="44"/>
      <c r="B410" s="24"/>
      <c r="C410" s="24"/>
      <c r="D410" s="24"/>
      <c r="E410" s="24">
        <f t="shared" si="59"/>
        <v>0</v>
      </c>
      <c r="F410" s="24">
        <f t="shared" si="60"/>
        <v>0</v>
      </c>
      <c r="G410" s="47">
        <v>2.17</v>
      </c>
      <c r="H410" s="24">
        <f t="shared" si="54"/>
        <v>2.17</v>
      </c>
      <c r="K410" s="48">
        <f t="shared" si="55"/>
        <v>3.875</v>
      </c>
      <c r="L410" s="48"/>
      <c r="M410" s="44">
        <f t="shared" si="56"/>
        <v>0</v>
      </c>
      <c r="N410" s="24" t="e">
        <v>#VALUE!</v>
      </c>
      <c r="O410" s="24" t="e">
        <v>#VALUE!</v>
      </c>
      <c r="P410" s="24" t="e">
        <v>#VALUE!</v>
      </c>
      <c r="Q410" s="24" t="e">
        <f t="shared" si="51"/>
        <v>#VALUE!</v>
      </c>
      <c r="R410" s="24" t="e">
        <f t="shared" si="52"/>
        <v>#VALUE!</v>
      </c>
      <c r="S410" s="24" t="e">
        <f t="shared" si="50"/>
        <v>#VALUE!</v>
      </c>
      <c r="T410" s="24" t="e">
        <f t="shared" si="53"/>
        <v>#VALUE!</v>
      </c>
      <c r="U410" s="8">
        <f t="shared" si="57"/>
        <v>1</v>
      </c>
      <c r="V410" s="8">
        <f t="shared" si="58"/>
        <v>1900</v>
      </c>
      <c r="W410" s="24">
        <v>1.2188636363636365</v>
      </c>
    </row>
    <row r="411" spans="1:23">
      <c r="A411" s="44"/>
      <c r="B411" s="24"/>
      <c r="C411" s="24"/>
      <c r="D411" s="24"/>
      <c r="E411" s="24">
        <f t="shared" si="59"/>
        <v>0</v>
      </c>
      <c r="F411" s="24">
        <f t="shared" si="60"/>
        <v>0</v>
      </c>
      <c r="G411" s="47">
        <v>1.98</v>
      </c>
      <c r="H411" s="24">
        <f t="shared" si="54"/>
        <v>1.98</v>
      </c>
      <c r="K411" s="48">
        <f t="shared" si="55"/>
        <v>3.5357142857142856</v>
      </c>
      <c r="L411" s="48"/>
      <c r="M411" s="44">
        <f t="shared" si="56"/>
        <v>0</v>
      </c>
      <c r="N411" s="24" t="e">
        <v>#VALUE!</v>
      </c>
      <c r="O411" s="24" t="e">
        <v>#VALUE!</v>
      </c>
      <c r="P411" s="24" t="e">
        <v>#VALUE!</v>
      </c>
      <c r="Q411" s="24" t="e">
        <f t="shared" si="51"/>
        <v>#VALUE!</v>
      </c>
      <c r="R411" s="24" t="e">
        <f t="shared" si="52"/>
        <v>#VALUE!</v>
      </c>
      <c r="S411" s="24" t="e">
        <f t="shared" si="50"/>
        <v>#VALUE!</v>
      </c>
      <c r="T411" s="24" t="e">
        <f t="shared" si="53"/>
        <v>#VALUE!</v>
      </c>
      <c r="U411" s="8">
        <f t="shared" si="57"/>
        <v>1</v>
      </c>
      <c r="V411" s="8">
        <f t="shared" si="58"/>
        <v>1900</v>
      </c>
      <c r="W411" s="24">
        <v>1.2233476190476191</v>
      </c>
    </row>
    <row r="412" spans="1:23">
      <c r="A412" s="44"/>
      <c r="B412" s="24"/>
      <c r="C412" s="24"/>
      <c r="D412" s="24"/>
      <c r="E412" s="24">
        <f t="shared" si="59"/>
        <v>0</v>
      </c>
      <c r="F412" s="24">
        <f t="shared" si="60"/>
        <v>0</v>
      </c>
      <c r="G412" s="47">
        <v>1.77</v>
      </c>
      <c r="H412" s="24">
        <f t="shared" si="54"/>
        <v>1.77</v>
      </c>
      <c r="K412" s="48">
        <f t="shared" si="55"/>
        <v>3.1607142857142856</v>
      </c>
      <c r="L412" s="48"/>
      <c r="M412" s="44">
        <f t="shared" si="56"/>
        <v>0</v>
      </c>
      <c r="N412" s="24" t="e">
        <v>#VALUE!</v>
      </c>
      <c r="O412" s="24" t="e">
        <v>#VALUE!</v>
      </c>
      <c r="P412" s="24" t="e">
        <v>#VALUE!</v>
      </c>
      <c r="Q412" s="24" t="e">
        <f t="shared" si="51"/>
        <v>#VALUE!</v>
      </c>
      <c r="R412" s="24" t="e">
        <f t="shared" si="52"/>
        <v>#VALUE!</v>
      </c>
      <c r="S412" s="24" t="e">
        <f t="shared" si="50"/>
        <v>#VALUE!</v>
      </c>
      <c r="T412" s="24" t="e">
        <f t="shared" si="53"/>
        <v>#VALUE!</v>
      </c>
      <c r="U412" s="8">
        <f t="shared" si="57"/>
        <v>1</v>
      </c>
      <c r="V412" s="8">
        <f t="shared" si="58"/>
        <v>1900</v>
      </c>
      <c r="W412" s="24">
        <v>1.2501666666666664</v>
      </c>
    </row>
    <row r="413" spans="1:23">
      <c r="A413" s="44"/>
      <c r="B413" s="24"/>
      <c r="C413" s="24"/>
      <c r="D413" s="24"/>
      <c r="E413" s="24">
        <f t="shared" si="59"/>
        <v>0</v>
      </c>
      <c r="F413" s="24">
        <f t="shared" si="60"/>
        <v>0</v>
      </c>
      <c r="G413" s="47">
        <v>1.79</v>
      </c>
      <c r="H413" s="24">
        <f t="shared" si="54"/>
        <v>1.79</v>
      </c>
      <c r="K413" s="48">
        <f t="shared" si="55"/>
        <v>3.1964285714285716</v>
      </c>
      <c r="L413" s="48"/>
      <c r="M413" s="44">
        <f t="shared" si="56"/>
        <v>0</v>
      </c>
      <c r="N413" s="24" t="e">
        <v>#VALUE!</v>
      </c>
      <c r="O413" s="24" t="e">
        <v>#VALUE!</v>
      </c>
      <c r="P413" s="24" t="e">
        <v>#VALUE!</v>
      </c>
      <c r="Q413" s="24" t="e">
        <f t="shared" si="51"/>
        <v>#VALUE!</v>
      </c>
      <c r="R413" s="24" t="e">
        <f t="shared" si="52"/>
        <v>#VALUE!</v>
      </c>
      <c r="S413" s="24" t="e">
        <f t="shared" si="50"/>
        <v>#VALUE!</v>
      </c>
      <c r="T413" s="24" t="e">
        <f t="shared" si="53"/>
        <v>#VALUE!</v>
      </c>
      <c r="U413" s="8">
        <f t="shared" si="57"/>
        <v>1</v>
      </c>
      <c r="V413" s="8">
        <f t="shared" si="58"/>
        <v>1900</v>
      </c>
      <c r="W413" s="24">
        <v>1.2988428571428574</v>
      </c>
    </row>
    <row r="414" spans="1:23">
      <c r="A414" s="44"/>
      <c r="B414" s="24"/>
      <c r="C414" s="24"/>
      <c r="D414" s="24"/>
      <c r="E414" s="24">
        <f t="shared" si="59"/>
        <v>0</v>
      </c>
      <c r="F414" s="24">
        <f t="shared" si="60"/>
        <v>0</v>
      </c>
      <c r="G414" s="47">
        <v>1.87</v>
      </c>
      <c r="H414" s="24">
        <f t="shared" si="54"/>
        <v>1.87</v>
      </c>
      <c r="K414" s="48">
        <f t="shared" si="55"/>
        <v>3.3392857142857149</v>
      </c>
      <c r="L414" s="48"/>
      <c r="M414" s="44">
        <f t="shared" si="56"/>
        <v>0</v>
      </c>
      <c r="N414" s="24" t="e">
        <v>#VALUE!</v>
      </c>
      <c r="O414" s="24" t="e">
        <v>#VALUE!</v>
      </c>
      <c r="P414" s="24" t="e">
        <v>#VALUE!</v>
      </c>
      <c r="Q414" s="24" t="e">
        <f t="shared" si="51"/>
        <v>#VALUE!</v>
      </c>
      <c r="R414" s="24" t="e">
        <f t="shared" si="52"/>
        <v>#VALUE!</v>
      </c>
      <c r="S414" s="24" t="e">
        <f t="shared" si="50"/>
        <v>#VALUE!</v>
      </c>
      <c r="T414" s="24" t="e">
        <f t="shared" si="53"/>
        <v>#VALUE!</v>
      </c>
      <c r="U414" s="8">
        <f t="shared" si="57"/>
        <v>1</v>
      </c>
      <c r="V414" s="8">
        <f t="shared" si="58"/>
        <v>1900</v>
      </c>
      <c r="W414" s="24">
        <v>1.3400285714285711</v>
      </c>
    </row>
    <row r="415" spans="1:23">
      <c r="A415" s="44"/>
      <c r="B415" s="24"/>
      <c r="C415" s="24"/>
      <c r="D415" s="24"/>
      <c r="E415" s="24">
        <f t="shared" si="59"/>
        <v>0</v>
      </c>
      <c r="F415" s="24">
        <f t="shared" si="60"/>
        <v>0</v>
      </c>
      <c r="G415" s="47">
        <v>1.86</v>
      </c>
      <c r="H415" s="24">
        <f t="shared" si="54"/>
        <v>1.86</v>
      </c>
      <c r="K415" s="48">
        <f t="shared" si="55"/>
        <v>3.3214285714285716</v>
      </c>
      <c r="L415" s="48"/>
      <c r="M415" s="44">
        <f t="shared" si="56"/>
        <v>0</v>
      </c>
      <c r="N415" s="24" t="e">
        <v>#VALUE!</v>
      </c>
      <c r="O415" s="24" t="e">
        <v>#VALUE!</v>
      </c>
      <c r="P415" s="24" t="e">
        <v>#VALUE!</v>
      </c>
      <c r="Q415" s="24" t="e">
        <f t="shared" si="51"/>
        <v>#VALUE!</v>
      </c>
      <c r="R415" s="24" t="e">
        <f t="shared" si="52"/>
        <v>#VALUE!</v>
      </c>
      <c r="S415" s="24" t="e">
        <f t="shared" si="50"/>
        <v>#VALUE!</v>
      </c>
      <c r="T415" s="24" t="e">
        <f t="shared" si="53"/>
        <v>#VALUE!</v>
      </c>
      <c r="U415" s="8">
        <f t="shared" si="57"/>
        <v>1</v>
      </c>
      <c r="V415" s="8">
        <f t="shared" si="58"/>
        <v>1900</v>
      </c>
      <c r="W415" s="24">
        <v>1.3112200000000001</v>
      </c>
    </row>
    <row r="416" spans="1:23">
      <c r="A416" s="44"/>
      <c r="B416" s="24"/>
      <c r="C416" s="24"/>
      <c r="D416" s="24"/>
      <c r="E416" s="24">
        <f t="shared" si="59"/>
        <v>0</v>
      </c>
      <c r="F416" s="24">
        <f t="shared" si="60"/>
        <v>0</v>
      </c>
      <c r="G416" s="47">
        <v>1.86</v>
      </c>
      <c r="H416" s="24">
        <f t="shared" si="54"/>
        <v>1.86</v>
      </c>
      <c r="K416" s="48">
        <f t="shared" si="55"/>
        <v>3.3214285714285716</v>
      </c>
      <c r="L416" s="48"/>
      <c r="M416" s="44">
        <f t="shared" si="56"/>
        <v>0</v>
      </c>
      <c r="N416" s="24" t="e">
        <v>#VALUE!</v>
      </c>
      <c r="O416" s="24" t="e">
        <v>#VALUE!</v>
      </c>
      <c r="P416" s="24" t="e">
        <v>#VALUE!</v>
      </c>
      <c r="Q416" s="24" t="e">
        <f t="shared" si="51"/>
        <v>#VALUE!</v>
      </c>
      <c r="R416" s="24" t="e">
        <f t="shared" si="52"/>
        <v>#VALUE!</v>
      </c>
      <c r="S416" s="24" t="e">
        <f t="shared" si="50"/>
        <v>#VALUE!</v>
      </c>
      <c r="T416" s="24" t="e">
        <f t="shared" si="53"/>
        <v>#VALUE!</v>
      </c>
      <c r="U416" s="8">
        <f t="shared" si="57"/>
        <v>1</v>
      </c>
      <c r="V416" s="8">
        <f t="shared" si="58"/>
        <v>1900</v>
      </c>
      <c r="W416" s="24">
        <v>1.3014000000000001</v>
      </c>
    </row>
    <row r="417" spans="1:23">
      <c r="A417" s="44"/>
      <c r="B417" s="24"/>
      <c r="C417" s="24"/>
      <c r="D417" s="24"/>
      <c r="E417" s="24">
        <f t="shared" si="59"/>
        <v>0</v>
      </c>
      <c r="F417" s="24">
        <f t="shared" si="60"/>
        <v>0</v>
      </c>
      <c r="G417" s="47">
        <v>1.97</v>
      </c>
      <c r="H417" s="24">
        <f t="shared" si="54"/>
        <v>1.97</v>
      </c>
      <c r="K417" s="48">
        <f t="shared" si="55"/>
        <v>3.5178571428571428</v>
      </c>
      <c r="L417" s="48"/>
      <c r="M417" s="44">
        <f t="shared" si="56"/>
        <v>0</v>
      </c>
      <c r="N417" s="24" t="e">
        <v>#VALUE!</v>
      </c>
      <c r="O417" s="24" t="e">
        <v>#VALUE!</v>
      </c>
      <c r="P417" s="24" t="e">
        <v>#VALUE!</v>
      </c>
      <c r="Q417" s="24" t="e">
        <f t="shared" si="51"/>
        <v>#VALUE!</v>
      </c>
      <c r="R417" s="24" t="e">
        <f t="shared" si="52"/>
        <v>#VALUE!</v>
      </c>
      <c r="S417" s="24" t="e">
        <f t="shared" si="50"/>
        <v>#VALUE!</v>
      </c>
      <c r="T417" s="24" t="e">
        <f t="shared" si="53"/>
        <v>#VALUE!</v>
      </c>
      <c r="U417" s="8">
        <f t="shared" si="57"/>
        <v>1</v>
      </c>
      <c r="V417" s="8">
        <f t="shared" si="58"/>
        <v>1900</v>
      </c>
      <c r="W417" s="24">
        <v>1.318768181818182</v>
      </c>
    </row>
    <row r="418" spans="1:23">
      <c r="A418" s="44"/>
      <c r="B418" s="24"/>
      <c r="C418" s="24"/>
      <c r="D418" s="24"/>
      <c r="E418" s="24">
        <f t="shared" si="59"/>
        <v>0</v>
      </c>
      <c r="F418" s="24">
        <f t="shared" si="60"/>
        <v>0</v>
      </c>
      <c r="G418" s="47">
        <v>1.94</v>
      </c>
      <c r="H418" s="24">
        <f t="shared" si="54"/>
        <v>1.94</v>
      </c>
      <c r="K418" s="48">
        <f t="shared" si="55"/>
        <v>3.4642857142857144</v>
      </c>
      <c r="L418" s="48"/>
      <c r="M418" s="44">
        <f t="shared" si="56"/>
        <v>0</v>
      </c>
      <c r="N418" s="24" t="e">
        <v>#VALUE!</v>
      </c>
      <c r="O418" s="24" t="e">
        <v>#VALUE!</v>
      </c>
      <c r="P418" s="24" t="e">
        <v>#VALUE!</v>
      </c>
      <c r="Q418" s="24" t="e">
        <f t="shared" si="51"/>
        <v>#VALUE!</v>
      </c>
      <c r="R418" s="24" t="e">
        <f t="shared" si="52"/>
        <v>#VALUE!</v>
      </c>
      <c r="S418" s="24" t="e">
        <f t="shared" si="50"/>
        <v>#VALUE!</v>
      </c>
      <c r="T418" s="24" t="e">
        <f t="shared" si="53"/>
        <v>#VALUE!</v>
      </c>
      <c r="U418" s="8">
        <f t="shared" si="57"/>
        <v>1</v>
      </c>
      <c r="V418" s="8">
        <f t="shared" si="58"/>
        <v>1900</v>
      </c>
      <c r="W418" s="24">
        <v>1.2940761904761904</v>
      </c>
    </row>
    <row r="419" spans="1:23">
      <c r="A419" s="44"/>
      <c r="B419" s="24"/>
      <c r="C419" s="24"/>
      <c r="D419" s="24"/>
      <c r="E419" s="24">
        <f t="shared" si="59"/>
        <v>0</v>
      </c>
      <c r="F419" s="24">
        <f t="shared" si="60"/>
        <v>0</v>
      </c>
      <c r="G419" s="47">
        <v>1.93</v>
      </c>
      <c r="H419" s="24">
        <f t="shared" si="54"/>
        <v>1.93</v>
      </c>
      <c r="K419" s="48">
        <f t="shared" si="55"/>
        <v>3.4464285714285712</v>
      </c>
      <c r="L419" s="48"/>
      <c r="M419" s="44">
        <f t="shared" si="56"/>
        <v>0</v>
      </c>
      <c r="N419" s="24" t="e">
        <v>#VALUE!</v>
      </c>
      <c r="O419" s="24" t="e">
        <v>#VALUE!</v>
      </c>
      <c r="P419" s="24" t="e">
        <v>#VALUE!</v>
      </c>
      <c r="Q419" s="24" t="e">
        <f t="shared" si="51"/>
        <v>#VALUE!</v>
      </c>
      <c r="R419" s="24" t="e">
        <f t="shared" si="52"/>
        <v>#VALUE!</v>
      </c>
      <c r="S419" s="24" t="e">
        <f t="shared" ref="S419:S482" si="61">P419/39.3679/W419</f>
        <v>#VALUE!</v>
      </c>
      <c r="T419" s="24" t="e">
        <f t="shared" si="53"/>
        <v>#VALUE!</v>
      </c>
      <c r="U419" s="8">
        <f t="shared" si="57"/>
        <v>1</v>
      </c>
      <c r="V419" s="8">
        <f t="shared" si="58"/>
        <v>1900</v>
      </c>
      <c r="W419" s="24">
        <v>1.2693047619047619</v>
      </c>
    </row>
    <row r="420" spans="1:23">
      <c r="A420" s="44"/>
      <c r="B420" s="24"/>
      <c r="C420" s="24"/>
      <c r="D420" s="24"/>
      <c r="E420" s="24">
        <f t="shared" si="59"/>
        <v>0</v>
      </c>
      <c r="F420" s="24">
        <f t="shared" si="60"/>
        <v>0</v>
      </c>
      <c r="G420" s="47">
        <v>2.02</v>
      </c>
      <c r="H420" s="24">
        <f t="shared" si="54"/>
        <v>2.02</v>
      </c>
      <c r="K420" s="48">
        <f t="shared" si="55"/>
        <v>3.6071428571428572</v>
      </c>
      <c r="L420" s="48"/>
      <c r="M420" s="44">
        <f t="shared" si="56"/>
        <v>0</v>
      </c>
      <c r="N420" s="24" t="e">
        <v>#VALUE!</v>
      </c>
      <c r="O420" s="24" t="e">
        <v>#VALUE!</v>
      </c>
      <c r="P420" s="24" t="e">
        <v>#VALUE!</v>
      </c>
      <c r="Q420" s="24" t="e">
        <f t="shared" ref="Q420:Q483" si="62">N420-P420</f>
        <v>#VALUE!</v>
      </c>
      <c r="R420" s="24" t="e">
        <f t="shared" ref="R420:R483" si="63">O420-P420</f>
        <v>#VALUE!</v>
      </c>
      <c r="S420" s="24" t="e">
        <f t="shared" si="61"/>
        <v>#VALUE!</v>
      </c>
      <c r="T420" s="24" t="e">
        <f t="shared" ref="T420:T483" si="64">S420-D420</f>
        <v>#VALUE!</v>
      </c>
      <c r="U420" s="8">
        <f t="shared" si="57"/>
        <v>1</v>
      </c>
      <c r="V420" s="8">
        <f t="shared" si="58"/>
        <v>1900</v>
      </c>
      <c r="W420" s="24">
        <v>1.2156454545454545</v>
      </c>
    </row>
    <row r="421" spans="1:23">
      <c r="A421" s="44"/>
      <c r="B421" s="24"/>
      <c r="C421" s="24"/>
      <c r="D421" s="24"/>
      <c r="E421" s="24">
        <f t="shared" si="59"/>
        <v>0</v>
      </c>
      <c r="F421" s="24">
        <f t="shared" si="60"/>
        <v>0</v>
      </c>
      <c r="G421" s="47">
        <v>2.2000000000000002</v>
      </c>
      <c r="H421" s="24">
        <f t="shared" si="54"/>
        <v>2.2000000000000002</v>
      </c>
      <c r="K421" s="48">
        <f t="shared" si="55"/>
        <v>3.9285714285714293</v>
      </c>
      <c r="L421" s="48"/>
      <c r="M421" s="44">
        <f t="shared" si="56"/>
        <v>0</v>
      </c>
      <c r="N421" s="24" t="e">
        <v>#VALUE!</v>
      </c>
      <c r="O421" s="24" t="e">
        <v>#VALUE!</v>
      </c>
      <c r="P421" s="24" t="e">
        <v>#VALUE!</v>
      </c>
      <c r="Q421" s="24" t="e">
        <f t="shared" si="62"/>
        <v>#VALUE!</v>
      </c>
      <c r="R421" s="24" t="e">
        <f t="shared" si="63"/>
        <v>#VALUE!</v>
      </c>
      <c r="S421" s="24" t="e">
        <f t="shared" si="61"/>
        <v>#VALUE!</v>
      </c>
      <c r="T421" s="24" t="e">
        <f t="shared" si="64"/>
        <v>#VALUE!</v>
      </c>
      <c r="U421" s="8">
        <f t="shared" si="57"/>
        <v>1</v>
      </c>
      <c r="V421" s="8">
        <f t="shared" si="58"/>
        <v>1900</v>
      </c>
      <c r="W421" s="24">
        <v>1.205465</v>
      </c>
    </row>
    <row r="422" spans="1:23">
      <c r="A422" s="44"/>
      <c r="B422" s="24"/>
      <c r="C422" s="24"/>
      <c r="D422" s="24"/>
      <c r="E422" s="24">
        <f t="shared" si="59"/>
        <v>0</v>
      </c>
      <c r="F422" s="24">
        <f t="shared" si="60"/>
        <v>0</v>
      </c>
      <c r="G422" s="47">
        <v>1.98</v>
      </c>
      <c r="H422" s="24">
        <f t="shared" si="54"/>
        <v>1.98</v>
      </c>
      <c r="K422" s="48">
        <f t="shared" si="55"/>
        <v>3.5357142857142856</v>
      </c>
      <c r="L422" s="48"/>
      <c r="M422" s="44">
        <f t="shared" si="56"/>
        <v>0</v>
      </c>
      <c r="N422" s="24" t="e">
        <v>#VALUE!</v>
      </c>
      <c r="O422" s="24" t="e">
        <v>#VALUE!</v>
      </c>
      <c r="P422" s="24" t="e">
        <v>#VALUE!</v>
      </c>
      <c r="Q422" s="24" t="e">
        <f t="shared" si="62"/>
        <v>#VALUE!</v>
      </c>
      <c r="R422" s="24" t="e">
        <f t="shared" si="63"/>
        <v>#VALUE!</v>
      </c>
      <c r="S422" s="24" t="e">
        <f t="shared" si="61"/>
        <v>#VALUE!</v>
      </c>
      <c r="T422" s="24" t="e">
        <f t="shared" si="64"/>
        <v>#VALUE!</v>
      </c>
      <c r="U422" s="8">
        <f t="shared" si="57"/>
        <v>1</v>
      </c>
      <c r="V422" s="8">
        <f t="shared" si="58"/>
        <v>1900</v>
      </c>
      <c r="W422" s="24">
        <v>1.229917391304348</v>
      </c>
    </row>
    <row r="423" spans="1:23">
      <c r="A423" s="44"/>
      <c r="B423" s="24"/>
      <c r="C423" s="24"/>
      <c r="D423" s="24"/>
      <c r="E423" s="24">
        <f t="shared" si="59"/>
        <v>0</v>
      </c>
      <c r="F423" s="24">
        <f t="shared" si="60"/>
        <v>0</v>
      </c>
      <c r="G423" s="47">
        <v>1.75</v>
      </c>
      <c r="H423" s="24">
        <f t="shared" si="54"/>
        <v>1.75</v>
      </c>
      <c r="K423" s="48">
        <f t="shared" si="55"/>
        <v>3.125</v>
      </c>
      <c r="L423" s="48"/>
      <c r="M423" s="44">
        <f t="shared" si="56"/>
        <v>0</v>
      </c>
      <c r="N423" s="24" t="e">
        <v>#VALUE!</v>
      </c>
      <c r="O423" s="24" t="e">
        <v>#VALUE!</v>
      </c>
      <c r="P423" s="24" t="e">
        <v>#VALUE!</v>
      </c>
      <c r="Q423" s="24" t="e">
        <f t="shared" si="62"/>
        <v>#VALUE!</v>
      </c>
      <c r="R423" s="24" t="e">
        <f t="shared" si="63"/>
        <v>#VALUE!</v>
      </c>
      <c r="S423" s="24" t="e">
        <f t="shared" si="61"/>
        <v>#VALUE!</v>
      </c>
      <c r="T423" s="24" t="e">
        <f t="shared" si="64"/>
        <v>#VALUE!</v>
      </c>
      <c r="U423" s="8">
        <f t="shared" si="57"/>
        <v>1</v>
      </c>
      <c r="V423" s="8">
        <f t="shared" si="58"/>
        <v>1900</v>
      </c>
      <c r="W423" s="24">
        <v>1.2229952380952378</v>
      </c>
    </row>
    <row r="424" spans="1:23">
      <c r="A424" s="44"/>
      <c r="B424" s="24"/>
      <c r="C424" s="24"/>
      <c r="D424" s="24"/>
      <c r="E424" s="24">
        <f t="shared" si="59"/>
        <v>0</v>
      </c>
      <c r="F424" s="24">
        <f t="shared" si="60"/>
        <v>0</v>
      </c>
      <c r="G424" s="47">
        <v>1.67</v>
      </c>
      <c r="H424" s="24">
        <f t="shared" si="54"/>
        <v>1.67</v>
      </c>
      <c r="K424" s="48">
        <f t="shared" si="55"/>
        <v>2.9821428571428572</v>
      </c>
      <c r="L424" s="48"/>
      <c r="M424" s="44">
        <f t="shared" si="56"/>
        <v>0</v>
      </c>
      <c r="N424" s="24" t="e">
        <v>#VALUE!</v>
      </c>
      <c r="O424" s="24" t="e">
        <v>#VALUE!</v>
      </c>
      <c r="P424" s="24" t="e">
        <v>#VALUE!</v>
      </c>
      <c r="Q424" s="24" t="e">
        <f t="shared" si="62"/>
        <v>#VALUE!</v>
      </c>
      <c r="R424" s="24" t="e">
        <f t="shared" si="63"/>
        <v>#VALUE!</v>
      </c>
      <c r="S424" s="24" t="e">
        <f t="shared" si="61"/>
        <v>#VALUE!</v>
      </c>
      <c r="T424" s="24" t="e">
        <f t="shared" si="64"/>
        <v>#VALUE!</v>
      </c>
      <c r="U424" s="8">
        <f t="shared" si="57"/>
        <v>1</v>
      </c>
      <c r="V424" s="8">
        <f t="shared" si="58"/>
        <v>1900</v>
      </c>
      <c r="W424" s="24">
        <v>1.2027523809523806</v>
      </c>
    </row>
    <row r="425" spans="1:23">
      <c r="A425" s="44"/>
      <c r="B425" s="24"/>
      <c r="C425" s="24"/>
      <c r="D425" s="24"/>
      <c r="E425" s="24">
        <f t="shared" si="59"/>
        <v>0</v>
      </c>
      <c r="F425" s="24">
        <f t="shared" si="60"/>
        <v>0</v>
      </c>
      <c r="G425" s="47">
        <v>1.75</v>
      </c>
      <c r="H425" s="24">
        <f t="shared" si="54"/>
        <v>1.75</v>
      </c>
      <c r="K425" s="48">
        <f t="shared" si="55"/>
        <v>3.125</v>
      </c>
      <c r="L425" s="48"/>
      <c r="M425" s="44">
        <f t="shared" si="56"/>
        <v>0</v>
      </c>
      <c r="N425" s="24" t="e">
        <v>#VALUE!</v>
      </c>
      <c r="O425" s="24" t="e">
        <v>#VALUE!</v>
      </c>
      <c r="P425" s="24" t="e">
        <v>#VALUE!</v>
      </c>
      <c r="Q425" s="24" t="e">
        <f t="shared" si="62"/>
        <v>#VALUE!</v>
      </c>
      <c r="R425" s="24" t="e">
        <f t="shared" si="63"/>
        <v>#VALUE!</v>
      </c>
      <c r="S425" s="24" t="e">
        <f t="shared" si="61"/>
        <v>#VALUE!</v>
      </c>
      <c r="T425" s="24" t="e">
        <f t="shared" si="64"/>
        <v>#VALUE!</v>
      </c>
      <c r="U425" s="8">
        <f t="shared" si="57"/>
        <v>1</v>
      </c>
      <c r="V425" s="8">
        <f t="shared" si="58"/>
        <v>1900</v>
      </c>
      <c r="W425" s="24">
        <v>1.1795095238095237</v>
      </c>
    </row>
    <row r="426" spans="1:23">
      <c r="A426" s="44"/>
      <c r="B426" s="24"/>
      <c r="C426" s="24"/>
      <c r="D426" s="24"/>
      <c r="E426" s="24">
        <f t="shared" si="59"/>
        <v>0</v>
      </c>
      <c r="F426" s="24">
        <f t="shared" si="60"/>
        <v>0</v>
      </c>
      <c r="G426" s="47">
        <v>1.89</v>
      </c>
      <c r="H426" s="24">
        <f t="shared" si="54"/>
        <v>1.89</v>
      </c>
      <c r="K426" s="48">
        <f t="shared" si="55"/>
        <v>3.3749999999999996</v>
      </c>
      <c r="L426" s="48"/>
      <c r="M426" s="44">
        <f t="shared" si="56"/>
        <v>0</v>
      </c>
      <c r="N426" s="24" t="e">
        <v>#VALUE!</v>
      </c>
      <c r="O426" s="24" t="e">
        <v>#VALUE!</v>
      </c>
      <c r="P426" s="24" t="e">
        <v>#VALUE!</v>
      </c>
      <c r="Q426" s="24" t="e">
        <f t="shared" si="62"/>
        <v>#VALUE!</v>
      </c>
      <c r="R426" s="24" t="e">
        <f t="shared" si="63"/>
        <v>#VALUE!</v>
      </c>
      <c r="S426" s="24" t="e">
        <f t="shared" si="61"/>
        <v>#VALUE!</v>
      </c>
      <c r="T426" s="24" t="e">
        <f t="shared" si="64"/>
        <v>#VALUE!</v>
      </c>
      <c r="U426" s="8">
        <f t="shared" si="57"/>
        <v>1</v>
      </c>
      <c r="V426" s="8">
        <f t="shared" si="58"/>
        <v>1900</v>
      </c>
      <c r="W426" s="24">
        <v>1.1858285714285717</v>
      </c>
    </row>
    <row r="427" spans="1:23">
      <c r="A427" s="44"/>
      <c r="B427" s="24"/>
      <c r="C427" s="24"/>
      <c r="D427" s="24"/>
      <c r="E427" s="24">
        <f t="shared" si="59"/>
        <v>0</v>
      </c>
      <c r="F427" s="24">
        <f t="shared" si="60"/>
        <v>0</v>
      </c>
      <c r="G427" s="47">
        <v>1.98</v>
      </c>
      <c r="H427" s="24">
        <f t="shared" si="54"/>
        <v>1.98</v>
      </c>
      <c r="K427" s="48">
        <f t="shared" si="55"/>
        <v>3.5357142857142856</v>
      </c>
      <c r="L427" s="48"/>
      <c r="M427" s="44">
        <f t="shared" si="56"/>
        <v>0</v>
      </c>
      <c r="N427" s="24" t="e">
        <v>#VALUE!</v>
      </c>
      <c r="O427" s="24" t="e">
        <v>#VALUE!</v>
      </c>
      <c r="P427" s="24" t="e">
        <v>#VALUE!</v>
      </c>
      <c r="Q427" s="24" t="e">
        <f t="shared" si="62"/>
        <v>#VALUE!</v>
      </c>
      <c r="R427" s="24" t="e">
        <f t="shared" si="63"/>
        <v>#VALUE!</v>
      </c>
      <c r="S427" s="24" t="e">
        <f t="shared" si="61"/>
        <v>#VALUE!</v>
      </c>
      <c r="T427" s="24" t="e">
        <f t="shared" si="64"/>
        <v>#VALUE!</v>
      </c>
      <c r="U427" s="8">
        <f t="shared" si="57"/>
        <v>1</v>
      </c>
      <c r="V427" s="8">
        <f t="shared" si="58"/>
        <v>1900</v>
      </c>
      <c r="W427" s="24">
        <v>1.21329</v>
      </c>
    </row>
    <row r="428" spans="1:23">
      <c r="A428" s="44"/>
      <c r="B428" s="24"/>
      <c r="C428" s="24"/>
      <c r="D428" s="24"/>
      <c r="E428" s="24">
        <f t="shared" si="59"/>
        <v>0</v>
      </c>
      <c r="F428" s="24">
        <f t="shared" si="60"/>
        <v>0</v>
      </c>
      <c r="G428" s="47">
        <v>2.0699999999999998</v>
      </c>
      <c r="H428" s="24">
        <f t="shared" si="54"/>
        <v>2.0699999999999998</v>
      </c>
      <c r="K428" s="48">
        <f t="shared" si="55"/>
        <v>3.6964285714285712</v>
      </c>
      <c r="L428" s="48"/>
      <c r="M428" s="44">
        <f t="shared" si="56"/>
        <v>0</v>
      </c>
      <c r="N428" s="24" t="e">
        <v>#VALUE!</v>
      </c>
      <c r="O428" s="24" t="e">
        <v>#VALUE!</v>
      </c>
      <c r="P428" s="24" t="e">
        <v>#VALUE!</v>
      </c>
      <c r="Q428" s="24" t="e">
        <f t="shared" si="62"/>
        <v>#VALUE!</v>
      </c>
      <c r="R428" s="24" t="e">
        <f t="shared" si="63"/>
        <v>#VALUE!</v>
      </c>
      <c r="S428" s="24" t="e">
        <f t="shared" si="61"/>
        <v>#VALUE!</v>
      </c>
      <c r="T428" s="24" t="e">
        <f t="shared" si="64"/>
        <v>#VALUE!</v>
      </c>
      <c r="U428" s="8">
        <f t="shared" si="57"/>
        <v>1</v>
      </c>
      <c r="V428" s="8">
        <f t="shared" si="58"/>
        <v>1900</v>
      </c>
      <c r="W428" s="24">
        <v>1.1939210526315789</v>
      </c>
    </row>
    <row r="429" spans="1:23">
      <c r="A429" s="44"/>
      <c r="B429" s="24"/>
      <c r="C429" s="24"/>
      <c r="D429" s="24"/>
      <c r="E429" s="24">
        <f t="shared" si="59"/>
        <v>0</v>
      </c>
      <c r="F429" s="24">
        <f t="shared" si="60"/>
        <v>0</v>
      </c>
      <c r="G429" s="47">
        <v>2.04</v>
      </c>
      <c r="H429" s="24">
        <f t="shared" si="54"/>
        <v>2.04</v>
      </c>
      <c r="K429" s="48">
        <f t="shared" si="55"/>
        <v>3.6428571428571428</v>
      </c>
      <c r="L429" s="48"/>
      <c r="M429" s="44">
        <f t="shared" si="56"/>
        <v>0</v>
      </c>
      <c r="N429" s="24" t="e">
        <v>#VALUE!</v>
      </c>
      <c r="O429" s="24" t="e">
        <v>#VALUE!</v>
      </c>
      <c r="P429" s="24" t="e">
        <v>#VALUE!</v>
      </c>
      <c r="Q429" s="24" t="e">
        <f t="shared" si="62"/>
        <v>#VALUE!</v>
      </c>
      <c r="R429" s="24" t="e">
        <f t="shared" si="63"/>
        <v>#VALUE!</v>
      </c>
      <c r="S429" s="24" t="e">
        <f t="shared" si="61"/>
        <v>#VALUE!</v>
      </c>
      <c r="T429" s="24" t="e">
        <f t="shared" si="64"/>
        <v>#VALUE!</v>
      </c>
      <c r="U429" s="8">
        <f t="shared" si="57"/>
        <v>1</v>
      </c>
      <c r="V429" s="8">
        <f t="shared" si="58"/>
        <v>1900</v>
      </c>
      <c r="W429" s="24">
        <v>1.2030826086956519</v>
      </c>
    </row>
    <row r="430" spans="1:23">
      <c r="A430" s="44"/>
      <c r="B430" s="24"/>
      <c r="C430" s="24"/>
      <c r="D430" s="24"/>
      <c r="E430" s="24">
        <f t="shared" si="59"/>
        <v>0</v>
      </c>
      <c r="F430" s="24">
        <f t="shared" si="60"/>
        <v>0</v>
      </c>
      <c r="G430" s="47">
        <v>2.1800000000000002</v>
      </c>
      <c r="H430" s="24">
        <f t="shared" si="54"/>
        <v>2.1800000000000002</v>
      </c>
      <c r="K430" s="48">
        <f t="shared" si="55"/>
        <v>3.8928571428571432</v>
      </c>
      <c r="L430" s="48"/>
      <c r="M430" s="44">
        <f t="shared" si="56"/>
        <v>0</v>
      </c>
      <c r="N430" s="24" t="e">
        <v>#VALUE!</v>
      </c>
      <c r="O430" s="24" t="e">
        <v>#VALUE!</v>
      </c>
      <c r="P430" s="24" t="e">
        <v>#VALUE!</v>
      </c>
      <c r="Q430" s="24" t="e">
        <f t="shared" si="62"/>
        <v>#VALUE!</v>
      </c>
      <c r="R430" s="24" t="e">
        <f t="shared" si="63"/>
        <v>#VALUE!</v>
      </c>
      <c r="S430" s="24" t="e">
        <f t="shared" si="61"/>
        <v>#VALUE!</v>
      </c>
      <c r="T430" s="24" t="e">
        <f t="shared" si="64"/>
        <v>#VALUE!</v>
      </c>
      <c r="U430" s="8">
        <f t="shared" si="57"/>
        <v>1</v>
      </c>
      <c r="V430" s="8">
        <f t="shared" si="58"/>
        <v>1900</v>
      </c>
      <c r="W430" s="24">
        <v>1.2291842105263158</v>
      </c>
    </row>
    <row r="431" spans="1:23">
      <c r="A431" s="44"/>
      <c r="B431" s="24"/>
      <c r="C431" s="24"/>
      <c r="D431" s="24"/>
      <c r="E431" s="24">
        <f t="shared" si="59"/>
        <v>0</v>
      </c>
      <c r="F431" s="24">
        <f t="shared" si="60"/>
        <v>0</v>
      </c>
      <c r="G431" s="47">
        <v>2.2200000000000002</v>
      </c>
      <c r="H431" s="24">
        <f t="shared" si="54"/>
        <v>2.2200000000000002</v>
      </c>
      <c r="K431" s="48">
        <f t="shared" si="55"/>
        <v>3.9642857142857144</v>
      </c>
      <c r="L431" s="48"/>
      <c r="M431" s="44">
        <f t="shared" si="56"/>
        <v>0</v>
      </c>
      <c r="N431" s="24" t="e">
        <v>#VALUE!</v>
      </c>
      <c r="O431" s="24" t="e">
        <v>#VALUE!</v>
      </c>
      <c r="P431" s="24" t="e">
        <v>#VALUE!</v>
      </c>
      <c r="Q431" s="24" t="e">
        <f t="shared" si="62"/>
        <v>#VALUE!</v>
      </c>
      <c r="R431" s="24" t="e">
        <f t="shared" si="63"/>
        <v>#VALUE!</v>
      </c>
      <c r="S431" s="24" t="e">
        <f t="shared" si="61"/>
        <v>#VALUE!</v>
      </c>
      <c r="T431" s="24" t="e">
        <f t="shared" si="64"/>
        <v>#VALUE!</v>
      </c>
      <c r="U431" s="8">
        <f t="shared" si="57"/>
        <v>1</v>
      </c>
      <c r="V431" s="8">
        <f t="shared" si="58"/>
        <v>1900</v>
      </c>
      <c r="W431" s="24">
        <v>1.2770681818181815</v>
      </c>
    </row>
    <row r="432" spans="1:23">
      <c r="A432" s="44"/>
      <c r="B432" s="24"/>
      <c r="C432" s="24"/>
      <c r="D432" s="24"/>
      <c r="E432" s="24">
        <f t="shared" si="59"/>
        <v>0</v>
      </c>
      <c r="F432" s="24">
        <f t="shared" si="60"/>
        <v>0</v>
      </c>
      <c r="G432" s="47">
        <v>2.15</v>
      </c>
      <c r="H432" s="24">
        <f t="shared" si="54"/>
        <v>2.15</v>
      </c>
      <c r="K432" s="48">
        <f t="shared" si="55"/>
        <v>3.839285714285714</v>
      </c>
      <c r="L432" s="48"/>
      <c r="M432" s="44">
        <f t="shared" si="56"/>
        <v>0</v>
      </c>
      <c r="N432" s="24" t="e">
        <v>#VALUE!</v>
      </c>
      <c r="O432" s="24" t="e">
        <v>#VALUE!</v>
      </c>
      <c r="P432" s="24" t="e">
        <v>#VALUE!</v>
      </c>
      <c r="Q432" s="24" t="e">
        <f t="shared" si="62"/>
        <v>#VALUE!</v>
      </c>
      <c r="R432" s="24" t="e">
        <f t="shared" si="63"/>
        <v>#VALUE!</v>
      </c>
      <c r="S432" s="24" t="e">
        <f t="shared" si="61"/>
        <v>#VALUE!</v>
      </c>
      <c r="T432" s="24" t="e">
        <f t="shared" si="64"/>
        <v>#VALUE!</v>
      </c>
      <c r="U432" s="8">
        <f t="shared" si="57"/>
        <v>1</v>
      </c>
      <c r="V432" s="8">
        <f t="shared" si="58"/>
        <v>1900</v>
      </c>
      <c r="W432" s="24">
        <v>1.2663818181818183</v>
      </c>
    </row>
    <row r="433" spans="1:23">
      <c r="A433" s="44"/>
      <c r="B433" s="24"/>
      <c r="C433" s="24"/>
      <c r="D433" s="24"/>
      <c r="E433" s="24">
        <f t="shared" si="59"/>
        <v>0</v>
      </c>
      <c r="F433" s="24">
        <f t="shared" si="60"/>
        <v>0</v>
      </c>
      <c r="G433" s="47">
        <v>2.2200000000000002</v>
      </c>
      <c r="H433" s="24">
        <f t="shared" si="54"/>
        <v>2.2200000000000002</v>
      </c>
      <c r="K433" s="48">
        <f t="shared" si="55"/>
        <v>3.9642857142857144</v>
      </c>
      <c r="L433" s="48"/>
      <c r="M433" s="44">
        <f t="shared" si="56"/>
        <v>0</v>
      </c>
      <c r="N433" s="24" t="e">
        <v>#VALUE!</v>
      </c>
      <c r="O433" s="24" t="e">
        <v>#VALUE!</v>
      </c>
      <c r="P433" s="24" t="e">
        <v>#VALUE!</v>
      </c>
      <c r="Q433" s="24" t="e">
        <f t="shared" si="62"/>
        <v>#VALUE!</v>
      </c>
      <c r="R433" s="24" t="e">
        <f t="shared" si="63"/>
        <v>#VALUE!</v>
      </c>
      <c r="S433" s="24" t="e">
        <f t="shared" si="61"/>
        <v>#VALUE!</v>
      </c>
      <c r="T433" s="24" t="e">
        <f t="shared" si="64"/>
        <v>#VALUE!</v>
      </c>
      <c r="U433" s="8">
        <f t="shared" si="57"/>
        <v>1</v>
      </c>
      <c r="V433" s="8">
        <f t="shared" si="58"/>
        <v>1900</v>
      </c>
      <c r="W433" s="24">
        <v>1.2686300000000001</v>
      </c>
    </row>
    <row r="434" spans="1:23">
      <c r="A434" s="44"/>
      <c r="B434" s="24"/>
      <c r="C434" s="24"/>
      <c r="D434" s="24"/>
      <c r="E434" s="24">
        <f t="shared" si="59"/>
        <v>0</v>
      </c>
      <c r="F434" s="24">
        <f t="shared" si="60"/>
        <v>0</v>
      </c>
      <c r="G434" s="47">
        <v>2.0699999999999998</v>
      </c>
      <c r="H434" s="24">
        <f t="shared" si="54"/>
        <v>2.0699999999999998</v>
      </c>
      <c r="K434" s="48">
        <f t="shared" si="55"/>
        <v>3.6964285714285712</v>
      </c>
      <c r="L434" s="48"/>
      <c r="M434" s="44">
        <f t="shared" si="56"/>
        <v>0</v>
      </c>
      <c r="N434" s="24" t="e">
        <v>#VALUE!</v>
      </c>
      <c r="O434" s="24" t="e">
        <v>#VALUE!</v>
      </c>
      <c r="P434" s="24" t="e">
        <v>#VALUE!</v>
      </c>
      <c r="Q434" s="24" t="e">
        <f t="shared" si="62"/>
        <v>#VALUE!</v>
      </c>
      <c r="R434" s="24" t="e">
        <f t="shared" si="63"/>
        <v>#VALUE!</v>
      </c>
      <c r="S434" s="24" t="e">
        <f t="shared" si="61"/>
        <v>#VALUE!</v>
      </c>
      <c r="T434" s="24" t="e">
        <f t="shared" si="64"/>
        <v>#VALUE!</v>
      </c>
      <c r="U434" s="8">
        <f t="shared" si="57"/>
        <v>1</v>
      </c>
      <c r="V434" s="8">
        <f t="shared" si="58"/>
        <v>1900</v>
      </c>
      <c r="W434" s="24">
        <v>1.2806913043478259</v>
      </c>
    </row>
    <row r="435" spans="1:23">
      <c r="A435" s="44"/>
      <c r="B435" s="24"/>
      <c r="C435" s="24"/>
      <c r="D435" s="24"/>
      <c r="E435" s="24">
        <f t="shared" si="59"/>
        <v>0</v>
      </c>
      <c r="F435" s="24">
        <f t="shared" si="60"/>
        <v>0</v>
      </c>
      <c r="G435" s="47">
        <v>2.21</v>
      </c>
      <c r="H435" s="24">
        <f t="shared" ref="H435:H498" si="65">G435-D435</f>
        <v>2.21</v>
      </c>
      <c r="K435" s="48">
        <f t="shared" si="55"/>
        <v>3.9464285714285716</v>
      </c>
      <c r="L435" s="48"/>
      <c r="M435" s="44">
        <f t="shared" si="56"/>
        <v>0</v>
      </c>
      <c r="N435" s="24" t="e">
        <v>#VALUE!</v>
      </c>
      <c r="O435" s="24" t="e">
        <v>#VALUE!</v>
      </c>
      <c r="P435" s="24" t="e">
        <v>#VALUE!</v>
      </c>
      <c r="Q435" s="24" t="e">
        <f t="shared" si="62"/>
        <v>#VALUE!</v>
      </c>
      <c r="R435" s="24" t="e">
        <f t="shared" si="63"/>
        <v>#VALUE!</v>
      </c>
      <c r="S435" s="24" t="e">
        <f t="shared" si="61"/>
        <v>#VALUE!</v>
      </c>
      <c r="T435" s="24" t="e">
        <f t="shared" si="64"/>
        <v>#VALUE!</v>
      </c>
      <c r="U435" s="8">
        <f t="shared" si="57"/>
        <v>1</v>
      </c>
      <c r="V435" s="8">
        <f t="shared" si="58"/>
        <v>1900</v>
      </c>
      <c r="W435" s="24">
        <v>1.2721449999999996</v>
      </c>
    </row>
    <row r="436" spans="1:23">
      <c r="A436" s="44"/>
      <c r="B436" s="24"/>
      <c r="C436" s="24"/>
      <c r="D436" s="24"/>
      <c r="E436" s="24">
        <f t="shared" si="59"/>
        <v>0</v>
      </c>
      <c r="F436" s="24">
        <f t="shared" si="60"/>
        <v>0</v>
      </c>
      <c r="G436" s="47">
        <v>2.82</v>
      </c>
      <c r="H436" s="24">
        <f t="shared" si="65"/>
        <v>2.82</v>
      </c>
      <c r="K436" s="48">
        <f t="shared" si="55"/>
        <v>5.0357142857142856</v>
      </c>
      <c r="L436" s="48"/>
      <c r="M436" s="44">
        <f t="shared" si="56"/>
        <v>0</v>
      </c>
      <c r="N436" s="24" t="e">
        <v>#VALUE!</v>
      </c>
      <c r="O436" s="24" t="e">
        <v>#VALUE!</v>
      </c>
      <c r="P436" s="24" t="e">
        <v>#VALUE!</v>
      </c>
      <c r="Q436" s="24" t="e">
        <f t="shared" si="62"/>
        <v>#VALUE!</v>
      </c>
      <c r="R436" s="24" t="e">
        <f t="shared" si="63"/>
        <v>#VALUE!</v>
      </c>
      <c r="S436" s="24" t="e">
        <f t="shared" si="61"/>
        <v>#VALUE!</v>
      </c>
      <c r="T436" s="24" t="e">
        <f t="shared" si="64"/>
        <v>#VALUE!</v>
      </c>
      <c r="U436" s="8">
        <f t="shared" si="57"/>
        <v>1</v>
      </c>
      <c r="V436" s="8">
        <f t="shared" si="58"/>
        <v>1900</v>
      </c>
      <c r="W436" s="24">
        <v>1.2620318181818184</v>
      </c>
    </row>
    <row r="437" spans="1:23">
      <c r="A437" s="44"/>
      <c r="B437" s="24"/>
      <c r="C437" s="24"/>
      <c r="D437" s="24"/>
      <c r="E437" s="24">
        <f t="shared" si="59"/>
        <v>0</v>
      </c>
      <c r="F437" s="24">
        <f t="shared" si="60"/>
        <v>0</v>
      </c>
      <c r="G437" s="47">
        <v>3.43</v>
      </c>
      <c r="H437" s="24">
        <f t="shared" si="65"/>
        <v>3.43</v>
      </c>
      <c r="K437" s="48">
        <f t="shared" si="55"/>
        <v>6.1250000000000009</v>
      </c>
      <c r="L437" s="48"/>
      <c r="M437" s="44">
        <f t="shared" si="56"/>
        <v>0</v>
      </c>
      <c r="N437" s="24" t="e">
        <v>#VALUE!</v>
      </c>
      <c r="O437" s="24" t="e">
        <v>#VALUE!</v>
      </c>
      <c r="P437" s="24" t="e">
        <v>#VALUE!</v>
      </c>
      <c r="Q437" s="24" t="e">
        <f t="shared" si="62"/>
        <v>#VALUE!</v>
      </c>
      <c r="R437" s="24" t="e">
        <f t="shared" si="63"/>
        <v>#VALUE!</v>
      </c>
      <c r="S437" s="24" t="e">
        <f t="shared" si="61"/>
        <v>#VALUE!</v>
      </c>
      <c r="T437" s="24" t="e">
        <f t="shared" si="64"/>
        <v>#VALUE!</v>
      </c>
      <c r="U437" s="8">
        <f t="shared" si="57"/>
        <v>1</v>
      </c>
      <c r="V437" s="8">
        <f t="shared" si="58"/>
        <v>1900</v>
      </c>
      <c r="W437" s="24">
        <v>1.2886761904761908</v>
      </c>
    </row>
    <row r="438" spans="1:23">
      <c r="A438" s="44"/>
      <c r="B438" s="24"/>
      <c r="C438" s="24"/>
      <c r="D438" s="24"/>
      <c r="E438" s="24">
        <f t="shared" si="59"/>
        <v>0</v>
      </c>
      <c r="F438" s="24">
        <f t="shared" si="60"/>
        <v>0</v>
      </c>
      <c r="G438" s="47">
        <v>3.53</v>
      </c>
      <c r="H438" s="24">
        <f t="shared" si="65"/>
        <v>3.53</v>
      </c>
      <c r="K438" s="48">
        <f t="shared" si="55"/>
        <v>6.3035714285714279</v>
      </c>
      <c r="L438" s="48"/>
      <c r="M438" s="44">
        <f t="shared" si="56"/>
        <v>0</v>
      </c>
      <c r="N438" s="24" t="e">
        <v>#VALUE!</v>
      </c>
      <c r="O438" s="24" t="e">
        <v>#VALUE!</v>
      </c>
      <c r="P438" s="24" t="e">
        <v>#VALUE!</v>
      </c>
      <c r="Q438" s="24" t="e">
        <f t="shared" si="62"/>
        <v>#VALUE!</v>
      </c>
      <c r="R438" s="24" t="e">
        <f t="shared" si="63"/>
        <v>#VALUE!</v>
      </c>
      <c r="S438" s="24" t="e">
        <f t="shared" si="61"/>
        <v>#VALUE!</v>
      </c>
      <c r="T438" s="24" t="e">
        <f t="shared" si="64"/>
        <v>#VALUE!</v>
      </c>
      <c r="U438" s="8">
        <f t="shared" si="57"/>
        <v>1</v>
      </c>
      <c r="V438" s="8">
        <f t="shared" si="58"/>
        <v>1900</v>
      </c>
      <c r="W438" s="24">
        <v>1.3202050000000001</v>
      </c>
    </row>
    <row r="439" spans="1:23">
      <c r="A439" s="44"/>
      <c r="B439" s="24"/>
      <c r="C439" s="24"/>
      <c r="D439" s="24"/>
      <c r="E439" s="24">
        <f t="shared" si="59"/>
        <v>0</v>
      </c>
      <c r="F439" s="24">
        <f t="shared" si="60"/>
        <v>0</v>
      </c>
      <c r="G439" s="47">
        <v>3.66</v>
      </c>
      <c r="H439" s="24">
        <f t="shared" si="65"/>
        <v>3.66</v>
      </c>
      <c r="K439" s="48">
        <f t="shared" si="55"/>
        <v>6.5357142857142865</v>
      </c>
      <c r="L439" s="48"/>
      <c r="M439" s="44">
        <f t="shared" si="56"/>
        <v>0</v>
      </c>
      <c r="N439" s="24" t="e">
        <v>#VALUE!</v>
      </c>
      <c r="O439" s="24" t="e">
        <v>#VALUE!</v>
      </c>
      <c r="P439" s="24" t="e">
        <v>#VALUE!</v>
      </c>
      <c r="Q439" s="24" t="e">
        <f t="shared" si="62"/>
        <v>#VALUE!</v>
      </c>
      <c r="R439" s="24" t="e">
        <f t="shared" si="63"/>
        <v>#VALUE!</v>
      </c>
      <c r="S439" s="24" t="e">
        <f t="shared" si="61"/>
        <v>#VALUE!</v>
      </c>
      <c r="T439" s="24" t="e">
        <f t="shared" si="64"/>
        <v>#VALUE!</v>
      </c>
      <c r="U439" s="8">
        <f t="shared" si="57"/>
        <v>1</v>
      </c>
      <c r="V439" s="8">
        <f t="shared" si="58"/>
        <v>1900</v>
      </c>
      <c r="W439" s="24">
        <v>1.2989523809523806</v>
      </c>
    </row>
    <row r="440" spans="1:23">
      <c r="A440" s="44"/>
      <c r="B440" s="24"/>
      <c r="C440" s="24"/>
      <c r="D440" s="24"/>
      <c r="E440" s="24">
        <f t="shared" si="59"/>
        <v>0</v>
      </c>
      <c r="F440" s="24">
        <f t="shared" si="60"/>
        <v>0</v>
      </c>
      <c r="G440" s="47">
        <v>3.9</v>
      </c>
      <c r="H440" s="24">
        <f t="shared" si="65"/>
        <v>3.9</v>
      </c>
      <c r="K440" s="48">
        <f t="shared" si="55"/>
        <v>6.9642857142857144</v>
      </c>
      <c r="L440" s="48"/>
      <c r="M440" s="44">
        <f t="shared" si="56"/>
        <v>0</v>
      </c>
      <c r="N440" s="24" t="e">
        <v>#VALUE!</v>
      </c>
      <c r="O440" s="24" t="e">
        <v>#VALUE!</v>
      </c>
      <c r="P440" s="24" t="e">
        <v>#VALUE!</v>
      </c>
      <c r="Q440" s="24" t="e">
        <f t="shared" si="62"/>
        <v>#VALUE!</v>
      </c>
      <c r="R440" s="24" t="e">
        <f t="shared" si="63"/>
        <v>#VALUE!</v>
      </c>
      <c r="S440" s="24" t="e">
        <f t="shared" si="61"/>
        <v>#VALUE!</v>
      </c>
      <c r="T440" s="24" t="e">
        <f t="shared" si="64"/>
        <v>#VALUE!</v>
      </c>
      <c r="U440" s="8">
        <f t="shared" si="57"/>
        <v>1</v>
      </c>
      <c r="V440" s="8">
        <f t="shared" si="58"/>
        <v>1900</v>
      </c>
      <c r="W440" s="24">
        <v>1.3083263157894738</v>
      </c>
    </row>
    <row r="441" spans="1:23">
      <c r="A441" s="44"/>
      <c r="B441" s="24"/>
      <c r="C441" s="24"/>
      <c r="D441" s="24"/>
      <c r="E441" s="24">
        <f t="shared" si="59"/>
        <v>0</v>
      </c>
      <c r="F441" s="24">
        <f t="shared" si="60"/>
        <v>0</v>
      </c>
      <c r="G441" s="47">
        <v>3.76</v>
      </c>
      <c r="H441" s="24">
        <f t="shared" si="65"/>
        <v>3.76</v>
      </c>
      <c r="K441" s="48">
        <f t="shared" si="55"/>
        <v>6.7142857142857144</v>
      </c>
      <c r="L441" s="48"/>
      <c r="M441" s="44">
        <f t="shared" si="56"/>
        <v>0</v>
      </c>
      <c r="N441" s="24" t="e">
        <v>#VALUE!</v>
      </c>
      <c r="O441" s="24" t="e">
        <v>#VALUE!</v>
      </c>
      <c r="P441" s="24" t="e">
        <v>#VALUE!</v>
      </c>
      <c r="Q441" s="24" t="e">
        <f t="shared" si="62"/>
        <v>#VALUE!</v>
      </c>
      <c r="R441" s="24" t="e">
        <f t="shared" si="63"/>
        <v>#VALUE!</v>
      </c>
      <c r="S441" s="24" t="e">
        <f t="shared" si="61"/>
        <v>#VALUE!</v>
      </c>
      <c r="T441" s="24" t="e">
        <f t="shared" si="64"/>
        <v>#VALUE!</v>
      </c>
      <c r="U441" s="8">
        <f t="shared" si="57"/>
        <v>1</v>
      </c>
      <c r="V441" s="8">
        <f t="shared" si="58"/>
        <v>1900</v>
      </c>
      <c r="W441" s="24">
        <v>1.324840909090909</v>
      </c>
    </row>
    <row r="442" spans="1:23">
      <c r="A442" s="44"/>
      <c r="B442" s="24"/>
      <c r="C442" s="24"/>
      <c r="D442" s="24"/>
      <c r="E442" s="24">
        <f t="shared" si="59"/>
        <v>0</v>
      </c>
      <c r="F442" s="24">
        <f t="shared" si="60"/>
        <v>0</v>
      </c>
      <c r="G442" s="47">
        <v>3.36</v>
      </c>
      <c r="H442" s="24">
        <f t="shared" si="65"/>
        <v>3.36</v>
      </c>
      <c r="K442" s="48">
        <f t="shared" si="55"/>
        <v>6</v>
      </c>
      <c r="L442" s="48"/>
      <c r="M442" s="44">
        <f t="shared" si="56"/>
        <v>0</v>
      </c>
      <c r="N442" s="24" t="e">
        <v>#VALUE!</v>
      </c>
      <c r="O442" s="24" t="e">
        <v>#VALUE!</v>
      </c>
      <c r="P442" s="24" t="e">
        <v>#VALUE!</v>
      </c>
      <c r="Q442" s="24" t="e">
        <f t="shared" si="62"/>
        <v>#VALUE!</v>
      </c>
      <c r="R442" s="24" t="e">
        <f t="shared" si="63"/>
        <v>#VALUE!</v>
      </c>
      <c r="S442" s="24" t="e">
        <f t="shared" si="61"/>
        <v>#VALUE!</v>
      </c>
      <c r="T442" s="24" t="e">
        <f t="shared" si="64"/>
        <v>#VALUE!</v>
      </c>
      <c r="U442" s="8">
        <f t="shared" si="57"/>
        <v>1</v>
      </c>
      <c r="V442" s="8">
        <f t="shared" si="58"/>
        <v>1900</v>
      </c>
      <c r="W442" s="24">
        <v>1.3518700000000003</v>
      </c>
    </row>
    <row r="443" spans="1:23">
      <c r="A443" s="44"/>
      <c r="B443" s="24"/>
      <c r="C443" s="24"/>
      <c r="D443" s="24"/>
      <c r="E443" s="24">
        <f t="shared" si="59"/>
        <v>0</v>
      </c>
      <c r="F443" s="24">
        <f t="shared" si="60"/>
        <v>0</v>
      </c>
      <c r="G443" s="47">
        <v>3.52</v>
      </c>
      <c r="H443" s="24">
        <f t="shared" si="65"/>
        <v>3.52</v>
      </c>
      <c r="K443" s="48">
        <f t="shared" si="55"/>
        <v>6.2857142857142865</v>
      </c>
      <c r="L443" s="48"/>
      <c r="M443" s="44">
        <f t="shared" si="56"/>
        <v>0</v>
      </c>
      <c r="N443" s="24" t="e">
        <v>#VALUE!</v>
      </c>
      <c r="O443" s="24" t="e">
        <v>#VALUE!</v>
      </c>
      <c r="P443" s="24" t="e">
        <v>#VALUE!</v>
      </c>
      <c r="Q443" s="24" t="e">
        <f t="shared" si="62"/>
        <v>#VALUE!</v>
      </c>
      <c r="R443" s="24" t="e">
        <f t="shared" si="63"/>
        <v>#VALUE!</v>
      </c>
      <c r="S443" s="24" t="e">
        <f t="shared" si="61"/>
        <v>#VALUE!</v>
      </c>
      <c r="T443" s="24" t="e">
        <f t="shared" si="64"/>
        <v>#VALUE!</v>
      </c>
      <c r="U443" s="8">
        <f t="shared" si="57"/>
        <v>1</v>
      </c>
      <c r="V443" s="8">
        <f t="shared" si="58"/>
        <v>1900</v>
      </c>
      <c r="W443" s="24">
        <v>1.3510499999999999</v>
      </c>
    </row>
    <row r="444" spans="1:23">
      <c r="A444" s="44"/>
      <c r="B444" s="24"/>
      <c r="C444" s="24"/>
      <c r="D444" s="24"/>
      <c r="E444" s="24">
        <f t="shared" si="59"/>
        <v>0</v>
      </c>
      <c r="F444" s="24">
        <f t="shared" si="60"/>
        <v>0</v>
      </c>
      <c r="G444" s="47">
        <v>3.68</v>
      </c>
      <c r="H444" s="24">
        <f t="shared" si="65"/>
        <v>3.68</v>
      </c>
      <c r="K444" s="48">
        <f t="shared" si="55"/>
        <v>6.5714285714285712</v>
      </c>
      <c r="L444" s="48"/>
      <c r="M444" s="44">
        <f t="shared" si="56"/>
        <v>0</v>
      </c>
      <c r="N444" s="24" t="e">
        <v>#VALUE!</v>
      </c>
      <c r="O444" s="24" t="e">
        <v>#VALUE!</v>
      </c>
      <c r="P444" s="24" t="e">
        <v>#VALUE!</v>
      </c>
      <c r="Q444" s="24" t="e">
        <f t="shared" si="62"/>
        <v>#VALUE!</v>
      </c>
      <c r="R444" s="24" t="e">
        <f t="shared" si="63"/>
        <v>#VALUE!</v>
      </c>
      <c r="S444" s="24" t="e">
        <f t="shared" si="61"/>
        <v>#VALUE!</v>
      </c>
      <c r="T444" s="24" t="e">
        <f t="shared" si="64"/>
        <v>#VALUE!</v>
      </c>
      <c r="U444" s="8">
        <f t="shared" si="57"/>
        <v>1</v>
      </c>
      <c r="V444" s="8">
        <f t="shared" si="58"/>
        <v>1900</v>
      </c>
      <c r="W444" s="24">
        <v>1.3423333333333332</v>
      </c>
    </row>
    <row r="445" spans="1:23">
      <c r="A445" s="44"/>
      <c r="B445" s="24"/>
      <c r="C445" s="24"/>
      <c r="D445" s="24"/>
      <c r="E445" s="24">
        <f t="shared" si="59"/>
        <v>0</v>
      </c>
      <c r="F445" s="24">
        <f t="shared" si="60"/>
        <v>0</v>
      </c>
      <c r="G445" s="47">
        <v>3.03</v>
      </c>
      <c r="H445" s="24">
        <f t="shared" si="65"/>
        <v>3.03</v>
      </c>
      <c r="K445" s="48">
        <f t="shared" si="55"/>
        <v>5.4107142857142856</v>
      </c>
      <c r="L445" s="48"/>
      <c r="M445" s="44">
        <f t="shared" si="56"/>
        <v>0</v>
      </c>
      <c r="N445" s="24" t="e">
        <v>#VALUE!</v>
      </c>
      <c r="O445" s="24" t="e">
        <v>#VALUE!</v>
      </c>
      <c r="P445" s="24" t="e">
        <v>#VALUE!</v>
      </c>
      <c r="Q445" s="24" t="e">
        <f t="shared" si="62"/>
        <v>#VALUE!</v>
      </c>
      <c r="R445" s="24" t="e">
        <f t="shared" si="63"/>
        <v>#VALUE!</v>
      </c>
      <c r="S445" s="24" t="e">
        <f t="shared" si="61"/>
        <v>#VALUE!</v>
      </c>
      <c r="T445" s="24" t="e">
        <f t="shared" si="64"/>
        <v>#VALUE!</v>
      </c>
      <c r="U445" s="8">
        <f t="shared" si="57"/>
        <v>1</v>
      </c>
      <c r="V445" s="8">
        <f t="shared" si="58"/>
        <v>1900</v>
      </c>
      <c r="W445" s="24">
        <v>1.3724999999999998</v>
      </c>
    </row>
    <row r="446" spans="1:23">
      <c r="A446" s="44"/>
      <c r="B446" s="24"/>
      <c r="C446" s="24"/>
      <c r="D446" s="24"/>
      <c r="E446" s="24">
        <f t="shared" si="59"/>
        <v>0</v>
      </c>
      <c r="F446" s="24">
        <f t="shared" si="60"/>
        <v>0</v>
      </c>
      <c r="G446" s="47">
        <v>3.08</v>
      </c>
      <c r="H446" s="24">
        <f t="shared" si="65"/>
        <v>3.08</v>
      </c>
      <c r="K446" s="48">
        <f t="shared" si="55"/>
        <v>5.5</v>
      </c>
      <c r="L446" s="48"/>
      <c r="M446" s="44">
        <f t="shared" si="56"/>
        <v>0</v>
      </c>
      <c r="N446" s="24" t="e">
        <v>#VALUE!</v>
      </c>
      <c r="O446" s="24" t="e">
        <v>#VALUE!</v>
      </c>
      <c r="P446" s="24" t="e">
        <v>#VALUE!</v>
      </c>
      <c r="Q446" s="24" t="e">
        <f t="shared" si="62"/>
        <v>#VALUE!</v>
      </c>
      <c r="R446" s="24" t="e">
        <f t="shared" si="63"/>
        <v>#VALUE!</v>
      </c>
      <c r="S446" s="24" t="e">
        <f t="shared" si="61"/>
        <v>#VALUE!</v>
      </c>
      <c r="T446" s="24" t="e">
        <f t="shared" si="64"/>
        <v>#VALUE!</v>
      </c>
      <c r="U446" s="8">
        <f t="shared" si="57"/>
        <v>1</v>
      </c>
      <c r="V446" s="8">
        <f t="shared" si="58"/>
        <v>1900</v>
      </c>
      <c r="W446" s="24">
        <v>1.3617869565217391</v>
      </c>
    </row>
    <row r="447" spans="1:23">
      <c r="A447" s="44"/>
      <c r="B447" s="24"/>
      <c r="C447" s="24"/>
      <c r="D447" s="24"/>
      <c r="E447" s="24">
        <f t="shared" si="59"/>
        <v>0</v>
      </c>
      <c r="F447" s="24">
        <f t="shared" si="60"/>
        <v>0</v>
      </c>
      <c r="G447" s="47">
        <v>3.15</v>
      </c>
      <c r="H447" s="24">
        <f t="shared" si="65"/>
        <v>3.15</v>
      </c>
      <c r="K447" s="48">
        <f t="shared" si="55"/>
        <v>5.625</v>
      </c>
      <c r="L447" s="48"/>
      <c r="M447" s="44">
        <f t="shared" si="56"/>
        <v>0</v>
      </c>
      <c r="N447" s="24" t="e">
        <v>#VALUE!</v>
      </c>
      <c r="O447" s="24" t="e">
        <v>#VALUE!</v>
      </c>
      <c r="P447" s="24" t="e">
        <v>#VALUE!</v>
      </c>
      <c r="Q447" s="24" t="e">
        <f t="shared" si="62"/>
        <v>#VALUE!</v>
      </c>
      <c r="R447" s="24" t="e">
        <f t="shared" si="63"/>
        <v>#VALUE!</v>
      </c>
      <c r="S447" s="24" t="e">
        <f t="shared" si="61"/>
        <v>#VALUE!</v>
      </c>
      <c r="T447" s="24" t="e">
        <f t="shared" si="64"/>
        <v>#VALUE!</v>
      </c>
      <c r="U447" s="8">
        <f t="shared" si="57"/>
        <v>1</v>
      </c>
      <c r="V447" s="8">
        <f t="shared" si="58"/>
        <v>1900</v>
      </c>
      <c r="W447" s="24">
        <v>1.3933210526315789</v>
      </c>
    </row>
    <row r="448" spans="1:23">
      <c r="A448" s="44"/>
      <c r="B448" s="24"/>
      <c r="C448" s="24"/>
      <c r="D448" s="24"/>
      <c r="E448" s="24">
        <f t="shared" si="59"/>
        <v>0</v>
      </c>
      <c r="F448" s="24">
        <f t="shared" si="60"/>
        <v>0</v>
      </c>
      <c r="G448" s="47">
        <v>3.28</v>
      </c>
      <c r="H448" s="24">
        <f t="shared" si="65"/>
        <v>3.28</v>
      </c>
      <c r="K448" s="48">
        <f t="shared" ref="K448:K511" si="66">G448/56*100</f>
        <v>5.8571428571428568</v>
      </c>
      <c r="L448" s="48"/>
      <c r="M448" s="44">
        <f t="shared" si="56"/>
        <v>0</v>
      </c>
      <c r="N448" s="24" t="e">
        <v>#VALUE!</v>
      </c>
      <c r="O448" s="24" t="e">
        <v>#VALUE!</v>
      </c>
      <c r="P448" s="24" t="e">
        <v>#VALUE!</v>
      </c>
      <c r="Q448" s="24" t="e">
        <f t="shared" si="62"/>
        <v>#VALUE!</v>
      </c>
      <c r="R448" s="24" t="e">
        <f t="shared" si="63"/>
        <v>#VALUE!</v>
      </c>
      <c r="S448" s="24" t="e">
        <f t="shared" si="61"/>
        <v>#VALUE!</v>
      </c>
      <c r="T448" s="24" t="e">
        <f t="shared" si="64"/>
        <v>#VALUE!</v>
      </c>
      <c r="U448" s="8">
        <f t="shared" si="57"/>
        <v>1</v>
      </c>
      <c r="V448" s="8">
        <f t="shared" si="58"/>
        <v>1900</v>
      </c>
      <c r="W448" s="24">
        <v>1.4232217391304347</v>
      </c>
    </row>
    <row r="449" spans="1:23">
      <c r="A449" s="44"/>
      <c r="B449" s="24"/>
      <c r="C449" s="24"/>
      <c r="D449" s="24"/>
      <c r="E449" s="24">
        <f t="shared" si="59"/>
        <v>0</v>
      </c>
      <c r="F449" s="24">
        <f t="shared" si="60"/>
        <v>0</v>
      </c>
      <c r="G449" s="47">
        <v>3.66</v>
      </c>
      <c r="H449" s="24">
        <f t="shared" si="65"/>
        <v>3.66</v>
      </c>
      <c r="K449" s="48">
        <f t="shared" si="66"/>
        <v>6.5357142857142865</v>
      </c>
      <c r="L449" s="48"/>
      <c r="M449" s="44">
        <f t="shared" si="56"/>
        <v>0</v>
      </c>
      <c r="N449" s="24" t="e">
        <v>#VALUE!</v>
      </c>
      <c r="O449" s="24" t="e">
        <v>#VALUE!</v>
      </c>
      <c r="P449" s="24" t="e">
        <v>#VALUE!</v>
      </c>
      <c r="Q449" s="24" t="e">
        <f t="shared" si="62"/>
        <v>#VALUE!</v>
      </c>
      <c r="R449" s="24" t="e">
        <f t="shared" si="63"/>
        <v>#VALUE!</v>
      </c>
      <c r="S449" s="24" t="e">
        <f t="shared" si="61"/>
        <v>#VALUE!</v>
      </c>
      <c r="T449" s="24" t="e">
        <f t="shared" si="64"/>
        <v>#VALUE!</v>
      </c>
      <c r="U449" s="8">
        <f t="shared" si="57"/>
        <v>1</v>
      </c>
      <c r="V449" s="8">
        <f t="shared" si="58"/>
        <v>1900</v>
      </c>
      <c r="W449" s="24">
        <v>1.4670190476190477</v>
      </c>
    </row>
    <row r="450" spans="1:23">
      <c r="A450" s="44"/>
      <c r="B450" s="24"/>
      <c r="C450" s="24"/>
      <c r="D450" s="24"/>
      <c r="E450" s="24">
        <f t="shared" si="59"/>
        <v>0</v>
      </c>
      <c r="F450" s="24">
        <f t="shared" si="60"/>
        <v>0</v>
      </c>
      <c r="G450" s="47">
        <v>4.03</v>
      </c>
      <c r="H450" s="24">
        <f t="shared" si="65"/>
        <v>4.03</v>
      </c>
      <c r="K450" s="48">
        <f t="shared" si="66"/>
        <v>7.1964285714285721</v>
      </c>
      <c r="L450" s="48"/>
      <c r="M450" s="44">
        <f t="shared" si="56"/>
        <v>0</v>
      </c>
      <c r="N450" s="24" t="e">
        <v>#VALUE!</v>
      </c>
      <c r="O450" s="24" t="e">
        <v>#VALUE!</v>
      </c>
      <c r="P450" s="24" t="e">
        <v>#VALUE!</v>
      </c>
      <c r="Q450" s="24" t="e">
        <f t="shared" si="62"/>
        <v>#VALUE!</v>
      </c>
      <c r="R450" s="24" t="e">
        <f t="shared" si="63"/>
        <v>#VALUE!</v>
      </c>
      <c r="S450" s="24" t="e">
        <f t="shared" si="61"/>
        <v>#VALUE!</v>
      </c>
      <c r="T450" s="24" t="e">
        <f t="shared" si="64"/>
        <v>#VALUE!</v>
      </c>
      <c r="U450" s="8">
        <f t="shared" si="57"/>
        <v>1</v>
      </c>
      <c r="V450" s="8">
        <f t="shared" si="58"/>
        <v>1900</v>
      </c>
      <c r="W450" s="24">
        <v>1.4555249999999997</v>
      </c>
    </row>
    <row r="451" spans="1:23">
      <c r="A451" s="44"/>
      <c r="B451" s="24"/>
      <c r="C451" s="24"/>
      <c r="D451" s="24"/>
      <c r="E451" s="24">
        <f t="shared" si="59"/>
        <v>0</v>
      </c>
      <c r="F451" s="24">
        <f t="shared" si="60"/>
        <v>0</v>
      </c>
      <c r="G451" s="47">
        <v>4.55</v>
      </c>
      <c r="H451" s="24">
        <f t="shared" si="65"/>
        <v>4.55</v>
      </c>
      <c r="K451" s="48">
        <f t="shared" si="66"/>
        <v>8.125</v>
      </c>
      <c r="L451" s="48"/>
      <c r="M451" s="44">
        <f t="shared" ref="M451:M514" si="67">A451</f>
        <v>0</v>
      </c>
      <c r="N451" s="24" t="e">
        <v>#VALUE!</v>
      </c>
      <c r="O451" s="24" t="e">
        <v>#VALUE!</v>
      </c>
      <c r="P451" s="24" t="e">
        <v>#VALUE!</v>
      </c>
      <c r="Q451" s="24" t="e">
        <f t="shared" si="62"/>
        <v>#VALUE!</v>
      </c>
      <c r="R451" s="24" t="e">
        <f t="shared" si="63"/>
        <v>#VALUE!</v>
      </c>
      <c r="S451" s="24" t="e">
        <f t="shared" si="61"/>
        <v>#VALUE!</v>
      </c>
      <c r="T451" s="24" t="e">
        <f t="shared" si="64"/>
        <v>#VALUE!</v>
      </c>
      <c r="U451" s="8">
        <f t="shared" ref="U451:U514" si="68">MONTH(M451)</f>
        <v>1</v>
      </c>
      <c r="V451" s="8">
        <f t="shared" ref="V451:V514" si="69">YEAR(M451)</f>
        <v>1900</v>
      </c>
      <c r="W451" s="24">
        <v>1.4735666666666665</v>
      </c>
    </row>
    <row r="452" spans="1:23">
      <c r="A452" s="44"/>
      <c r="B452" s="24"/>
      <c r="C452" s="24"/>
      <c r="D452" s="24"/>
      <c r="E452" s="24">
        <f t="shared" si="59"/>
        <v>0</v>
      </c>
      <c r="F452" s="24">
        <f t="shared" si="60"/>
        <v>0</v>
      </c>
      <c r="G452" s="47">
        <v>4.91</v>
      </c>
      <c r="H452" s="24">
        <f t="shared" si="65"/>
        <v>4.91</v>
      </c>
      <c r="K452" s="48">
        <f t="shared" si="66"/>
        <v>8.7678571428571423</v>
      </c>
      <c r="L452" s="48"/>
      <c r="M452" s="44">
        <f t="shared" si="67"/>
        <v>0</v>
      </c>
      <c r="N452" s="24" t="e">
        <v>#VALUE!</v>
      </c>
      <c r="O452" s="24" t="e">
        <v>#VALUE!</v>
      </c>
      <c r="P452" s="24" t="e">
        <v>#VALUE!</v>
      </c>
      <c r="Q452" s="24" t="e">
        <f t="shared" si="62"/>
        <v>#VALUE!</v>
      </c>
      <c r="R452" s="24" t="e">
        <f t="shared" si="63"/>
        <v>#VALUE!</v>
      </c>
      <c r="S452" s="24" t="e">
        <f t="shared" si="61"/>
        <v>#VALUE!</v>
      </c>
      <c r="T452" s="24" t="e">
        <f t="shared" si="64"/>
        <v>#VALUE!</v>
      </c>
      <c r="U452" s="8">
        <f t="shared" si="68"/>
        <v>1</v>
      </c>
      <c r="V452" s="8">
        <f t="shared" si="69"/>
        <v>1900</v>
      </c>
      <c r="W452" s="24">
        <v>1.476315</v>
      </c>
    </row>
    <row r="453" spans="1:23">
      <c r="A453" s="44"/>
      <c r="B453" s="24"/>
      <c r="C453" s="24"/>
      <c r="D453" s="24"/>
      <c r="E453" s="24">
        <f t="shared" si="59"/>
        <v>0</v>
      </c>
      <c r="F453" s="24">
        <f t="shared" si="60"/>
        <v>0</v>
      </c>
      <c r="G453" s="47">
        <v>5.15</v>
      </c>
      <c r="H453" s="24">
        <f t="shared" si="65"/>
        <v>5.15</v>
      </c>
      <c r="K453" s="48">
        <f t="shared" si="66"/>
        <v>9.196428571428573</v>
      </c>
      <c r="L453" s="48"/>
      <c r="M453" s="44">
        <f t="shared" si="67"/>
        <v>0</v>
      </c>
      <c r="N453" s="24" t="e">
        <v>#VALUE!</v>
      </c>
      <c r="O453" s="24" t="e">
        <v>#VALUE!</v>
      </c>
      <c r="P453" s="24" t="e">
        <v>#VALUE!</v>
      </c>
      <c r="Q453" s="24" t="e">
        <f t="shared" si="62"/>
        <v>#VALUE!</v>
      </c>
      <c r="R453" s="24" t="e">
        <f t="shared" si="63"/>
        <v>#VALUE!</v>
      </c>
      <c r="S453" s="24" t="e">
        <f t="shared" si="61"/>
        <v>#VALUE!</v>
      </c>
      <c r="T453" s="24" t="e">
        <f t="shared" si="64"/>
        <v>#VALUE!</v>
      </c>
      <c r="U453" s="8">
        <f t="shared" si="68"/>
        <v>1</v>
      </c>
      <c r="V453" s="8">
        <f t="shared" si="69"/>
        <v>1900</v>
      </c>
      <c r="W453" s="24">
        <v>1.5532099999999998</v>
      </c>
    </row>
    <row r="454" spans="1:23">
      <c r="A454" s="44"/>
      <c r="B454" s="24"/>
      <c r="C454" s="24"/>
      <c r="D454" s="24"/>
      <c r="E454" s="24">
        <f t="shared" si="59"/>
        <v>0</v>
      </c>
      <c r="F454" s="24">
        <f t="shared" si="60"/>
        <v>0</v>
      </c>
      <c r="G454" s="47">
        <v>5.59</v>
      </c>
      <c r="H454" s="24">
        <f t="shared" si="65"/>
        <v>5.59</v>
      </c>
      <c r="K454" s="48">
        <f t="shared" si="66"/>
        <v>9.9821428571428577</v>
      </c>
      <c r="L454" s="48"/>
      <c r="M454" s="44">
        <f t="shared" si="67"/>
        <v>0</v>
      </c>
      <c r="N454" s="24" t="e">
        <v>#VALUE!</v>
      </c>
      <c r="O454" s="24" t="e">
        <v>#VALUE!</v>
      </c>
      <c r="P454" s="24" t="e">
        <v>#VALUE!</v>
      </c>
      <c r="Q454" s="24" t="e">
        <f t="shared" si="62"/>
        <v>#VALUE!</v>
      </c>
      <c r="R454" s="24" t="e">
        <f t="shared" si="63"/>
        <v>#VALUE!</v>
      </c>
      <c r="S454" s="24" t="e">
        <f t="shared" si="61"/>
        <v>#VALUE!</v>
      </c>
      <c r="T454" s="24" t="e">
        <f t="shared" si="64"/>
        <v>#VALUE!</v>
      </c>
      <c r="U454" s="8">
        <f t="shared" si="68"/>
        <v>1</v>
      </c>
      <c r="V454" s="8">
        <f t="shared" si="69"/>
        <v>1900</v>
      </c>
      <c r="W454" s="24">
        <v>1.575931818181818</v>
      </c>
    </row>
    <row r="455" spans="1:23">
      <c r="A455" s="44"/>
      <c r="B455" s="24"/>
      <c r="C455" s="24"/>
      <c r="D455" s="24"/>
      <c r="E455" s="24">
        <f t="shared" si="59"/>
        <v>0</v>
      </c>
      <c r="F455" s="24">
        <f t="shared" si="60"/>
        <v>0</v>
      </c>
      <c r="G455" s="47">
        <v>5.58</v>
      </c>
      <c r="H455" s="24">
        <f t="shared" si="65"/>
        <v>5.58</v>
      </c>
      <c r="K455" s="48">
        <f t="shared" si="66"/>
        <v>9.9642857142857153</v>
      </c>
      <c r="L455" s="48"/>
      <c r="M455" s="44">
        <f t="shared" si="67"/>
        <v>0</v>
      </c>
      <c r="N455" s="24" t="e">
        <v>#VALUE!</v>
      </c>
      <c r="O455" s="24" t="e">
        <v>#VALUE!</v>
      </c>
      <c r="P455" s="24" t="e">
        <v>#VALUE!</v>
      </c>
      <c r="Q455" s="24" t="e">
        <f t="shared" si="62"/>
        <v>#VALUE!</v>
      </c>
      <c r="R455" s="24" t="e">
        <f t="shared" si="63"/>
        <v>#VALUE!</v>
      </c>
      <c r="S455" s="24" t="e">
        <f t="shared" si="61"/>
        <v>#VALUE!</v>
      </c>
      <c r="T455" s="24" t="e">
        <f t="shared" si="64"/>
        <v>#VALUE!</v>
      </c>
      <c r="U455" s="8">
        <f t="shared" si="68"/>
        <v>1</v>
      </c>
      <c r="V455" s="8">
        <f t="shared" si="69"/>
        <v>1900</v>
      </c>
      <c r="W455" s="24">
        <v>1.554919047619048</v>
      </c>
    </row>
    <row r="456" spans="1:23">
      <c r="A456" s="44"/>
      <c r="B456" s="24"/>
      <c r="C456" s="24"/>
      <c r="D456" s="24"/>
      <c r="E456" s="24">
        <f t="shared" si="59"/>
        <v>0</v>
      </c>
      <c r="F456" s="24">
        <f t="shared" si="60"/>
        <v>0</v>
      </c>
      <c r="G456" s="47">
        <v>6.55</v>
      </c>
      <c r="H456" s="24">
        <f t="shared" si="65"/>
        <v>6.55</v>
      </c>
      <c r="K456" s="48">
        <f t="shared" si="66"/>
        <v>11.696428571428571</v>
      </c>
      <c r="L456" s="48"/>
      <c r="M456" s="44">
        <f t="shared" si="67"/>
        <v>0</v>
      </c>
      <c r="N456" s="24" t="e">
        <v>#VALUE!</v>
      </c>
      <c r="O456" s="24" t="e">
        <v>#VALUE!</v>
      </c>
      <c r="P456" s="24" t="e">
        <v>#VALUE!</v>
      </c>
      <c r="Q456" s="24" t="e">
        <f t="shared" si="62"/>
        <v>#VALUE!</v>
      </c>
      <c r="R456" s="24" t="e">
        <f t="shared" si="63"/>
        <v>#VALUE!</v>
      </c>
      <c r="S456" s="24" t="e">
        <f t="shared" si="61"/>
        <v>#VALUE!</v>
      </c>
      <c r="T456" s="24" t="e">
        <f t="shared" si="64"/>
        <v>#VALUE!</v>
      </c>
      <c r="U456" s="8">
        <f t="shared" si="68"/>
        <v>1</v>
      </c>
      <c r="V456" s="8">
        <f t="shared" si="69"/>
        <v>1900</v>
      </c>
      <c r="W456" s="24">
        <v>1.5568190476190475</v>
      </c>
    </row>
    <row r="457" spans="1:23">
      <c r="A457" s="44"/>
      <c r="B457" s="24"/>
      <c r="C457" s="24"/>
      <c r="D457" s="24"/>
      <c r="E457" s="24">
        <f t="shared" si="59"/>
        <v>0</v>
      </c>
      <c r="F457" s="24">
        <f t="shared" si="60"/>
        <v>0</v>
      </c>
      <c r="G457" s="47">
        <v>5.97</v>
      </c>
      <c r="H457" s="24">
        <f t="shared" si="65"/>
        <v>5.97</v>
      </c>
      <c r="K457" s="48">
        <f t="shared" si="66"/>
        <v>10.660714285714286</v>
      </c>
      <c r="L457" s="48"/>
      <c r="M457" s="44">
        <f t="shared" si="67"/>
        <v>0</v>
      </c>
      <c r="N457" s="24" t="e">
        <v>#VALUE!</v>
      </c>
      <c r="O457" s="24" t="e">
        <v>#VALUE!</v>
      </c>
      <c r="P457" s="24" t="e">
        <v>#VALUE!</v>
      </c>
      <c r="Q457" s="24" t="e">
        <f t="shared" si="62"/>
        <v>#VALUE!</v>
      </c>
      <c r="R457" s="24" t="e">
        <f t="shared" si="63"/>
        <v>#VALUE!</v>
      </c>
      <c r="S457" s="24" t="e">
        <f t="shared" si="61"/>
        <v>#VALUE!</v>
      </c>
      <c r="T457" s="24" t="e">
        <f t="shared" si="64"/>
        <v>#VALUE!</v>
      </c>
      <c r="U457" s="8">
        <f t="shared" si="68"/>
        <v>1</v>
      </c>
      <c r="V457" s="8">
        <f t="shared" si="69"/>
        <v>1900</v>
      </c>
      <c r="W457" s="24">
        <v>1.5766454545454545</v>
      </c>
    </row>
    <row r="458" spans="1:23">
      <c r="A458" s="44"/>
      <c r="B458" s="24"/>
      <c r="C458" s="24"/>
      <c r="D458" s="24"/>
      <c r="E458" s="24">
        <f t="shared" si="59"/>
        <v>0</v>
      </c>
      <c r="F458" s="24">
        <f t="shared" si="60"/>
        <v>0</v>
      </c>
      <c r="G458" s="47">
        <v>5.04</v>
      </c>
      <c r="H458" s="24">
        <f t="shared" si="65"/>
        <v>5.04</v>
      </c>
      <c r="K458" s="48">
        <f t="shared" si="66"/>
        <v>9</v>
      </c>
      <c r="L458" s="48"/>
      <c r="M458" s="44">
        <f t="shared" si="67"/>
        <v>0</v>
      </c>
      <c r="N458" s="24" t="e">
        <v>#VALUE!</v>
      </c>
      <c r="O458" s="24" t="e">
        <v>#VALUE!</v>
      </c>
      <c r="P458" s="24" t="e">
        <v>#VALUE!</v>
      </c>
      <c r="Q458" s="24" t="e">
        <f t="shared" si="62"/>
        <v>#VALUE!</v>
      </c>
      <c r="R458" s="24" t="e">
        <f t="shared" si="63"/>
        <v>#VALUE!</v>
      </c>
      <c r="S458" s="24" t="e">
        <f t="shared" si="61"/>
        <v>#VALUE!</v>
      </c>
      <c r="T458" s="24" t="e">
        <f t="shared" si="64"/>
        <v>#VALUE!</v>
      </c>
      <c r="U458" s="8">
        <f t="shared" si="68"/>
        <v>1</v>
      </c>
      <c r="V458" s="8">
        <f t="shared" si="69"/>
        <v>1900</v>
      </c>
      <c r="W458" s="24">
        <v>1.4951714285714286</v>
      </c>
    </row>
    <row r="459" spans="1:23">
      <c r="A459" s="44"/>
      <c r="B459" s="24"/>
      <c r="C459" s="24"/>
      <c r="D459" s="24"/>
      <c r="E459" s="24">
        <f t="shared" ref="E459:E522" si="70">B459-D459</f>
        <v>0</v>
      </c>
      <c r="F459" s="24">
        <f t="shared" ref="F459:F522" si="71">C459-D459</f>
        <v>0</v>
      </c>
      <c r="G459" s="47">
        <v>5</v>
      </c>
      <c r="H459" s="24">
        <f t="shared" si="65"/>
        <v>5</v>
      </c>
      <c r="K459" s="48">
        <f t="shared" si="66"/>
        <v>8.9285714285714288</v>
      </c>
      <c r="L459" s="48"/>
      <c r="M459" s="44">
        <f t="shared" si="67"/>
        <v>0</v>
      </c>
      <c r="N459" s="24" t="e">
        <v>#VALUE!</v>
      </c>
      <c r="O459" s="24" t="e">
        <v>#VALUE!</v>
      </c>
      <c r="P459" s="24" t="e">
        <v>#VALUE!</v>
      </c>
      <c r="Q459" s="24" t="e">
        <f t="shared" si="62"/>
        <v>#VALUE!</v>
      </c>
      <c r="R459" s="24" t="e">
        <f t="shared" si="63"/>
        <v>#VALUE!</v>
      </c>
      <c r="S459" s="24" t="e">
        <f t="shared" si="61"/>
        <v>#VALUE!</v>
      </c>
      <c r="T459" s="24" t="e">
        <f t="shared" si="64"/>
        <v>#VALUE!</v>
      </c>
      <c r="U459" s="8">
        <f t="shared" si="68"/>
        <v>1</v>
      </c>
      <c r="V459" s="8">
        <f t="shared" si="69"/>
        <v>1900</v>
      </c>
      <c r="W459" s="24">
        <v>1.4347523809523812</v>
      </c>
    </row>
    <row r="460" spans="1:23">
      <c r="A460" s="44"/>
      <c r="B460" s="24"/>
      <c r="C460" s="24"/>
      <c r="D460" s="24"/>
      <c r="E460" s="24">
        <f t="shared" si="70"/>
        <v>0</v>
      </c>
      <c r="F460" s="24">
        <f t="shared" si="71"/>
        <v>0</v>
      </c>
      <c r="G460" s="47">
        <v>3.69</v>
      </c>
      <c r="H460" s="24">
        <f t="shared" si="65"/>
        <v>3.69</v>
      </c>
      <c r="K460" s="48">
        <f t="shared" si="66"/>
        <v>6.5892857142857144</v>
      </c>
      <c r="L460" s="48"/>
      <c r="M460" s="44">
        <f t="shared" si="67"/>
        <v>0</v>
      </c>
      <c r="N460" s="24" t="e">
        <v>#VALUE!</v>
      </c>
      <c r="O460" s="24" t="e">
        <v>#VALUE!</v>
      </c>
      <c r="P460" s="24" t="e">
        <v>#VALUE!</v>
      </c>
      <c r="Q460" s="24" t="e">
        <f t="shared" si="62"/>
        <v>#VALUE!</v>
      </c>
      <c r="R460" s="24" t="e">
        <f t="shared" si="63"/>
        <v>#VALUE!</v>
      </c>
      <c r="S460" s="24" t="e">
        <f t="shared" si="61"/>
        <v>#VALUE!</v>
      </c>
      <c r="T460" s="24" t="e">
        <f t="shared" si="64"/>
        <v>#VALUE!</v>
      </c>
      <c r="U460" s="8">
        <f t="shared" si="68"/>
        <v>1</v>
      </c>
      <c r="V460" s="8">
        <f t="shared" si="69"/>
        <v>1900</v>
      </c>
      <c r="W460" s="24">
        <v>1.3284304347826088</v>
      </c>
    </row>
    <row r="461" spans="1:23">
      <c r="A461" s="44"/>
      <c r="B461" s="24"/>
      <c r="C461" s="24"/>
      <c r="D461" s="24"/>
      <c r="E461" s="24">
        <f t="shared" si="70"/>
        <v>0</v>
      </c>
      <c r="F461" s="24">
        <f t="shared" si="71"/>
        <v>0</v>
      </c>
      <c r="G461" s="47">
        <v>3.42</v>
      </c>
      <c r="H461" s="24">
        <f t="shared" si="65"/>
        <v>3.42</v>
      </c>
      <c r="K461" s="48">
        <f t="shared" si="66"/>
        <v>6.1071428571428568</v>
      </c>
      <c r="L461" s="48"/>
      <c r="M461" s="44">
        <f t="shared" si="67"/>
        <v>0</v>
      </c>
      <c r="N461" s="24" t="e">
        <v>#VALUE!</v>
      </c>
      <c r="O461" s="24" t="e">
        <v>#VALUE!</v>
      </c>
      <c r="P461" s="24" t="e">
        <v>#VALUE!</v>
      </c>
      <c r="Q461" s="24" t="e">
        <f t="shared" si="62"/>
        <v>#VALUE!</v>
      </c>
      <c r="R461" s="24" t="e">
        <f t="shared" si="63"/>
        <v>#VALUE!</v>
      </c>
      <c r="S461" s="24" t="e">
        <f t="shared" si="61"/>
        <v>#VALUE!</v>
      </c>
      <c r="T461" s="24" t="e">
        <f t="shared" si="64"/>
        <v>#VALUE!</v>
      </c>
      <c r="U461" s="8">
        <f t="shared" si="68"/>
        <v>1</v>
      </c>
      <c r="V461" s="8">
        <f t="shared" si="69"/>
        <v>1900</v>
      </c>
      <c r="W461" s="24">
        <v>1.2716473684210527</v>
      </c>
    </row>
    <row r="462" spans="1:23">
      <c r="A462" s="44"/>
      <c r="B462" s="24"/>
      <c r="C462" s="24"/>
      <c r="D462" s="24"/>
      <c r="E462" s="24">
        <f t="shared" si="70"/>
        <v>0</v>
      </c>
      <c r="F462" s="24">
        <f t="shared" si="71"/>
        <v>0</v>
      </c>
      <c r="G462" s="47">
        <v>3.33</v>
      </c>
      <c r="H462" s="24">
        <f t="shared" si="65"/>
        <v>3.33</v>
      </c>
      <c r="K462" s="48">
        <f t="shared" si="66"/>
        <v>5.9464285714285712</v>
      </c>
      <c r="L462" s="48"/>
      <c r="M462" s="44">
        <f t="shared" si="67"/>
        <v>0</v>
      </c>
      <c r="N462" s="24" t="e">
        <v>#VALUE!</v>
      </c>
      <c r="O462" s="24" t="e">
        <v>#VALUE!</v>
      </c>
      <c r="P462" s="24" t="e">
        <v>#VALUE!</v>
      </c>
      <c r="Q462" s="24" t="e">
        <f t="shared" si="62"/>
        <v>#VALUE!</v>
      </c>
      <c r="R462" s="24" t="e">
        <f t="shared" si="63"/>
        <v>#VALUE!</v>
      </c>
      <c r="S462" s="24" t="e">
        <f t="shared" si="61"/>
        <v>#VALUE!</v>
      </c>
      <c r="T462" s="24" t="e">
        <f t="shared" si="64"/>
        <v>#VALUE!</v>
      </c>
      <c r="U462" s="8">
        <f t="shared" si="68"/>
        <v>1</v>
      </c>
      <c r="V462" s="8">
        <f t="shared" si="69"/>
        <v>1900</v>
      </c>
      <c r="W462" s="24">
        <v>1.3521454545454548</v>
      </c>
    </row>
    <row r="463" spans="1:23">
      <c r="A463" s="44"/>
      <c r="B463" s="24"/>
      <c r="C463" s="24"/>
      <c r="D463" s="24"/>
      <c r="E463" s="24">
        <f t="shared" si="70"/>
        <v>0</v>
      </c>
      <c r="F463" s="24">
        <f t="shared" si="71"/>
        <v>0</v>
      </c>
      <c r="G463" s="47">
        <v>3.61</v>
      </c>
      <c r="H463" s="24">
        <f t="shared" si="65"/>
        <v>3.61</v>
      </c>
      <c r="K463" s="48">
        <f t="shared" si="66"/>
        <v>6.4464285714285712</v>
      </c>
      <c r="L463" s="48"/>
      <c r="M463" s="44">
        <f t="shared" si="67"/>
        <v>0</v>
      </c>
      <c r="N463" s="24" t="e">
        <v>#VALUE!</v>
      </c>
      <c r="O463" s="24" t="e">
        <v>#VALUE!</v>
      </c>
      <c r="P463" s="24" t="e">
        <v>#VALUE!</v>
      </c>
      <c r="Q463" s="24" t="e">
        <f t="shared" si="62"/>
        <v>#VALUE!</v>
      </c>
      <c r="R463" s="24" t="e">
        <f t="shared" si="63"/>
        <v>#VALUE!</v>
      </c>
      <c r="S463" s="24" t="e">
        <f t="shared" si="61"/>
        <v>#VALUE!</v>
      </c>
      <c r="T463" s="24" t="e">
        <f t="shared" si="64"/>
        <v>#VALUE!</v>
      </c>
      <c r="U463" s="8">
        <f t="shared" si="68"/>
        <v>1</v>
      </c>
      <c r="V463" s="8">
        <f t="shared" si="69"/>
        <v>1900</v>
      </c>
      <c r="W463" s="24">
        <v>1.32538</v>
      </c>
    </row>
    <row r="464" spans="1:23">
      <c r="A464" s="44"/>
      <c r="B464" s="24"/>
      <c r="C464" s="24"/>
      <c r="D464" s="24"/>
      <c r="E464" s="24">
        <f t="shared" si="70"/>
        <v>0</v>
      </c>
      <c r="F464" s="24">
        <f t="shared" si="71"/>
        <v>0</v>
      </c>
      <c r="G464" s="47">
        <v>3.46</v>
      </c>
      <c r="H464" s="24">
        <f t="shared" si="65"/>
        <v>3.46</v>
      </c>
      <c r="K464" s="48">
        <f t="shared" si="66"/>
        <v>6.1785714285714288</v>
      </c>
      <c r="L464" s="48"/>
      <c r="M464" s="44">
        <f t="shared" si="67"/>
        <v>0</v>
      </c>
      <c r="N464" s="24" t="e">
        <v>#VALUE!</v>
      </c>
      <c r="O464" s="24" t="e">
        <v>#VALUE!</v>
      </c>
      <c r="P464" s="24" t="e">
        <v>#VALUE!</v>
      </c>
      <c r="Q464" s="24" t="e">
        <f t="shared" si="62"/>
        <v>#VALUE!</v>
      </c>
      <c r="R464" s="24" t="e">
        <f t="shared" si="63"/>
        <v>#VALUE!</v>
      </c>
      <c r="S464" s="24" t="e">
        <f t="shared" si="61"/>
        <v>#VALUE!</v>
      </c>
      <c r="T464" s="24" t="e">
        <f t="shared" si="64"/>
        <v>#VALUE!</v>
      </c>
      <c r="U464" s="8">
        <f t="shared" si="68"/>
        <v>1</v>
      </c>
      <c r="V464" s="8">
        <f t="shared" si="69"/>
        <v>1900</v>
      </c>
      <c r="W464" s="24">
        <v>1.2801368421052628</v>
      </c>
    </row>
    <row r="465" spans="1:23">
      <c r="A465" s="44"/>
      <c r="B465" s="24"/>
      <c r="C465" s="24"/>
      <c r="D465" s="24"/>
      <c r="E465" s="24">
        <f t="shared" si="70"/>
        <v>0</v>
      </c>
      <c r="F465" s="24">
        <f t="shared" si="71"/>
        <v>0</v>
      </c>
      <c r="G465" s="47">
        <v>3.6</v>
      </c>
      <c r="H465" s="24">
        <f t="shared" si="65"/>
        <v>3.6</v>
      </c>
      <c r="K465" s="48">
        <f t="shared" si="66"/>
        <v>6.4285714285714297</v>
      </c>
      <c r="L465" s="48"/>
      <c r="M465" s="44">
        <f t="shared" si="67"/>
        <v>0</v>
      </c>
      <c r="N465" s="24" t="e">
        <v>#VALUE!</v>
      </c>
      <c r="O465" s="24" t="e">
        <v>#VALUE!</v>
      </c>
      <c r="P465" s="24" t="e">
        <v>#VALUE!</v>
      </c>
      <c r="Q465" s="24" t="e">
        <f t="shared" si="62"/>
        <v>#VALUE!</v>
      </c>
      <c r="R465" s="24" t="e">
        <f t="shared" si="63"/>
        <v>#VALUE!</v>
      </c>
      <c r="S465" s="24" t="e">
        <f t="shared" si="61"/>
        <v>#VALUE!</v>
      </c>
      <c r="T465" s="24" t="e">
        <f t="shared" si="64"/>
        <v>#VALUE!</v>
      </c>
      <c r="U465" s="8">
        <f t="shared" si="68"/>
        <v>1</v>
      </c>
      <c r="V465" s="8">
        <f t="shared" si="69"/>
        <v>1900</v>
      </c>
      <c r="W465" s="24">
        <v>1.3072772727272726</v>
      </c>
    </row>
    <row r="466" spans="1:23">
      <c r="A466" s="44"/>
      <c r="B466" s="24"/>
      <c r="C466" s="24"/>
      <c r="D466" s="24"/>
      <c r="E466" s="24">
        <f t="shared" si="70"/>
        <v>0</v>
      </c>
      <c r="F466" s="24">
        <f t="shared" si="71"/>
        <v>0</v>
      </c>
      <c r="G466" s="47">
        <v>3.69</v>
      </c>
      <c r="H466" s="24">
        <f t="shared" si="65"/>
        <v>3.69</v>
      </c>
      <c r="K466" s="48">
        <f t="shared" si="66"/>
        <v>6.5892857142857144</v>
      </c>
      <c r="L466" s="48"/>
      <c r="M466" s="44">
        <f t="shared" si="67"/>
        <v>0</v>
      </c>
      <c r="N466" s="24" t="e">
        <v>#VALUE!</v>
      </c>
      <c r="O466" s="24" t="e">
        <v>#VALUE!</v>
      </c>
      <c r="P466" s="24" t="e">
        <v>#VALUE!</v>
      </c>
      <c r="Q466" s="24" t="e">
        <f t="shared" si="62"/>
        <v>#VALUE!</v>
      </c>
      <c r="R466" s="24" t="e">
        <f t="shared" si="63"/>
        <v>#VALUE!</v>
      </c>
      <c r="S466" s="24" t="e">
        <f t="shared" si="61"/>
        <v>#VALUE!</v>
      </c>
      <c r="T466" s="24" t="e">
        <f t="shared" si="64"/>
        <v>#VALUE!</v>
      </c>
      <c r="U466" s="8">
        <f t="shared" si="68"/>
        <v>1</v>
      </c>
      <c r="V466" s="8">
        <f t="shared" si="69"/>
        <v>1900</v>
      </c>
      <c r="W466" s="24">
        <v>1.320052380952381</v>
      </c>
    </row>
    <row r="467" spans="1:23">
      <c r="A467" s="44"/>
      <c r="B467" s="24"/>
      <c r="C467" s="24"/>
      <c r="D467" s="24"/>
      <c r="E467" s="24">
        <f t="shared" si="70"/>
        <v>0</v>
      </c>
      <c r="F467" s="24">
        <f t="shared" si="71"/>
        <v>0</v>
      </c>
      <c r="G467" s="47">
        <v>3.98</v>
      </c>
      <c r="H467" s="24">
        <f t="shared" si="65"/>
        <v>3.98</v>
      </c>
      <c r="K467" s="48">
        <f t="shared" si="66"/>
        <v>7.1071428571428577</v>
      </c>
      <c r="L467" s="48"/>
      <c r="M467" s="44">
        <f t="shared" si="67"/>
        <v>0</v>
      </c>
      <c r="N467" s="24" t="e">
        <v>#VALUE!</v>
      </c>
      <c r="O467" s="24" t="e">
        <v>#VALUE!</v>
      </c>
      <c r="P467" s="24" t="e">
        <v>#VALUE!</v>
      </c>
      <c r="Q467" s="24" t="e">
        <f t="shared" si="62"/>
        <v>#VALUE!</v>
      </c>
      <c r="R467" s="24" t="e">
        <f t="shared" si="63"/>
        <v>#VALUE!</v>
      </c>
      <c r="S467" s="24" t="e">
        <f t="shared" si="61"/>
        <v>#VALUE!</v>
      </c>
      <c r="T467" s="24" t="e">
        <f t="shared" si="64"/>
        <v>#VALUE!</v>
      </c>
      <c r="U467" s="8">
        <f t="shared" si="68"/>
        <v>1</v>
      </c>
      <c r="V467" s="8">
        <f t="shared" si="69"/>
        <v>1900</v>
      </c>
      <c r="W467" s="24">
        <v>1.3651449999999998</v>
      </c>
    </row>
    <row r="468" spans="1:23">
      <c r="A468" s="44"/>
      <c r="B468" s="24"/>
      <c r="C468" s="24"/>
      <c r="D468" s="24"/>
      <c r="E468" s="24">
        <f t="shared" si="70"/>
        <v>0</v>
      </c>
      <c r="F468" s="24">
        <f t="shared" si="71"/>
        <v>0</v>
      </c>
      <c r="G468" s="47">
        <v>3.97</v>
      </c>
      <c r="H468" s="24">
        <f t="shared" si="65"/>
        <v>3.97</v>
      </c>
      <c r="K468" s="48">
        <f t="shared" si="66"/>
        <v>7.0892857142857144</v>
      </c>
      <c r="L468" s="48"/>
      <c r="M468" s="44">
        <f t="shared" si="67"/>
        <v>0</v>
      </c>
      <c r="N468" s="24" t="e">
        <v>#VALUE!</v>
      </c>
      <c r="O468" s="24" t="e">
        <v>#VALUE!</v>
      </c>
      <c r="P468" s="24" t="e">
        <v>#VALUE!</v>
      </c>
      <c r="Q468" s="24" t="e">
        <f t="shared" si="62"/>
        <v>#VALUE!</v>
      </c>
      <c r="R468" s="24" t="e">
        <f t="shared" si="63"/>
        <v>#VALUE!</v>
      </c>
      <c r="S468" s="24" t="e">
        <f t="shared" si="61"/>
        <v>#VALUE!</v>
      </c>
      <c r="T468" s="24" t="e">
        <f t="shared" si="64"/>
        <v>#VALUE!</v>
      </c>
      <c r="U468" s="8">
        <f t="shared" si="68"/>
        <v>1</v>
      </c>
      <c r="V468" s="8">
        <f t="shared" si="69"/>
        <v>1900</v>
      </c>
      <c r="W468" s="24">
        <v>1.4010909090909087</v>
      </c>
    </row>
    <row r="469" spans="1:23">
      <c r="A469" s="44"/>
      <c r="B469" s="24"/>
      <c r="C469" s="24"/>
      <c r="D469" s="24"/>
      <c r="E469" s="24">
        <f t="shared" si="70"/>
        <v>0</v>
      </c>
      <c r="F469" s="24">
        <f t="shared" si="71"/>
        <v>0</v>
      </c>
      <c r="G469" s="47">
        <v>3.22</v>
      </c>
      <c r="H469" s="24">
        <f t="shared" si="65"/>
        <v>3.22</v>
      </c>
      <c r="K469" s="48">
        <f t="shared" si="66"/>
        <v>5.75</v>
      </c>
      <c r="L469" s="48"/>
      <c r="M469" s="44">
        <f t="shared" si="67"/>
        <v>0</v>
      </c>
      <c r="N469" s="24" t="e">
        <v>#VALUE!</v>
      </c>
      <c r="O469" s="24" t="e">
        <v>#VALUE!</v>
      </c>
      <c r="P469" s="24" t="e">
        <v>#VALUE!</v>
      </c>
      <c r="Q469" s="24" t="e">
        <f t="shared" si="62"/>
        <v>#VALUE!</v>
      </c>
      <c r="R469" s="24" t="e">
        <f t="shared" si="63"/>
        <v>#VALUE!</v>
      </c>
      <c r="S469" s="24" t="e">
        <f t="shared" si="61"/>
        <v>#VALUE!</v>
      </c>
      <c r="T469" s="24" t="e">
        <f t="shared" si="64"/>
        <v>#VALUE!</v>
      </c>
      <c r="U469" s="8">
        <f t="shared" si="68"/>
        <v>1</v>
      </c>
      <c r="V469" s="8">
        <f t="shared" si="69"/>
        <v>1900</v>
      </c>
      <c r="W469" s="24">
        <v>1.4085636363636367</v>
      </c>
    </row>
    <row r="470" spans="1:23">
      <c r="A470" s="44"/>
      <c r="B470" s="24"/>
      <c r="C470" s="24"/>
      <c r="D470" s="24"/>
      <c r="E470" s="24">
        <f t="shared" si="70"/>
        <v>0</v>
      </c>
      <c r="F470" s="24">
        <f t="shared" si="71"/>
        <v>0</v>
      </c>
      <c r="G470" s="47">
        <v>3.21</v>
      </c>
      <c r="H470" s="24">
        <f t="shared" si="65"/>
        <v>3.21</v>
      </c>
      <c r="K470" s="48">
        <f t="shared" si="66"/>
        <v>5.7321428571428568</v>
      </c>
      <c r="L470" s="48"/>
      <c r="M470" s="44">
        <f t="shared" si="67"/>
        <v>0</v>
      </c>
      <c r="N470" s="24" t="e">
        <v>#VALUE!</v>
      </c>
      <c r="O470" s="24" t="e">
        <v>#VALUE!</v>
      </c>
      <c r="P470" s="24" t="e">
        <v>#VALUE!</v>
      </c>
      <c r="Q470" s="24" t="e">
        <f t="shared" si="62"/>
        <v>#VALUE!</v>
      </c>
      <c r="R470" s="24" t="e">
        <f t="shared" si="63"/>
        <v>#VALUE!</v>
      </c>
      <c r="S470" s="24" t="e">
        <f t="shared" si="61"/>
        <v>#VALUE!</v>
      </c>
      <c r="T470" s="24" t="e">
        <f t="shared" si="64"/>
        <v>#VALUE!</v>
      </c>
      <c r="U470" s="8">
        <f t="shared" si="68"/>
        <v>1</v>
      </c>
      <c r="V470" s="8">
        <f t="shared" si="69"/>
        <v>1900</v>
      </c>
      <c r="W470" s="24">
        <v>1.4264857142857144</v>
      </c>
    </row>
    <row r="471" spans="1:23">
      <c r="A471" s="44"/>
      <c r="B471" s="24"/>
      <c r="C471" s="24"/>
      <c r="D471" s="24"/>
      <c r="E471" s="24">
        <f t="shared" si="70"/>
        <v>0</v>
      </c>
      <c r="F471" s="24">
        <f t="shared" si="71"/>
        <v>0</v>
      </c>
      <c r="G471" s="47">
        <v>3.1</v>
      </c>
      <c r="H471" s="24">
        <f t="shared" si="65"/>
        <v>3.1</v>
      </c>
      <c r="K471" s="48">
        <f t="shared" si="66"/>
        <v>5.5357142857142865</v>
      </c>
      <c r="L471" s="48"/>
      <c r="M471" s="44">
        <f t="shared" si="67"/>
        <v>0</v>
      </c>
      <c r="N471" s="24" t="e">
        <v>#VALUE!</v>
      </c>
      <c r="O471" s="24" t="e">
        <v>#VALUE!</v>
      </c>
      <c r="P471" s="24" t="e">
        <v>#VALUE!</v>
      </c>
      <c r="Q471" s="24" t="e">
        <f t="shared" si="62"/>
        <v>#VALUE!</v>
      </c>
      <c r="R471" s="24" t="e">
        <f t="shared" si="63"/>
        <v>#VALUE!</v>
      </c>
      <c r="S471" s="24" t="e">
        <f t="shared" si="61"/>
        <v>#VALUE!</v>
      </c>
      <c r="T471" s="24" t="e">
        <f t="shared" si="64"/>
        <v>#VALUE!</v>
      </c>
      <c r="U471" s="8">
        <f t="shared" si="68"/>
        <v>1</v>
      </c>
      <c r="V471" s="8">
        <f t="shared" si="69"/>
        <v>1900</v>
      </c>
      <c r="W471" s="24">
        <v>1.4572190476190476</v>
      </c>
    </row>
    <row r="472" spans="1:23">
      <c r="A472" s="44"/>
      <c r="B472" s="24"/>
      <c r="C472" s="24"/>
      <c r="D472" s="24"/>
      <c r="E472" s="24">
        <f t="shared" si="70"/>
        <v>0</v>
      </c>
      <c r="F472" s="24">
        <f t="shared" si="71"/>
        <v>0</v>
      </c>
      <c r="G472" s="47">
        <v>3.52</v>
      </c>
      <c r="H472" s="24">
        <f t="shared" si="65"/>
        <v>3.52</v>
      </c>
      <c r="K472" s="48">
        <f t="shared" si="66"/>
        <v>6.2857142857142865</v>
      </c>
      <c r="L472" s="48"/>
      <c r="M472" s="44">
        <f t="shared" si="67"/>
        <v>0</v>
      </c>
      <c r="N472" s="24" t="e">
        <v>#VALUE!</v>
      </c>
      <c r="O472" s="24" t="e">
        <v>#VALUE!</v>
      </c>
      <c r="P472" s="24" t="e">
        <v>#VALUE!</v>
      </c>
      <c r="Q472" s="24" t="e">
        <f t="shared" si="62"/>
        <v>#VALUE!</v>
      </c>
      <c r="R472" s="24" t="e">
        <f t="shared" si="63"/>
        <v>#VALUE!</v>
      </c>
      <c r="S472" s="24" t="e">
        <f t="shared" si="61"/>
        <v>#VALUE!</v>
      </c>
      <c r="T472" s="24" t="e">
        <f t="shared" si="64"/>
        <v>#VALUE!</v>
      </c>
      <c r="U472" s="8">
        <f t="shared" si="68"/>
        <v>1</v>
      </c>
      <c r="V472" s="8">
        <f t="shared" si="69"/>
        <v>1900</v>
      </c>
      <c r="W472" s="24">
        <v>1.4814863636363638</v>
      </c>
    </row>
    <row r="473" spans="1:23">
      <c r="A473" s="44"/>
      <c r="B473" s="24"/>
      <c r="C473" s="24"/>
      <c r="D473" s="24"/>
      <c r="E473" s="24">
        <f t="shared" si="70"/>
        <v>0</v>
      </c>
      <c r="F473" s="24">
        <f t="shared" si="71"/>
        <v>0</v>
      </c>
      <c r="G473" s="47">
        <v>3.62</v>
      </c>
      <c r="H473" s="24">
        <f t="shared" si="65"/>
        <v>3.62</v>
      </c>
      <c r="K473" s="48">
        <f t="shared" si="66"/>
        <v>6.4642857142857144</v>
      </c>
      <c r="L473" s="48"/>
      <c r="M473" s="44">
        <f t="shared" si="67"/>
        <v>0</v>
      </c>
      <c r="N473" s="24" t="e">
        <v>#VALUE!</v>
      </c>
      <c r="O473" s="24" t="e">
        <v>#VALUE!</v>
      </c>
      <c r="P473" s="24" t="e">
        <v>#VALUE!</v>
      </c>
      <c r="Q473" s="24" t="e">
        <f t="shared" si="62"/>
        <v>#VALUE!</v>
      </c>
      <c r="R473" s="24" t="e">
        <f t="shared" si="63"/>
        <v>#VALUE!</v>
      </c>
      <c r="S473" s="24" t="e">
        <f t="shared" si="61"/>
        <v>#VALUE!</v>
      </c>
      <c r="T473" s="24" t="e">
        <f t="shared" si="64"/>
        <v>#VALUE!</v>
      </c>
      <c r="U473" s="8">
        <f t="shared" si="68"/>
        <v>1</v>
      </c>
      <c r="V473" s="8">
        <f t="shared" si="69"/>
        <v>1900</v>
      </c>
      <c r="W473" s="24">
        <v>1.492065</v>
      </c>
    </row>
    <row r="474" spans="1:23">
      <c r="A474" s="44"/>
      <c r="B474" s="24"/>
      <c r="C474" s="24"/>
      <c r="D474" s="24"/>
      <c r="E474" s="24">
        <f t="shared" si="70"/>
        <v>0</v>
      </c>
      <c r="F474" s="24">
        <f t="shared" si="71"/>
        <v>0</v>
      </c>
      <c r="G474" s="47">
        <v>3.59</v>
      </c>
      <c r="H474" s="24">
        <f t="shared" si="65"/>
        <v>3.59</v>
      </c>
      <c r="K474" s="48">
        <f t="shared" si="66"/>
        <v>6.4107142857142847</v>
      </c>
      <c r="L474" s="48"/>
      <c r="M474" s="44">
        <f t="shared" si="67"/>
        <v>0</v>
      </c>
      <c r="N474" s="24" t="e">
        <v>#VALUE!</v>
      </c>
      <c r="O474" s="24" t="e">
        <v>#VALUE!</v>
      </c>
      <c r="P474" s="24" t="e">
        <v>#VALUE!</v>
      </c>
      <c r="Q474" s="24" t="e">
        <f t="shared" si="62"/>
        <v>#VALUE!</v>
      </c>
      <c r="R474" s="24" t="e">
        <f t="shared" si="63"/>
        <v>#VALUE!</v>
      </c>
      <c r="S474" s="24" t="e">
        <f t="shared" si="61"/>
        <v>#VALUE!</v>
      </c>
      <c r="T474" s="24" t="e">
        <f t="shared" si="64"/>
        <v>#VALUE!</v>
      </c>
      <c r="U474" s="8">
        <f t="shared" si="68"/>
        <v>1</v>
      </c>
      <c r="V474" s="8">
        <f t="shared" si="69"/>
        <v>1900</v>
      </c>
      <c r="W474" s="24">
        <v>1.4575818181818185</v>
      </c>
    </row>
    <row r="475" spans="1:23">
      <c r="A475" s="44"/>
      <c r="B475" s="24"/>
      <c r="C475" s="24"/>
      <c r="D475" s="24"/>
      <c r="E475" s="24">
        <f t="shared" si="70"/>
        <v>0</v>
      </c>
      <c r="F475" s="24">
        <f t="shared" si="71"/>
        <v>0</v>
      </c>
      <c r="G475" s="47">
        <v>3.52</v>
      </c>
      <c r="H475" s="24">
        <f t="shared" si="65"/>
        <v>3.52</v>
      </c>
      <c r="K475" s="48">
        <f t="shared" si="66"/>
        <v>6.2857142857142865</v>
      </c>
      <c r="L475" s="48"/>
      <c r="M475" s="44">
        <f t="shared" si="67"/>
        <v>0</v>
      </c>
      <c r="N475" s="24" t="e">
        <v>#VALUE!</v>
      </c>
      <c r="O475" s="24" t="e">
        <v>#VALUE!</v>
      </c>
      <c r="P475" s="24" t="e">
        <v>#VALUE!</v>
      </c>
      <c r="Q475" s="24" t="e">
        <f t="shared" si="62"/>
        <v>#VALUE!</v>
      </c>
      <c r="R475" s="24" t="e">
        <f t="shared" si="63"/>
        <v>#VALUE!</v>
      </c>
      <c r="S475" s="24" t="e">
        <f t="shared" si="61"/>
        <v>#VALUE!</v>
      </c>
      <c r="T475" s="24" t="e">
        <f t="shared" si="64"/>
        <v>#VALUE!</v>
      </c>
      <c r="U475" s="8">
        <f t="shared" si="68"/>
        <v>1</v>
      </c>
      <c r="V475" s="8">
        <f t="shared" si="69"/>
        <v>1900</v>
      </c>
      <c r="W475" s="24">
        <v>1.4263789473684207</v>
      </c>
    </row>
    <row r="476" spans="1:23">
      <c r="A476" s="44"/>
      <c r="B476" s="24"/>
      <c r="C476" s="24"/>
      <c r="D476" s="24"/>
      <c r="E476" s="24">
        <f t="shared" si="70"/>
        <v>0</v>
      </c>
      <c r="F476" s="24">
        <f t="shared" si="71"/>
        <v>0</v>
      </c>
      <c r="G476" s="47">
        <v>3.39</v>
      </c>
      <c r="H476" s="24">
        <f t="shared" si="65"/>
        <v>3.39</v>
      </c>
      <c r="K476" s="48">
        <f t="shared" si="66"/>
        <v>6.0535714285714288</v>
      </c>
      <c r="L476" s="48"/>
      <c r="M476" s="44">
        <f t="shared" si="67"/>
        <v>0</v>
      </c>
      <c r="N476" s="24" t="e">
        <v>#VALUE!</v>
      </c>
      <c r="O476" s="24" t="e">
        <v>#VALUE!</v>
      </c>
      <c r="P476" s="24" t="e">
        <v>#VALUE!</v>
      </c>
      <c r="Q476" s="24" t="e">
        <f t="shared" si="62"/>
        <v>#VALUE!</v>
      </c>
      <c r="R476" s="24" t="e">
        <f t="shared" si="63"/>
        <v>#VALUE!</v>
      </c>
      <c r="S476" s="24" t="e">
        <f t="shared" si="61"/>
        <v>#VALUE!</v>
      </c>
      <c r="T476" s="24" t="e">
        <f t="shared" si="64"/>
        <v>#VALUE!</v>
      </c>
      <c r="U476" s="8">
        <f t="shared" si="68"/>
        <v>1</v>
      </c>
      <c r="V476" s="8">
        <f t="shared" si="69"/>
        <v>1900</v>
      </c>
      <c r="W476" s="24">
        <v>1.3687315789473684</v>
      </c>
    </row>
    <row r="477" spans="1:23">
      <c r="A477" s="44"/>
      <c r="B477" s="24"/>
      <c r="C477" s="24"/>
      <c r="D477" s="24"/>
      <c r="E477" s="24">
        <f t="shared" si="70"/>
        <v>0</v>
      </c>
      <c r="F477" s="24">
        <f t="shared" si="71"/>
        <v>0</v>
      </c>
      <c r="G477" s="47">
        <v>3.4</v>
      </c>
      <c r="H477" s="24">
        <f t="shared" si="65"/>
        <v>3.4</v>
      </c>
      <c r="K477" s="48">
        <f t="shared" si="66"/>
        <v>6.0714285714285712</v>
      </c>
      <c r="L477" s="48"/>
      <c r="M477" s="44">
        <f t="shared" si="67"/>
        <v>0</v>
      </c>
      <c r="N477" s="24" t="e">
        <v>#VALUE!</v>
      </c>
      <c r="O477" s="24" t="e">
        <v>#VALUE!</v>
      </c>
      <c r="P477" s="24" t="e">
        <v>#VALUE!</v>
      </c>
      <c r="Q477" s="24" t="e">
        <f t="shared" si="62"/>
        <v>#VALUE!</v>
      </c>
      <c r="R477" s="24" t="e">
        <f t="shared" si="63"/>
        <v>#VALUE!</v>
      </c>
      <c r="S477" s="24" t="e">
        <f t="shared" si="61"/>
        <v>#VALUE!</v>
      </c>
      <c r="T477" s="24" t="e">
        <f t="shared" si="64"/>
        <v>#VALUE!</v>
      </c>
      <c r="U477" s="8">
        <f t="shared" si="68"/>
        <v>1</v>
      </c>
      <c r="V477" s="8">
        <f t="shared" si="69"/>
        <v>1900</v>
      </c>
      <c r="W477" s="24">
        <v>1.3571956521739132</v>
      </c>
    </row>
    <row r="478" spans="1:23">
      <c r="A478" s="44"/>
      <c r="B478" s="24"/>
      <c r="C478" s="24"/>
      <c r="D478" s="24"/>
      <c r="E478" s="24">
        <f t="shared" si="70"/>
        <v>0</v>
      </c>
      <c r="F478" s="24">
        <f t="shared" si="71"/>
        <v>0</v>
      </c>
      <c r="G478" s="47">
        <v>3.36</v>
      </c>
      <c r="H478" s="24">
        <f t="shared" si="65"/>
        <v>3.36</v>
      </c>
      <c r="K478" s="48">
        <f t="shared" si="66"/>
        <v>6</v>
      </c>
      <c r="L478" s="48"/>
      <c r="M478" s="44">
        <f t="shared" si="67"/>
        <v>0</v>
      </c>
      <c r="N478" s="24" t="e">
        <v>#VALUE!</v>
      </c>
      <c r="O478" s="24" t="e">
        <v>#VALUE!</v>
      </c>
      <c r="P478" s="24" t="e">
        <v>#VALUE!</v>
      </c>
      <c r="Q478" s="24" t="e">
        <f t="shared" si="62"/>
        <v>#VALUE!</v>
      </c>
      <c r="R478" s="24" t="e">
        <f t="shared" si="63"/>
        <v>#VALUE!</v>
      </c>
      <c r="S478" s="24" t="e">
        <f t="shared" si="61"/>
        <v>#VALUE!</v>
      </c>
      <c r="T478" s="24" t="e">
        <f t="shared" si="64"/>
        <v>#VALUE!</v>
      </c>
      <c r="U478" s="8">
        <f t="shared" si="68"/>
        <v>1</v>
      </c>
      <c r="V478" s="8">
        <f t="shared" si="69"/>
        <v>1900</v>
      </c>
      <c r="W478" s="24">
        <v>1.3421000000000003</v>
      </c>
    </row>
    <row r="479" spans="1:23">
      <c r="A479" s="44"/>
      <c r="B479" s="24"/>
      <c r="C479" s="24"/>
      <c r="D479" s="24"/>
      <c r="E479" s="24">
        <f t="shared" si="70"/>
        <v>0</v>
      </c>
      <c r="F479" s="24">
        <f t="shared" si="71"/>
        <v>0</v>
      </c>
      <c r="G479" s="47">
        <v>3.43</v>
      </c>
      <c r="H479" s="24">
        <f t="shared" si="65"/>
        <v>3.43</v>
      </c>
      <c r="K479" s="48">
        <f t="shared" si="66"/>
        <v>6.1250000000000009</v>
      </c>
      <c r="L479" s="48"/>
      <c r="M479" s="44">
        <f t="shared" si="67"/>
        <v>0</v>
      </c>
      <c r="N479" s="24" t="e">
        <v>#VALUE!</v>
      </c>
      <c r="O479" s="24" t="e">
        <v>#VALUE!</v>
      </c>
      <c r="P479" s="24" t="e">
        <v>#VALUE!</v>
      </c>
      <c r="Q479" s="24" t="e">
        <f t="shared" si="62"/>
        <v>#VALUE!</v>
      </c>
      <c r="R479" s="24" t="e">
        <f t="shared" si="63"/>
        <v>#VALUE!</v>
      </c>
      <c r="S479" s="24" t="e">
        <f t="shared" si="61"/>
        <v>#VALUE!</v>
      </c>
      <c r="T479" s="24" t="e">
        <f t="shared" si="64"/>
        <v>#VALUE!</v>
      </c>
      <c r="U479" s="8">
        <f t="shared" si="68"/>
        <v>1</v>
      </c>
      <c r="V479" s="8">
        <f t="shared" si="69"/>
        <v>1900</v>
      </c>
      <c r="W479" s="24">
        <v>1.254475</v>
      </c>
    </row>
    <row r="480" spans="1:23">
      <c r="A480" s="44"/>
      <c r="B480" s="24"/>
      <c r="C480" s="24"/>
      <c r="D480" s="24"/>
      <c r="E480" s="24">
        <f t="shared" si="70"/>
        <v>0</v>
      </c>
      <c r="F480" s="24">
        <f t="shared" si="71"/>
        <v>0</v>
      </c>
      <c r="G480" s="47">
        <v>3.24</v>
      </c>
      <c r="H480" s="24">
        <f t="shared" si="65"/>
        <v>3.24</v>
      </c>
      <c r="K480" s="48">
        <f t="shared" si="66"/>
        <v>5.7857142857142865</v>
      </c>
      <c r="L480" s="48"/>
      <c r="M480" s="44">
        <f t="shared" si="67"/>
        <v>0</v>
      </c>
      <c r="N480" s="24" t="e">
        <v>#VALUE!</v>
      </c>
      <c r="O480" s="24" t="e">
        <v>#VALUE!</v>
      </c>
      <c r="P480" s="24" t="e">
        <v>#VALUE!</v>
      </c>
      <c r="Q480" s="24" t="e">
        <f t="shared" si="62"/>
        <v>#VALUE!</v>
      </c>
      <c r="R480" s="24" t="e">
        <f t="shared" si="63"/>
        <v>#VALUE!</v>
      </c>
      <c r="S480" s="24" t="e">
        <f t="shared" si="61"/>
        <v>#VALUE!</v>
      </c>
      <c r="T480" s="24" t="e">
        <f t="shared" si="64"/>
        <v>#VALUE!</v>
      </c>
      <c r="U480" s="8">
        <f t="shared" si="68"/>
        <v>1</v>
      </c>
      <c r="V480" s="8">
        <f t="shared" si="69"/>
        <v>1900</v>
      </c>
      <c r="W480" s="24">
        <v>1.2208318181818183</v>
      </c>
    </row>
    <row r="481" spans="1:23">
      <c r="A481" s="44"/>
      <c r="B481" s="24"/>
      <c r="C481" s="24"/>
      <c r="D481" s="24"/>
      <c r="E481" s="24">
        <f t="shared" si="70"/>
        <v>0</v>
      </c>
      <c r="F481" s="24">
        <f t="shared" si="71"/>
        <v>0</v>
      </c>
      <c r="G481" s="47">
        <v>3.49</v>
      </c>
      <c r="H481" s="24">
        <f t="shared" si="65"/>
        <v>3.49</v>
      </c>
      <c r="K481" s="48">
        <f t="shared" si="66"/>
        <v>6.2321428571428577</v>
      </c>
      <c r="L481" s="48"/>
      <c r="M481" s="44">
        <f t="shared" si="67"/>
        <v>0</v>
      </c>
      <c r="N481" s="24" t="e">
        <v>#VALUE!</v>
      </c>
      <c r="O481" s="24" t="e">
        <v>#VALUE!</v>
      </c>
      <c r="P481" s="24" t="e">
        <v>#VALUE!</v>
      </c>
      <c r="Q481" s="24" t="e">
        <f t="shared" si="62"/>
        <v>#VALUE!</v>
      </c>
      <c r="R481" s="24" t="e">
        <f t="shared" si="63"/>
        <v>#VALUE!</v>
      </c>
      <c r="S481" s="24" t="e">
        <f t="shared" si="61"/>
        <v>#VALUE!</v>
      </c>
      <c r="T481" s="24" t="e">
        <f t="shared" si="64"/>
        <v>#VALUE!</v>
      </c>
      <c r="U481" s="8">
        <f t="shared" si="68"/>
        <v>1</v>
      </c>
      <c r="V481" s="8">
        <f t="shared" si="69"/>
        <v>1900</v>
      </c>
      <c r="W481" s="24">
        <v>1.2812238095238095</v>
      </c>
    </row>
    <row r="482" spans="1:23">
      <c r="A482" s="44"/>
      <c r="B482" s="24"/>
      <c r="C482" s="24"/>
      <c r="D482" s="24"/>
      <c r="E482" s="24">
        <f t="shared" si="70"/>
        <v>0</v>
      </c>
      <c r="F482" s="24">
        <f t="shared" si="71"/>
        <v>0</v>
      </c>
      <c r="G482" s="47">
        <v>3.77</v>
      </c>
      <c r="H482" s="24">
        <f t="shared" si="65"/>
        <v>3.77</v>
      </c>
      <c r="K482" s="48">
        <f t="shared" si="66"/>
        <v>6.7321428571428577</v>
      </c>
      <c r="L482" s="48"/>
      <c r="M482" s="44">
        <f t="shared" si="67"/>
        <v>0</v>
      </c>
      <c r="N482" s="24" t="e">
        <v>#VALUE!</v>
      </c>
      <c r="O482" s="24" t="e">
        <v>#VALUE!</v>
      </c>
      <c r="P482" s="24" t="e">
        <v>#VALUE!</v>
      </c>
      <c r="Q482" s="24" t="e">
        <f t="shared" si="62"/>
        <v>#VALUE!</v>
      </c>
      <c r="R482" s="24" t="e">
        <f t="shared" si="63"/>
        <v>#VALUE!</v>
      </c>
      <c r="S482" s="24" t="e">
        <f t="shared" si="61"/>
        <v>#VALUE!</v>
      </c>
      <c r="T482" s="24" t="e">
        <f t="shared" si="64"/>
        <v>#VALUE!</v>
      </c>
      <c r="U482" s="8">
        <f t="shared" si="68"/>
        <v>1</v>
      </c>
      <c r="V482" s="8">
        <f t="shared" si="69"/>
        <v>1900</v>
      </c>
      <c r="W482" s="24">
        <v>1.2895499999999998</v>
      </c>
    </row>
    <row r="483" spans="1:23">
      <c r="A483" s="44"/>
      <c r="B483" s="24"/>
      <c r="C483" s="24"/>
      <c r="D483" s="24"/>
      <c r="E483" s="24">
        <f t="shared" si="70"/>
        <v>0</v>
      </c>
      <c r="F483" s="24">
        <f t="shared" si="71"/>
        <v>0</v>
      </c>
      <c r="G483" s="47">
        <v>4.51</v>
      </c>
      <c r="H483" s="24">
        <f t="shared" si="65"/>
        <v>4.51</v>
      </c>
      <c r="K483" s="48">
        <f t="shared" si="66"/>
        <v>8.0535714285714288</v>
      </c>
      <c r="L483" s="48"/>
      <c r="M483" s="44">
        <f t="shared" si="67"/>
        <v>0</v>
      </c>
      <c r="N483" s="24" t="e">
        <v>#VALUE!</v>
      </c>
      <c r="O483" s="24" t="e">
        <v>#VALUE!</v>
      </c>
      <c r="P483" s="24" t="e">
        <v>#VALUE!</v>
      </c>
      <c r="Q483" s="24" t="e">
        <f t="shared" si="62"/>
        <v>#VALUE!</v>
      </c>
      <c r="R483" s="24" t="e">
        <f t="shared" si="63"/>
        <v>#VALUE!</v>
      </c>
      <c r="S483" s="24" t="e">
        <f t="shared" ref="S483:S546" si="72">P483/39.3679/W483</f>
        <v>#VALUE!</v>
      </c>
      <c r="T483" s="24" t="e">
        <f t="shared" si="64"/>
        <v>#VALUE!</v>
      </c>
      <c r="U483" s="8">
        <f t="shared" si="68"/>
        <v>1</v>
      </c>
      <c r="V483" s="8">
        <f t="shared" si="69"/>
        <v>1900</v>
      </c>
      <c r="W483" s="24">
        <v>1.3100047619047619</v>
      </c>
    </row>
    <row r="484" spans="1:23">
      <c r="A484" s="44"/>
      <c r="B484" s="24"/>
      <c r="C484" s="24"/>
      <c r="D484" s="24"/>
      <c r="E484" s="24">
        <f t="shared" si="70"/>
        <v>0</v>
      </c>
      <c r="F484" s="24">
        <f t="shared" si="71"/>
        <v>0</v>
      </c>
      <c r="G484" s="47">
        <v>5.19</v>
      </c>
      <c r="H484" s="24">
        <f t="shared" si="65"/>
        <v>5.19</v>
      </c>
      <c r="K484" s="48">
        <f t="shared" si="66"/>
        <v>9.2678571428571423</v>
      </c>
      <c r="L484" s="48"/>
      <c r="M484" s="44">
        <f t="shared" si="67"/>
        <v>0</v>
      </c>
      <c r="N484" s="24" t="e">
        <v>#VALUE!</v>
      </c>
      <c r="O484" s="24" t="e">
        <v>#VALUE!</v>
      </c>
      <c r="P484" s="24" t="e">
        <v>#VALUE!</v>
      </c>
      <c r="Q484" s="24" t="e">
        <f t="shared" ref="Q484:Q547" si="73">N484-P484</f>
        <v>#VALUE!</v>
      </c>
      <c r="R484" s="24" t="e">
        <f t="shared" ref="R484:R547" si="74">O484-P484</f>
        <v>#VALUE!</v>
      </c>
      <c r="S484" s="24" t="e">
        <f t="shared" si="72"/>
        <v>#VALUE!</v>
      </c>
      <c r="T484" s="24" t="e">
        <f t="shared" ref="T484:T547" si="75">S484-D484</f>
        <v>#VALUE!</v>
      </c>
      <c r="U484" s="8">
        <f t="shared" si="68"/>
        <v>1</v>
      </c>
      <c r="V484" s="8">
        <f t="shared" si="69"/>
        <v>1900</v>
      </c>
      <c r="W484" s="24">
        <v>1.3899714285714286</v>
      </c>
    </row>
    <row r="485" spans="1:23">
      <c r="A485" s="44"/>
      <c r="B485" s="24"/>
      <c r="C485" s="24"/>
      <c r="D485" s="24"/>
      <c r="E485" s="24">
        <f t="shared" si="70"/>
        <v>0</v>
      </c>
      <c r="F485" s="24">
        <f t="shared" si="71"/>
        <v>0</v>
      </c>
      <c r="G485" s="47">
        <v>5.33</v>
      </c>
      <c r="H485" s="24">
        <f t="shared" si="65"/>
        <v>5.33</v>
      </c>
      <c r="K485" s="48">
        <f t="shared" si="66"/>
        <v>9.5178571428571423</v>
      </c>
      <c r="L485" s="48"/>
      <c r="M485" s="44">
        <f t="shared" si="67"/>
        <v>0</v>
      </c>
      <c r="N485" s="24" t="e">
        <v>#VALUE!</v>
      </c>
      <c r="O485" s="24" t="e">
        <v>#VALUE!</v>
      </c>
      <c r="P485" s="24" t="e">
        <v>#VALUE!</v>
      </c>
      <c r="Q485" s="24" t="e">
        <f t="shared" si="73"/>
        <v>#VALUE!</v>
      </c>
      <c r="R485" s="24" t="e">
        <f t="shared" si="74"/>
        <v>#VALUE!</v>
      </c>
      <c r="S485" s="24" t="e">
        <f t="shared" si="72"/>
        <v>#VALUE!</v>
      </c>
      <c r="T485" s="24" t="e">
        <f t="shared" si="75"/>
        <v>#VALUE!</v>
      </c>
      <c r="U485" s="8">
        <f t="shared" si="68"/>
        <v>1</v>
      </c>
      <c r="V485" s="8">
        <f t="shared" si="69"/>
        <v>1900</v>
      </c>
      <c r="W485" s="24">
        <v>1.3652619047619048</v>
      </c>
    </row>
    <row r="486" spans="1:23">
      <c r="A486" s="44"/>
      <c r="B486" s="24"/>
      <c r="C486" s="24"/>
      <c r="D486" s="24"/>
      <c r="E486" s="24">
        <f t="shared" si="70"/>
        <v>0</v>
      </c>
      <c r="F486" s="24">
        <f t="shared" si="71"/>
        <v>0</v>
      </c>
      <c r="G486" s="47">
        <v>5.65</v>
      </c>
      <c r="H486" s="24">
        <f t="shared" si="65"/>
        <v>5.65</v>
      </c>
      <c r="K486" s="48">
        <f t="shared" si="66"/>
        <v>10.089285714285715</v>
      </c>
      <c r="L486" s="48"/>
      <c r="M486" s="44">
        <f t="shared" si="67"/>
        <v>0</v>
      </c>
      <c r="N486" s="24" t="e">
        <v>#VALUE!</v>
      </c>
      <c r="O486" s="24" t="e">
        <v>#VALUE!</v>
      </c>
      <c r="P486" s="24" t="e">
        <v>#VALUE!</v>
      </c>
      <c r="Q486" s="24" t="e">
        <f t="shared" si="73"/>
        <v>#VALUE!</v>
      </c>
      <c r="R486" s="24" t="e">
        <f t="shared" si="74"/>
        <v>#VALUE!</v>
      </c>
      <c r="S486" s="24" t="e">
        <f t="shared" si="72"/>
        <v>#VALUE!</v>
      </c>
      <c r="T486" s="24" t="e">
        <f t="shared" si="75"/>
        <v>#VALUE!</v>
      </c>
      <c r="U486" s="8">
        <f t="shared" si="68"/>
        <v>1</v>
      </c>
      <c r="V486" s="8">
        <f t="shared" si="69"/>
        <v>1900</v>
      </c>
      <c r="W486" s="24">
        <v>1.3233714285714284</v>
      </c>
    </row>
    <row r="487" spans="1:23">
      <c r="A487" s="44"/>
      <c r="B487" s="49"/>
      <c r="C487" s="49"/>
      <c r="D487" s="49"/>
      <c r="E487" s="24">
        <f t="shared" si="70"/>
        <v>0</v>
      </c>
      <c r="F487" s="24">
        <f t="shared" si="71"/>
        <v>0</v>
      </c>
      <c r="G487" s="47">
        <v>6.1</v>
      </c>
      <c r="H487" s="24">
        <f t="shared" si="65"/>
        <v>6.1</v>
      </c>
      <c r="K487" s="48">
        <f t="shared" si="66"/>
        <v>10.892857142857142</v>
      </c>
      <c r="L487" s="48"/>
      <c r="M487" s="44">
        <f t="shared" si="67"/>
        <v>0</v>
      </c>
      <c r="N487" s="24" t="e">
        <v>#VALUE!</v>
      </c>
      <c r="O487" s="24" t="e">
        <v>#VALUE!</v>
      </c>
      <c r="P487" s="24" t="e">
        <v>#VALUE!</v>
      </c>
      <c r="Q487" s="24" t="e">
        <f t="shared" si="73"/>
        <v>#VALUE!</v>
      </c>
      <c r="R487" s="24" t="e">
        <f t="shared" si="74"/>
        <v>#VALUE!</v>
      </c>
      <c r="S487" s="24" t="e">
        <f t="shared" si="72"/>
        <v>#VALUE!</v>
      </c>
      <c r="T487" s="24" t="e">
        <f t="shared" si="75"/>
        <v>#VALUE!</v>
      </c>
      <c r="U487" s="8">
        <f t="shared" si="68"/>
        <v>1</v>
      </c>
      <c r="V487" s="8">
        <f t="shared" si="69"/>
        <v>1900</v>
      </c>
      <c r="W487" s="24">
        <v>1.3375684210526315</v>
      </c>
    </row>
    <row r="488" spans="1:23">
      <c r="A488" s="44"/>
      <c r="B488" s="49"/>
      <c r="C488" s="49"/>
      <c r="D488" s="49"/>
      <c r="E488" s="24">
        <f t="shared" si="70"/>
        <v>0</v>
      </c>
      <c r="F488" s="24">
        <f t="shared" si="71"/>
        <v>0</v>
      </c>
      <c r="G488" s="47">
        <v>6.69</v>
      </c>
      <c r="H488" s="24">
        <f t="shared" si="65"/>
        <v>6.69</v>
      </c>
      <c r="K488" s="48">
        <f t="shared" si="66"/>
        <v>11.946428571428571</v>
      </c>
      <c r="L488" s="48"/>
      <c r="M488" s="44">
        <f t="shared" si="67"/>
        <v>0</v>
      </c>
      <c r="N488" s="24" t="e">
        <v>#VALUE!</v>
      </c>
      <c r="O488" s="24" t="e">
        <v>#VALUE!</v>
      </c>
      <c r="P488" s="24" t="e">
        <v>#VALUE!</v>
      </c>
      <c r="Q488" s="24" t="e">
        <f t="shared" si="73"/>
        <v>#VALUE!</v>
      </c>
      <c r="R488" s="24" t="e">
        <f t="shared" si="74"/>
        <v>#VALUE!</v>
      </c>
      <c r="S488" s="24" t="e">
        <f t="shared" si="72"/>
        <v>#VALUE!</v>
      </c>
      <c r="T488" s="24" t="e">
        <f t="shared" si="75"/>
        <v>#VALUE!</v>
      </c>
      <c r="U488" s="8">
        <f t="shared" si="68"/>
        <v>1</v>
      </c>
      <c r="V488" s="8">
        <f t="shared" si="69"/>
        <v>1900</v>
      </c>
      <c r="W488" s="24">
        <v>1.365921052631579</v>
      </c>
    </row>
    <row r="489" spans="1:23">
      <c r="A489" s="44"/>
      <c r="B489" s="49"/>
      <c r="C489" s="49"/>
      <c r="D489" s="49"/>
      <c r="E489" s="24">
        <f t="shared" si="70"/>
        <v>0</v>
      </c>
      <c r="F489" s="24">
        <f t="shared" si="71"/>
        <v>0</v>
      </c>
      <c r="G489" s="47">
        <v>6.59</v>
      </c>
      <c r="H489" s="24">
        <f t="shared" si="65"/>
        <v>6.59</v>
      </c>
      <c r="K489" s="48">
        <f t="shared" si="66"/>
        <v>11.767857142857142</v>
      </c>
      <c r="L489" s="48"/>
      <c r="M489" s="44">
        <f t="shared" si="67"/>
        <v>0</v>
      </c>
      <c r="N489" s="24" t="e">
        <v>#VALUE!</v>
      </c>
      <c r="O489" s="24" t="e">
        <v>#VALUE!</v>
      </c>
      <c r="P489" s="24" t="e">
        <v>#VALUE!</v>
      </c>
      <c r="Q489" s="24" t="e">
        <f t="shared" si="73"/>
        <v>#VALUE!</v>
      </c>
      <c r="R489" s="24" t="e">
        <f t="shared" si="74"/>
        <v>#VALUE!</v>
      </c>
      <c r="S489" s="24" t="e">
        <f t="shared" si="72"/>
        <v>#VALUE!</v>
      </c>
      <c r="T489" s="24" t="e">
        <f t="shared" si="75"/>
        <v>#VALUE!</v>
      </c>
      <c r="U489" s="8">
        <f t="shared" si="68"/>
        <v>1</v>
      </c>
      <c r="V489" s="8">
        <f t="shared" si="69"/>
        <v>1900</v>
      </c>
      <c r="W489" s="24">
        <v>1.4017173913043481</v>
      </c>
    </row>
    <row r="490" spans="1:23">
      <c r="A490" s="44"/>
      <c r="B490" s="49"/>
      <c r="C490" s="49"/>
      <c r="D490" s="49"/>
      <c r="E490" s="24">
        <f t="shared" si="70"/>
        <v>0</v>
      </c>
      <c r="F490" s="24">
        <f t="shared" si="71"/>
        <v>0</v>
      </c>
      <c r="G490" s="47">
        <v>7.33</v>
      </c>
      <c r="H490" s="24">
        <f t="shared" si="65"/>
        <v>7.33</v>
      </c>
      <c r="K490" s="48">
        <f t="shared" si="66"/>
        <v>13.089285714285715</v>
      </c>
      <c r="L490" s="48"/>
      <c r="M490" s="44">
        <f t="shared" si="67"/>
        <v>0</v>
      </c>
      <c r="N490" s="24" t="e">
        <v>#VALUE!</v>
      </c>
      <c r="O490" s="24" t="e">
        <v>#VALUE!</v>
      </c>
      <c r="P490" s="24" t="e">
        <v>#VALUE!</v>
      </c>
      <c r="Q490" s="24" t="e">
        <f t="shared" si="73"/>
        <v>#VALUE!</v>
      </c>
      <c r="R490" s="24" t="e">
        <f t="shared" si="74"/>
        <v>#VALUE!</v>
      </c>
      <c r="S490" s="24" t="e">
        <f t="shared" si="72"/>
        <v>#VALUE!</v>
      </c>
      <c r="T490" s="24" t="e">
        <f t="shared" si="75"/>
        <v>#VALUE!</v>
      </c>
      <c r="U490" s="8">
        <f t="shared" si="68"/>
        <v>1</v>
      </c>
      <c r="V490" s="8">
        <f t="shared" si="69"/>
        <v>1900</v>
      </c>
      <c r="W490" s="24">
        <v>1.4464950000000001</v>
      </c>
    </row>
    <row r="491" spans="1:23">
      <c r="A491" s="44"/>
      <c r="B491" s="49"/>
      <c r="C491" s="49"/>
      <c r="D491" s="49"/>
      <c r="E491" s="24">
        <f t="shared" si="70"/>
        <v>0</v>
      </c>
      <c r="F491" s="24">
        <f t="shared" si="71"/>
        <v>0</v>
      </c>
      <c r="G491" s="47">
        <v>7.08</v>
      </c>
      <c r="H491" s="24">
        <f t="shared" si="65"/>
        <v>7.08</v>
      </c>
      <c r="K491" s="48">
        <f t="shared" si="66"/>
        <v>12.642857142857142</v>
      </c>
      <c r="L491" s="48"/>
      <c r="M491" s="44">
        <f t="shared" si="67"/>
        <v>0</v>
      </c>
      <c r="N491" s="24" t="e">
        <v>#VALUE!</v>
      </c>
      <c r="O491" s="24" t="e">
        <v>#VALUE!</v>
      </c>
      <c r="P491" s="24" t="e">
        <v>#VALUE!</v>
      </c>
      <c r="Q491" s="24" t="e">
        <f t="shared" si="73"/>
        <v>#VALUE!</v>
      </c>
      <c r="R491" s="24" t="e">
        <f t="shared" si="74"/>
        <v>#VALUE!</v>
      </c>
      <c r="S491" s="24" t="e">
        <f t="shared" si="72"/>
        <v>#VALUE!</v>
      </c>
      <c r="T491" s="24" t="e">
        <f t="shared" si="75"/>
        <v>#VALUE!</v>
      </c>
      <c r="U491" s="8">
        <f t="shared" si="68"/>
        <v>1</v>
      </c>
      <c r="V491" s="8">
        <f t="shared" si="69"/>
        <v>1900</v>
      </c>
      <c r="W491" s="24">
        <v>1.4325238095238093</v>
      </c>
    </row>
    <row r="492" spans="1:23">
      <c r="A492" s="44"/>
      <c r="B492" s="49"/>
      <c r="C492" s="49"/>
      <c r="D492" s="49"/>
      <c r="E492" s="24">
        <f t="shared" si="70"/>
        <v>0</v>
      </c>
      <c r="F492" s="24">
        <f t="shared" si="71"/>
        <v>0</v>
      </c>
      <c r="G492" s="47">
        <v>7.17</v>
      </c>
      <c r="H492" s="24">
        <f t="shared" si="65"/>
        <v>7.17</v>
      </c>
      <c r="K492" s="48">
        <f t="shared" si="66"/>
        <v>12.803571428571429</v>
      </c>
      <c r="L492" s="48"/>
      <c r="M492" s="44">
        <f t="shared" si="67"/>
        <v>0</v>
      </c>
      <c r="N492" s="24" t="e">
        <v>#VALUE!</v>
      </c>
      <c r="O492" s="24" t="e">
        <v>#VALUE!</v>
      </c>
      <c r="P492" s="24" t="e">
        <v>#VALUE!</v>
      </c>
      <c r="Q492" s="24" t="e">
        <f t="shared" si="73"/>
        <v>#VALUE!</v>
      </c>
      <c r="R492" s="24" t="e">
        <f t="shared" si="74"/>
        <v>#VALUE!</v>
      </c>
      <c r="S492" s="24" t="e">
        <f t="shared" si="72"/>
        <v>#VALUE!</v>
      </c>
      <c r="T492" s="24" t="e">
        <f t="shared" si="75"/>
        <v>#VALUE!</v>
      </c>
      <c r="U492" s="8">
        <f t="shared" si="68"/>
        <v>1</v>
      </c>
      <c r="V492" s="8">
        <f t="shared" si="69"/>
        <v>1900</v>
      </c>
      <c r="W492" s="24">
        <v>1.4398545454545457</v>
      </c>
    </row>
    <row r="493" spans="1:23">
      <c r="A493" s="44"/>
      <c r="B493" s="49"/>
      <c r="C493" s="49"/>
      <c r="D493" s="49"/>
      <c r="E493" s="24">
        <f t="shared" si="70"/>
        <v>0</v>
      </c>
      <c r="F493" s="24">
        <f t="shared" si="71"/>
        <v>0</v>
      </c>
      <c r="G493" s="47">
        <v>6.96</v>
      </c>
      <c r="H493" s="24">
        <f t="shared" si="65"/>
        <v>6.96</v>
      </c>
      <c r="K493" s="48">
        <f t="shared" si="66"/>
        <v>12.428571428571429</v>
      </c>
      <c r="L493" s="48"/>
      <c r="M493" s="44">
        <f t="shared" si="67"/>
        <v>0</v>
      </c>
      <c r="N493" s="24" t="e">
        <v>#VALUE!</v>
      </c>
      <c r="O493" s="24" t="e">
        <v>#VALUE!</v>
      </c>
      <c r="P493" s="24" t="e">
        <v>#VALUE!</v>
      </c>
      <c r="Q493" s="24" t="e">
        <f t="shared" si="73"/>
        <v>#VALUE!</v>
      </c>
      <c r="R493" s="24" t="e">
        <f t="shared" si="74"/>
        <v>#VALUE!</v>
      </c>
      <c r="S493" s="24" t="e">
        <f t="shared" si="72"/>
        <v>#VALUE!</v>
      </c>
      <c r="T493" s="24" t="e">
        <f t="shared" si="75"/>
        <v>#VALUE!</v>
      </c>
      <c r="U493" s="8">
        <f t="shared" si="68"/>
        <v>1</v>
      </c>
      <c r="V493" s="8">
        <f t="shared" si="69"/>
        <v>1900</v>
      </c>
      <c r="W493" s="24">
        <v>1.4280000000000002</v>
      </c>
    </row>
    <row r="494" spans="1:23">
      <c r="A494" s="44"/>
      <c r="B494" s="49"/>
      <c r="C494" s="49"/>
      <c r="D494" s="49"/>
      <c r="E494" s="24">
        <f t="shared" si="70"/>
        <v>0</v>
      </c>
      <c r="F494" s="24">
        <f t="shared" si="71"/>
        <v>0</v>
      </c>
      <c r="G494" s="47">
        <v>7.3</v>
      </c>
      <c r="H494" s="24">
        <f t="shared" si="65"/>
        <v>7.3</v>
      </c>
      <c r="K494" s="48">
        <f t="shared" si="66"/>
        <v>13.035714285714286</v>
      </c>
      <c r="L494" s="48"/>
      <c r="M494" s="44">
        <f t="shared" si="67"/>
        <v>0</v>
      </c>
      <c r="N494" s="24" t="e">
        <v>#VALUE!</v>
      </c>
      <c r="O494" s="24" t="e">
        <v>#VALUE!</v>
      </c>
      <c r="P494" s="24" t="e">
        <v>#VALUE!</v>
      </c>
      <c r="Q494" s="24" t="e">
        <f t="shared" si="73"/>
        <v>#VALUE!</v>
      </c>
      <c r="R494" s="24" t="e">
        <f t="shared" si="74"/>
        <v>#VALUE!</v>
      </c>
      <c r="S494" s="24" t="e">
        <f t="shared" si="72"/>
        <v>#VALUE!</v>
      </c>
      <c r="T494" s="24" t="e">
        <f t="shared" si="75"/>
        <v>#VALUE!</v>
      </c>
      <c r="U494" s="8">
        <f t="shared" si="68"/>
        <v>1</v>
      </c>
      <c r="V494" s="8">
        <f t="shared" si="69"/>
        <v>1900</v>
      </c>
      <c r="W494" s="24">
        <v>1.4337695652173914</v>
      </c>
    </row>
    <row r="495" spans="1:23">
      <c r="A495" s="44"/>
      <c r="B495" s="49"/>
      <c r="C495" s="49"/>
      <c r="D495" s="49"/>
      <c r="E495" s="24">
        <f t="shared" si="70"/>
        <v>0</v>
      </c>
      <c r="F495" s="24">
        <f t="shared" si="71"/>
        <v>0</v>
      </c>
      <c r="G495" s="47">
        <v>6.77</v>
      </c>
      <c r="H495" s="24">
        <f t="shared" si="65"/>
        <v>6.77</v>
      </c>
      <c r="K495" s="48">
        <f t="shared" si="66"/>
        <v>12.089285714285714</v>
      </c>
      <c r="L495" s="48"/>
      <c r="M495" s="44">
        <f t="shared" si="67"/>
        <v>0</v>
      </c>
      <c r="N495" s="24" t="e">
        <v>#VALUE!</v>
      </c>
      <c r="O495" s="24" t="e">
        <v>#VALUE!</v>
      </c>
      <c r="P495" s="24" t="e">
        <v>#VALUE!</v>
      </c>
      <c r="Q495" s="24" t="e">
        <f t="shared" si="73"/>
        <v>#VALUE!</v>
      </c>
      <c r="R495" s="24" t="e">
        <f t="shared" si="74"/>
        <v>#VALUE!</v>
      </c>
      <c r="S495" s="24" t="e">
        <f t="shared" si="72"/>
        <v>#VALUE!</v>
      </c>
      <c r="T495" s="24" t="e">
        <f t="shared" si="75"/>
        <v>#VALUE!</v>
      </c>
      <c r="U495" s="8">
        <f t="shared" si="68"/>
        <v>1</v>
      </c>
      <c r="V495" s="8">
        <f t="shared" si="69"/>
        <v>1900</v>
      </c>
      <c r="W495" s="24">
        <v>1.3733809523809524</v>
      </c>
    </row>
    <row r="496" spans="1:23">
      <c r="A496" s="44"/>
      <c r="B496" s="49"/>
      <c r="C496" s="49"/>
      <c r="D496" s="49"/>
      <c r="E496" s="24">
        <f t="shared" si="70"/>
        <v>0</v>
      </c>
      <c r="F496" s="24">
        <f t="shared" si="71"/>
        <v>0</v>
      </c>
      <c r="G496" s="47">
        <v>6.23</v>
      </c>
      <c r="H496" s="24">
        <f t="shared" si="65"/>
        <v>6.23</v>
      </c>
      <c r="K496" s="48">
        <f t="shared" si="66"/>
        <v>11.125</v>
      </c>
      <c r="L496" s="48"/>
      <c r="M496" s="44">
        <f t="shared" si="67"/>
        <v>0</v>
      </c>
      <c r="N496" s="24" t="e">
        <v>#VALUE!</v>
      </c>
      <c r="O496" s="24" t="e">
        <v>#VALUE!</v>
      </c>
      <c r="P496" s="24" t="e">
        <v>#VALUE!</v>
      </c>
      <c r="Q496" s="24" t="e">
        <f t="shared" si="73"/>
        <v>#VALUE!</v>
      </c>
      <c r="R496" s="24" t="e">
        <f t="shared" si="74"/>
        <v>#VALUE!</v>
      </c>
      <c r="S496" s="24" t="e">
        <f t="shared" si="72"/>
        <v>#VALUE!</v>
      </c>
      <c r="T496" s="24" t="e">
        <f t="shared" si="75"/>
        <v>#VALUE!</v>
      </c>
      <c r="U496" s="8">
        <f t="shared" si="68"/>
        <v>1</v>
      </c>
      <c r="V496" s="8">
        <f t="shared" si="69"/>
        <v>1900</v>
      </c>
      <c r="W496" s="24">
        <v>1.3723809523809525</v>
      </c>
    </row>
    <row r="497" spans="1:23">
      <c r="A497" s="44"/>
      <c r="B497" s="49"/>
      <c r="C497" s="49"/>
      <c r="D497" s="49"/>
      <c r="E497" s="24">
        <f t="shared" si="70"/>
        <v>0</v>
      </c>
      <c r="F497" s="24">
        <f t="shared" si="71"/>
        <v>0</v>
      </c>
      <c r="G497" s="47">
        <v>6.26</v>
      </c>
      <c r="H497" s="24">
        <f t="shared" si="65"/>
        <v>6.26</v>
      </c>
      <c r="K497" s="48">
        <f t="shared" si="66"/>
        <v>11.178571428571429</v>
      </c>
      <c r="L497" s="48"/>
      <c r="M497" s="44">
        <f t="shared" si="67"/>
        <v>0</v>
      </c>
      <c r="N497" s="24" t="e">
        <v>#VALUE!</v>
      </c>
      <c r="O497" s="24" t="e">
        <v>#VALUE!</v>
      </c>
      <c r="P497" s="24" t="e">
        <v>#VALUE!</v>
      </c>
      <c r="Q497" s="24" t="e">
        <f t="shared" si="73"/>
        <v>#VALUE!</v>
      </c>
      <c r="R497" s="24" t="e">
        <f t="shared" si="74"/>
        <v>#VALUE!</v>
      </c>
      <c r="S497" s="24" t="e">
        <f t="shared" si="72"/>
        <v>#VALUE!</v>
      </c>
      <c r="T497" s="24" t="e">
        <f t="shared" si="75"/>
        <v>#VALUE!</v>
      </c>
      <c r="U497" s="8">
        <f t="shared" si="68"/>
        <v>1</v>
      </c>
      <c r="V497" s="8">
        <f t="shared" si="69"/>
        <v>1900</v>
      </c>
      <c r="W497" s="24">
        <v>1.3561476190476189</v>
      </c>
    </row>
    <row r="498" spans="1:23">
      <c r="A498" s="44"/>
      <c r="B498" s="49"/>
      <c r="C498" s="49"/>
      <c r="D498" s="49"/>
      <c r="E498" s="24">
        <f t="shared" si="70"/>
        <v>0</v>
      </c>
      <c r="F498" s="24">
        <f t="shared" si="71"/>
        <v>0</v>
      </c>
      <c r="G498" s="47">
        <v>5.96</v>
      </c>
      <c r="H498" s="24">
        <f t="shared" si="65"/>
        <v>5.96</v>
      </c>
      <c r="K498" s="48">
        <f t="shared" si="66"/>
        <v>10.642857142857142</v>
      </c>
      <c r="L498" s="48"/>
      <c r="M498" s="44">
        <f t="shared" si="67"/>
        <v>0</v>
      </c>
      <c r="N498" s="24" t="e">
        <v>#VALUE!</v>
      </c>
      <c r="O498" s="24" t="e">
        <v>#VALUE!</v>
      </c>
      <c r="P498" s="24" t="e">
        <v>#VALUE!</v>
      </c>
      <c r="Q498" s="24" t="e">
        <f t="shared" si="73"/>
        <v>#VALUE!</v>
      </c>
      <c r="R498" s="24" t="e">
        <f t="shared" si="74"/>
        <v>#VALUE!</v>
      </c>
      <c r="S498" s="24" t="e">
        <f t="shared" si="72"/>
        <v>#VALUE!</v>
      </c>
      <c r="T498" s="24" t="e">
        <f t="shared" si="75"/>
        <v>#VALUE!</v>
      </c>
      <c r="U498" s="8">
        <f t="shared" si="68"/>
        <v>1</v>
      </c>
      <c r="V498" s="8">
        <f t="shared" si="69"/>
        <v>1900</v>
      </c>
      <c r="W498" s="24">
        <v>1.3150142857142857</v>
      </c>
    </row>
    <row r="499" spans="1:23">
      <c r="A499" s="44"/>
      <c r="B499" s="49"/>
      <c r="C499" s="49"/>
      <c r="D499" s="49"/>
      <c r="E499" s="24">
        <f t="shared" si="70"/>
        <v>0</v>
      </c>
      <c r="F499" s="24">
        <f t="shared" si="71"/>
        <v>0</v>
      </c>
      <c r="G499" s="47">
        <v>6.25</v>
      </c>
      <c r="H499" s="24">
        <f t="shared" ref="H499:H562" si="76">G499-D499</f>
        <v>6.25</v>
      </c>
      <c r="K499" s="48">
        <f t="shared" si="66"/>
        <v>11.160714285714286</v>
      </c>
      <c r="L499" s="48"/>
      <c r="M499" s="44">
        <f t="shared" si="67"/>
        <v>0</v>
      </c>
      <c r="N499" s="24" t="e">
        <v>#VALUE!</v>
      </c>
      <c r="O499" s="24" t="e">
        <v>#VALUE!</v>
      </c>
      <c r="P499" s="24" t="e">
        <v>#VALUE!</v>
      </c>
      <c r="Q499" s="24" t="e">
        <f t="shared" si="73"/>
        <v>#VALUE!</v>
      </c>
      <c r="R499" s="24" t="e">
        <f t="shared" si="74"/>
        <v>#VALUE!</v>
      </c>
      <c r="S499" s="24" t="e">
        <f t="shared" si="72"/>
        <v>#VALUE!</v>
      </c>
      <c r="T499" s="24" t="e">
        <f t="shared" si="75"/>
        <v>#VALUE!</v>
      </c>
      <c r="U499" s="8">
        <f t="shared" si="68"/>
        <v>1</v>
      </c>
      <c r="V499" s="8">
        <f t="shared" si="69"/>
        <v>1900</v>
      </c>
      <c r="W499" s="24">
        <v>1.2933105263157894</v>
      </c>
    </row>
    <row r="500" spans="1:23">
      <c r="A500" s="44"/>
      <c r="B500" s="49"/>
      <c r="C500" s="49"/>
      <c r="D500" s="49"/>
      <c r="E500" s="24">
        <f t="shared" si="70"/>
        <v>0</v>
      </c>
      <c r="F500" s="24">
        <f t="shared" si="71"/>
        <v>0</v>
      </c>
      <c r="G500" s="47">
        <v>6.41</v>
      </c>
      <c r="H500" s="24">
        <f t="shared" si="76"/>
        <v>6.41</v>
      </c>
      <c r="K500" s="48">
        <f t="shared" si="66"/>
        <v>11.446428571428571</v>
      </c>
      <c r="L500" s="48"/>
      <c r="M500" s="44">
        <f t="shared" si="67"/>
        <v>0</v>
      </c>
      <c r="N500" s="24" t="e">
        <v>#VALUE!</v>
      </c>
      <c r="O500" s="24" t="e">
        <v>#VALUE!</v>
      </c>
      <c r="P500" s="24" t="e">
        <v>#VALUE!</v>
      </c>
      <c r="Q500" s="24" t="e">
        <f t="shared" si="73"/>
        <v>#VALUE!</v>
      </c>
      <c r="R500" s="24" t="e">
        <f t="shared" si="74"/>
        <v>#VALUE!</v>
      </c>
      <c r="S500" s="24" t="e">
        <f t="shared" si="72"/>
        <v>#VALUE!</v>
      </c>
      <c r="T500" s="24" t="e">
        <f t="shared" si="75"/>
        <v>#VALUE!</v>
      </c>
      <c r="U500" s="8">
        <f t="shared" si="68"/>
        <v>1</v>
      </c>
      <c r="V500" s="8">
        <f t="shared" si="69"/>
        <v>1900</v>
      </c>
      <c r="W500" s="24">
        <v>1.32359</v>
      </c>
    </row>
    <row r="501" spans="1:23">
      <c r="A501" s="44"/>
      <c r="B501" s="49"/>
      <c r="C501" s="49"/>
      <c r="D501" s="49"/>
      <c r="E501" s="24">
        <f t="shared" si="70"/>
        <v>0</v>
      </c>
      <c r="F501" s="24">
        <f t="shared" si="71"/>
        <v>0</v>
      </c>
      <c r="G501" s="47">
        <v>6.46</v>
      </c>
      <c r="H501" s="24">
        <f t="shared" si="76"/>
        <v>6.46</v>
      </c>
      <c r="K501" s="48">
        <f t="shared" si="66"/>
        <v>11.535714285714285</v>
      </c>
      <c r="L501" s="48"/>
      <c r="M501" s="44">
        <f t="shared" si="67"/>
        <v>0</v>
      </c>
      <c r="N501" s="24" t="e">
        <v>#VALUE!</v>
      </c>
      <c r="O501" s="24" t="e">
        <v>#VALUE!</v>
      </c>
      <c r="P501" s="24" t="e">
        <v>#VALUE!</v>
      </c>
      <c r="Q501" s="24" t="e">
        <f t="shared" si="73"/>
        <v>#VALUE!</v>
      </c>
      <c r="R501" s="24" t="e">
        <f t="shared" si="74"/>
        <v>#VALUE!</v>
      </c>
      <c r="S501" s="24" t="e">
        <f t="shared" si="72"/>
        <v>#VALUE!</v>
      </c>
      <c r="T501" s="24" t="e">
        <f t="shared" si="75"/>
        <v>#VALUE!</v>
      </c>
      <c r="U501" s="8">
        <f t="shared" si="68"/>
        <v>1</v>
      </c>
      <c r="V501" s="8">
        <f t="shared" si="69"/>
        <v>1900</v>
      </c>
      <c r="W501" s="24">
        <v>1.3212136363636364</v>
      </c>
    </row>
    <row r="502" spans="1:23">
      <c r="A502" s="44"/>
      <c r="B502" s="49"/>
      <c r="C502" s="49"/>
      <c r="D502" s="49"/>
      <c r="E502" s="24">
        <f t="shared" si="70"/>
        <v>0</v>
      </c>
      <c r="F502" s="24">
        <f t="shared" si="71"/>
        <v>0</v>
      </c>
      <c r="G502" s="47">
        <v>6.34</v>
      </c>
      <c r="H502" s="24">
        <f t="shared" si="76"/>
        <v>6.34</v>
      </c>
      <c r="K502" s="48">
        <f t="shared" si="66"/>
        <v>11.321428571428571</v>
      </c>
      <c r="L502" s="48"/>
      <c r="M502" s="44">
        <f t="shared" si="67"/>
        <v>0</v>
      </c>
      <c r="N502" s="24" t="e">
        <v>#VALUE!</v>
      </c>
      <c r="O502" s="24" t="e">
        <v>#VALUE!</v>
      </c>
      <c r="P502" s="24" t="e">
        <v>#VALUE!</v>
      </c>
      <c r="Q502" s="24" t="e">
        <f t="shared" si="73"/>
        <v>#VALUE!</v>
      </c>
      <c r="R502" s="24" t="e">
        <f t="shared" si="74"/>
        <v>#VALUE!</v>
      </c>
      <c r="S502" s="24" t="e">
        <f t="shared" si="72"/>
        <v>#VALUE!</v>
      </c>
      <c r="T502" s="24" t="e">
        <f t="shared" si="75"/>
        <v>#VALUE!</v>
      </c>
      <c r="U502" s="8">
        <f t="shared" si="68"/>
        <v>1</v>
      </c>
      <c r="V502" s="8">
        <f t="shared" si="69"/>
        <v>1900</v>
      </c>
      <c r="W502" s="24">
        <v>1.3165649999999998</v>
      </c>
    </row>
    <row r="503" spans="1:23">
      <c r="A503" s="44"/>
      <c r="B503" s="49"/>
      <c r="C503" s="49"/>
      <c r="D503" s="49"/>
      <c r="E503" s="24">
        <f t="shared" si="70"/>
        <v>0</v>
      </c>
      <c r="F503" s="24">
        <f t="shared" si="71"/>
        <v>0</v>
      </c>
      <c r="G503" s="47">
        <v>6.27</v>
      </c>
      <c r="H503" s="24">
        <f t="shared" si="76"/>
        <v>6.27</v>
      </c>
      <c r="K503" s="48">
        <f t="shared" si="66"/>
        <v>11.196428571428571</v>
      </c>
      <c r="L503" s="48"/>
      <c r="M503" s="44">
        <f t="shared" si="67"/>
        <v>0</v>
      </c>
      <c r="N503" s="24" t="e">
        <v>#VALUE!</v>
      </c>
      <c r="O503" s="24" t="e">
        <v>#VALUE!</v>
      </c>
      <c r="P503" s="24" t="e">
        <v>#VALUE!</v>
      </c>
      <c r="Q503" s="24" t="e">
        <f t="shared" si="73"/>
        <v>#VALUE!</v>
      </c>
      <c r="R503" s="24" t="e">
        <f t="shared" si="74"/>
        <v>#VALUE!</v>
      </c>
      <c r="S503" s="24" t="e">
        <f t="shared" si="72"/>
        <v>#VALUE!</v>
      </c>
      <c r="T503" s="24" t="e">
        <f t="shared" si="75"/>
        <v>#VALUE!</v>
      </c>
      <c r="U503" s="8">
        <f t="shared" si="68"/>
        <v>1</v>
      </c>
      <c r="V503" s="8">
        <f t="shared" si="69"/>
        <v>1900</v>
      </c>
      <c r="W503" s="24">
        <v>1.279790909090909</v>
      </c>
    </row>
    <row r="504" spans="1:23">
      <c r="A504" s="44"/>
      <c r="B504" s="49"/>
      <c r="C504" s="49"/>
      <c r="D504" s="49"/>
      <c r="E504" s="24">
        <f t="shared" si="70"/>
        <v>0</v>
      </c>
      <c r="F504" s="24">
        <f t="shared" si="71"/>
        <v>0</v>
      </c>
      <c r="G504" s="47">
        <v>6.3</v>
      </c>
      <c r="H504" s="24">
        <f t="shared" si="76"/>
        <v>6.3</v>
      </c>
      <c r="K504" s="48">
        <f t="shared" si="66"/>
        <v>11.25</v>
      </c>
      <c r="L504" s="48"/>
      <c r="M504" s="44">
        <f t="shared" si="67"/>
        <v>0</v>
      </c>
      <c r="N504" s="24" t="e">
        <v>#VALUE!</v>
      </c>
      <c r="O504" s="24" t="e">
        <v>#VALUE!</v>
      </c>
      <c r="P504" s="24" t="e">
        <v>#VALUE!</v>
      </c>
      <c r="Q504" s="24" t="e">
        <f t="shared" si="73"/>
        <v>#VALUE!</v>
      </c>
      <c r="R504" s="24" t="e">
        <f t="shared" si="74"/>
        <v>#VALUE!</v>
      </c>
      <c r="S504" s="24" t="e">
        <f t="shared" si="72"/>
        <v>#VALUE!</v>
      </c>
      <c r="T504" s="24" t="e">
        <f t="shared" si="75"/>
        <v>#VALUE!</v>
      </c>
      <c r="U504" s="8">
        <f t="shared" si="68"/>
        <v>1</v>
      </c>
      <c r="V504" s="8">
        <f t="shared" si="69"/>
        <v>1900</v>
      </c>
      <c r="W504" s="24">
        <v>1.2546047619047618</v>
      </c>
    </row>
    <row r="505" spans="1:23">
      <c r="A505" s="44"/>
      <c r="B505" s="49"/>
      <c r="C505" s="49"/>
      <c r="D505" s="49"/>
      <c r="E505" s="24">
        <f t="shared" si="70"/>
        <v>0</v>
      </c>
      <c r="F505" s="24">
        <f t="shared" si="71"/>
        <v>0</v>
      </c>
      <c r="G505" s="47">
        <v>7.85</v>
      </c>
      <c r="H505" s="24">
        <f t="shared" si="76"/>
        <v>7.85</v>
      </c>
      <c r="K505" s="48">
        <f t="shared" si="66"/>
        <v>14.017857142857142</v>
      </c>
      <c r="L505" s="48"/>
      <c r="M505" s="44">
        <f t="shared" si="67"/>
        <v>0</v>
      </c>
      <c r="N505" s="24" t="e">
        <v>#VALUE!</v>
      </c>
      <c r="O505" s="24" t="e">
        <v>#VALUE!</v>
      </c>
      <c r="P505" s="24" t="e">
        <v>#VALUE!</v>
      </c>
      <c r="Q505" s="24" t="e">
        <f t="shared" si="73"/>
        <v>#VALUE!</v>
      </c>
      <c r="R505" s="24" t="e">
        <f t="shared" si="74"/>
        <v>#VALUE!</v>
      </c>
      <c r="S505" s="24" t="e">
        <f t="shared" si="72"/>
        <v>#VALUE!</v>
      </c>
      <c r="T505" s="24" t="e">
        <f t="shared" si="75"/>
        <v>#VALUE!</v>
      </c>
      <c r="U505" s="8">
        <f t="shared" si="68"/>
        <v>1</v>
      </c>
      <c r="V505" s="8">
        <f t="shared" si="69"/>
        <v>1900</v>
      </c>
      <c r="W505" s="24">
        <v>1.2280571428571427</v>
      </c>
    </row>
    <row r="506" spans="1:23">
      <c r="A506" s="44"/>
      <c r="B506" s="49"/>
      <c r="C506" s="49"/>
      <c r="D506" s="49"/>
      <c r="E506" s="24">
        <f t="shared" si="70"/>
        <v>0</v>
      </c>
      <c r="F506" s="24">
        <f t="shared" si="71"/>
        <v>0</v>
      </c>
      <c r="G506" s="47">
        <v>8.15</v>
      </c>
      <c r="H506" s="24">
        <f t="shared" si="76"/>
        <v>8.15</v>
      </c>
      <c r="K506" s="48">
        <f t="shared" si="66"/>
        <v>14.553571428571429</v>
      </c>
      <c r="L506" s="48"/>
      <c r="M506" s="44">
        <f t="shared" si="67"/>
        <v>0</v>
      </c>
      <c r="N506" s="24" t="e">
        <v>#VALUE!</v>
      </c>
      <c r="O506" s="24" t="e">
        <v>#VALUE!</v>
      </c>
      <c r="P506" s="24" t="e">
        <v>#VALUE!</v>
      </c>
      <c r="Q506" s="24" t="e">
        <f t="shared" si="73"/>
        <v>#VALUE!</v>
      </c>
      <c r="R506" s="24" t="e">
        <f t="shared" si="74"/>
        <v>#VALUE!</v>
      </c>
      <c r="S506" s="24" t="e">
        <f t="shared" si="72"/>
        <v>#VALUE!</v>
      </c>
      <c r="T506" s="24" t="e">
        <f t="shared" si="75"/>
        <v>#VALUE!</v>
      </c>
      <c r="U506" s="8">
        <f t="shared" si="68"/>
        <v>1</v>
      </c>
      <c r="V506" s="8">
        <f t="shared" si="69"/>
        <v>1900</v>
      </c>
      <c r="W506" s="24">
        <v>1.2402478260869567</v>
      </c>
    </row>
    <row r="507" spans="1:23">
      <c r="A507" s="44"/>
      <c r="B507" s="49"/>
      <c r="C507" s="49"/>
      <c r="D507" s="49"/>
      <c r="E507" s="24">
        <f t="shared" si="70"/>
        <v>0</v>
      </c>
      <c r="F507" s="24">
        <f t="shared" si="71"/>
        <v>0</v>
      </c>
      <c r="G507" s="47">
        <v>7.7</v>
      </c>
      <c r="H507" s="24">
        <f t="shared" si="76"/>
        <v>7.7</v>
      </c>
      <c r="K507" s="48">
        <f t="shared" si="66"/>
        <v>13.750000000000002</v>
      </c>
      <c r="L507" s="48"/>
      <c r="M507" s="44">
        <f t="shared" si="67"/>
        <v>0</v>
      </c>
      <c r="N507" s="24" t="e">
        <v>#VALUE!</v>
      </c>
      <c r="O507" s="24" t="e">
        <v>#VALUE!</v>
      </c>
      <c r="P507" s="24" t="e">
        <v>#VALUE!</v>
      </c>
      <c r="Q507" s="24" t="e">
        <f t="shared" si="73"/>
        <v>#VALUE!</v>
      </c>
      <c r="R507" s="24" t="e">
        <f t="shared" si="74"/>
        <v>#VALUE!</v>
      </c>
      <c r="S507" s="24" t="e">
        <f t="shared" si="72"/>
        <v>#VALUE!</v>
      </c>
      <c r="T507" s="24" t="e">
        <f t="shared" si="75"/>
        <v>#VALUE!</v>
      </c>
      <c r="U507" s="8">
        <f t="shared" si="68"/>
        <v>1</v>
      </c>
      <c r="V507" s="8">
        <f t="shared" si="69"/>
        <v>1900</v>
      </c>
      <c r="W507" s="24">
        <v>1.2887052631578946</v>
      </c>
    </row>
    <row r="508" spans="1:23">
      <c r="A508" s="44"/>
      <c r="B508" s="49"/>
      <c r="C508" s="49"/>
      <c r="D508" s="49"/>
      <c r="E508" s="24">
        <f t="shared" si="70"/>
        <v>0</v>
      </c>
      <c r="F508" s="24">
        <f t="shared" si="71"/>
        <v>0</v>
      </c>
      <c r="G508" s="47">
        <v>7.48</v>
      </c>
      <c r="H508" s="24">
        <f t="shared" si="76"/>
        <v>7.48</v>
      </c>
      <c r="K508" s="48">
        <f t="shared" si="66"/>
        <v>13.357142857142859</v>
      </c>
      <c r="L508" s="48"/>
      <c r="M508" s="44">
        <f t="shared" si="67"/>
        <v>0</v>
      </c>
      <c r="N508" s="24" t="e">
        <v>#VALUE!</v>
      </c>
      <c r="O508" s="24" t="e">
        <v>#VALUE!</v>
      </c>
      <c r="P508" s="24" t="e">
        <v>#VALUE!</v>
      </c>
      <c r="Q508" s="24" t="e">
        <f t="shared" si="73"/>
        <v>#VALUE!</v>
      </c>
      <c r="R508" s="24" t="e">
        <f t="shared" si="74"/>
        <v>#VALUE!</v>
      </c>
      <c r="S508" s="24" t="e">
        <f t="shared" si="72"/>
        <v>#VALUE!</v>
      </c>
      <c r="T508" s="24" t="e">
        <f t="shared" si="75"/>
        <v>#VALUE!</v>
      </c>
      <c r="U508" s="8">
        <f t="shared" si="68"/>
        <v>1</v>
      </c>
      <c r="V508" s="8">
        <f t="shared" si="69"/>
        <v>1900</v>
      </c>
      <c r="W508" s="24">
        <v>1.2968217391304346</v>
      </c>
    </row>
    <row r="509" spans="1:23">
      <c r="A509" s="44"/>
      <c r="B509" s="49"/>
      <c r="C509" s="49"/>
      <c r="D509" s="49"/>
      <c r="E509" s="24">
        <f t="shared" si="70"/>
        <v>0</v>
      </c>
      <c r="F509" s="24">
        <f t="shared" si="71"/>
        <v>0</v>
      </c>
      <c r="G509" s="47">
        <v>7.39</v>
      </c>
      <c r="H509" s="24">
        <f t="shared" si="76"/>
        <v>7.39</v>
      </c>
      <c r="K509" s="48">
        <f t="shared" si="66"/>
        <v>13.196428571428569</v>
      </c>
      <c r="L509" s="48"/>
      <c r="M509" s="44">
        <f t="shared" si="67"/>
        <v>0</v>
      </c>
      <c r="N509" s="24" t="e">
        <v>#VALUE!</v>
      </c>
      <c r="O509" s="24" t="e">
        <v>#VALUE!</v>
      </c>
      <c r="P509" s="24" t="e">
        <v>#VALUE!</v>
      </c>
      <c r="Q509" s="24" t="e">
        <f t="shared" si="73"/>
        <v>#VALUE!</v>
      </c>
      <c r="R509" s="24" t="e">
        <f t="shared" si="74"/>
        <v>#VALUE!</v>
      </c>
      <c r="S509" s="24" t="e">
        <f t="shared" si="72"/>
        <v>#VALUE!</v>
      </c>
      <c r="T509" s="24" t="e">
        <f t="shared" si="75"/>
        <v>#VALUE!</v>
      </c>
      <c r="U509" s="8">
        <f t="shared" si="68"/>
        <v>1</v>
      </c>
      <c r="V509" s="8">
        <f t="shared" si="69"/>
        <v>1900</v>
      </c>
      <c r="W509" s="24">
        <v>1.2834761904761904</v>
      </c>
    </row>
    <row r="510" spans="1:23">
      <c r="A510" s="44"/>
      <c r="B510" s="49"/>
      <c r="C510" s="49"/>
      <c r="D510" s="49"/>
      <c r="E510" s="24">
        <f t="shared" si="70"/>
        <v>0</v>
      </c>
      <c r="F510" s="24">
        <f t="shared" si="71"/>
        <v>0</v>
      </c>
      <c r="G510" s="47">
        <v>7.23</v>
      </c>
      <c r="H510" s="24">
        <f t="shared" si="76"/>
        <v>7.23</v>
      </c>
      <c r="K510" s="48">
        <f t="shared" si="66"/>
        <v>12.910714285714286</v>
      </c>
      <c r="L510" s="48"/>
      <c r="M510" s="44">
        <f t="shared" si="67"/>
        <v>0</v>
      </c>
      <c r="N510" s="24" t="e">
        <v>#VALUE!</v>
      </c>
      <c r="O510" s="24" t="e">
        <v>#VALUE!</v>
      </c>
      <c r="P510" s="24" t="e">
        <v>#VALUE!</v>
      </c>
      <c r="Q510" s="24" t="e">
        <f t="shared" si="73"/>
        <v>#VALUE!</v>
      </c>
      <c r="R510" s="24" t="e">
        <f t="shared" si="74"/>
        <v>#VALUE!</v>
      </c>
      <c r="S510" s="24" t="e">
        <f t="shared" si="72"/>
        <v>#VALUE!</v>
      </c>
      <c r="T510" s="24" t="e">
        <f t="shared" si="75"/>
        <v>#VALUE!</v>
      </c>
      <c r="U510" s="8">
        <f t="shared" si="68"/>
        <v>1</v>
      </c>
      <c r="V510" s="8">
        <f t="shared" si="69"/>
        <v>1900</v>
      </c>
      <c r="W510" s="24">
        <v>1.312265</v>
      </c>
    </row>
    <row r="511" spans="1:23">
      <c r="A511" s="44"/>
      <c r="B511" s="49"/>
      <c r="C511" s="49"/>
      <c r="D511" s="49"/>
      <c r="E511" s="24">
        <f t="shared" si="70"/>
        <v>0</v>
      </c>
      <c r="F511" s="24">
        <f t="shared" si="71"/>
        <v>0</v>
      </c>
      <c r="G511" s="47">
        <v>7.17</v>
      </c>
      <c r="H511" s="24">
        <f t="shared" si="76"/>
        <v>7.17</v>
      </c>
      <c r="K511" s="48">
        <f t="shared" si="66"/>
        <v>12.803571428571429</v>
      </c>
      <c r="L511" s="48"/>
      <c r="M511" s="44">
        <f t="shared" si="67"/>
        <v>0</v>
      </c>
      <c r="N511" s="24" t="e">
        <v>#VALUE!</v>
      </c>
      <c r="O511" s="24" t="e">
        <v>#VALUE!</v>
      </c>
      <c r="P511" s="24" t="e">
        <v>#VALUE!</v>
      </c>
      <c r="Q511" s="24" t="e">
        <f t="shared" si="73"/>
        <v>#VALUE!</v>
      </c>
      <c r="R511" s="24" t="e">
        <f t="shared" si="74"/>
        <v>#VALUE!</v>
      </c>
      <c r="S511" s="24" t="e">
        <f t="shared" si="72"/>
        <v>#VALUE!</v>
      </c>
      <c r="T511" s="24" t="e">
        <f t="shared" si="75"/>
        <v>#VALUE!</v>
      </c>
      <c r="U511" s="8">
        <f t="shared" si="68"/>
        <v>1</v>
      </c>
      <c r="V511" s="8">
        <f t="shared" si="69"/>
        <v>1900</v>
      </c>
      <c r="W511" s="24">
        <v>1.3304428571428573</v>
      </c>
    </row>
    <row r="512" spans="1:23">
      <c r="A512" s="44"/>
      <c r="B512" s="49"/>
      <c r="C512" s="49"/>
      <c r="D512" s="49"/>
      <c r="E512" s="24">
        <f t="shared" si="70"/>
        <v>0</v>
      </c>
      <c r="F512" s="24">
        <f t="shared" si="71"/>
        <v>0</v>
      </c>
      <c r="G512" s="47">
        <v>7.15</v>
      </c>
      <c r="H512" s="24">
        <f t="shared" si="76"/>
        <v>7.15</v>
      </c>
      <c r="K512" s="48">
        <f t="shared" ref="K512:K575" si="77">G512/56*100</f>
        <v>12.767857142857144</v>
      </c>
      <c r="L512" s="48"/>
      <c r="M512" s="44">
        <f t="shared" si="67"/>
        <v>0</v>
      </c>
      <c r="N512" s="24" t="e">
        <v>#VALUE!</v>
      </c>
      <c r="O512" s="24" t="e">
        <v>#VALUE!</v>
      </c>
      <c r="P512" s="24" t="e">
        <v>#VALUE!</v>
      </c>
      <c r="Q512" s="24" t="e">
        <f t="shared" si="73"/>
        <v>#VALUE!</v>
      </c>
      <c r="R512" s="24" t="e">
        <f t="shared" si="74"/>
        <v>#VALUE!</v>
      </c>
      <c r="S512" s="24" t="e">
        <f t="shared" si="72"/>
        <v>#VALUE!</v>
      </c>
      <c r="T512" s="24" t="e">
        <f t="shared" si="75"/>
        <v>#VALUE!</v>
      </c>
      <c r="U512" s="8">
        <f t="shared" si="68"/>
        <v>1</v>
      </c>
      <c r="V512" s="8">
        <f t="shared" si="69"/>
        <v>1900</v>
      </c>
      <c r="W512" s="24">
        <v>1.3337105263157893</v>
      </c>
    </row>
    <row r="513" spans="1:23">
      <c r="A513" s="44"/>
      <c r="B513" s="49"/>
      <c r="C513" s="49"/>
      <c r="D513" s="49"/>
      <c r="E513" s="24">
        <f t="shared" si="70"/>
        <v>0</v>
      </c>
      <c r="F513" s="24">
        <f t="shared" si="71"/>
        <v>0</v>
      </c>
      <c r="G513" s="47">
        <v>7.33</v>
      </c>
      <c r="H513" s="24">
        <f t="shared" si="76"/>
        <v>7.33</v>
      </c>
      <c r="K513" s="48">
        <f t="shared" si="77"/>
        <v>13.089285714285715</v>
      </c>
      <c r="L513" s="48"/>
      <c r="M513" s="44">
        <f t="shared" si="67"/>
        <v>0</v>
      </c>
      <c r="N513" s="24" t="e">
        <v>#VALUE!</v>
      </c>
      <c r="O513" s="24" t="e">
        <v>#VALUE!</v>
      </c>
      <c r="P513" s="24" t="e">
        <v>#VALUE!</v>
      </c>
      <c r="Q513" s="24" t="e">
        <f t="shared" si="73"/>
        <v>#VALUE!</v>
      </c>
      <c r="R513" s="24" t="e">
        <f t="shared" si="74"/>
        <v>#VALUE!</v>
      </c>
      <c r="S513" s="24" t="e">
        <f t="shared" si="72"/>
        <v>#VALUE!</v>
      </c>
      <c r="T513" s="24" t="e">
        <f t="shared" si="75"/>
        <v>#VALUE!</v>
      </c>
      <c r="U513" s="8">
        <f t="shared" si="68"/>
        <v>1</v>
      </c>
      <c r="V513" s="8">
        <f t="shared" si="69"/>
        <v>1900</v>
      </c>
      <c r="W513" s="24">
        <v>1.2961750000000001</v>
      </c>
    </row>
    <row r="514" spans="1:23">
      <c r="A514" s="44"/>
      <c r="B514" s="49"/>
      <c r="C514" s="49"/>
      <c r="D514" s="49"/>
      <c r="E514" s="24">
        <f t="shared" si="70"/>
        <v>0</v>
      </c>
      <c r="F514" s="24">
        <f t="shared" si="71"/>
        <v>0</v>
      </c>
      <c r="G514" s="47">
        <v>6.57</v>
      </c>
      <c r="H514" s="24">
        <f t="shared" si="76"/>
        <v>6.57</v>
      </c>
      <c r="K514" s="48">
        <f t="shared" si="77"/>
        <v>11.732142857142858</v>
      </c>
      <c r="L514" s="48"/>
      <c r="M514" s="44">
        <f t="shared" si="67"/>
        <v>0</v>
      </c>
      <c r="N514" s="24" t="e">
        <v>#VALUE!</v>
      </c>
      <c r="O514" s="24" t="e">
        <v>#VALUE!</v>
      </c>
      <c r="P514" s="24" t="e">
        <v>#VALUE!</v>
      </c>
      <c r="Q514" s="24" t="e">
        <f t="shared" si="73"/>
        <v>#VALUE!</v>
      </c>
      <c r="R514" s="24" t="e">
        <f t="shared" si="74"/>
        <v>#VALUE!</v>
      </c>
      <c r="S514" s="24" t="e">
        <f t="shared" si="72"/>
        <v>#VALUE!</v>
      </c>
      <c r="T514" s="24" t="e">
        <f t="shared" si="75"/>
        <v>#VALUE!</v>
      </c>
      <c r="U514" s="8">
        <f t="shared" si="68"/>
        <v>1</v>
      </c>
      <c r="V514" s="8">
        <f t="shared" si="69"/>
        <v>1900</v>
      </c>
      <c r="W514" s="24">
        <v>1.3023954545454546</v>
      </c>
    </row>
    <row r="515" spans="1:23">
      <c r="A515" s="44"/>
      <c r="B515" s="49"/>
      <c r="C515" s="49"/>
      <c r="D515" s="49"/>
      <c r="E515" s="24">
        <f t="shared" si="70"/>
        <v>0</v>
      </c>
      <c r="F515" s="24">
        <f t="shared" si="71"/>
        <v>0</v>
      </c>
      <c r="G515" s="47">
        <v>6.83</v>
      </c>
      <c r="H515" s="24">
        <f t="shared" si="76"/>
        <v>6.83</v>
      </c>
      <c r="K515" s="48">
        <f t="shared" si="77"/>
        <v>12.196428571428571</v>
      </c>
      <c r="L515" s="48"/>
      <c r="M515" s="44">
        <f t="shared" ref="M515:M578" si="78">A515</f>
        <v>0</v>
      </c>
      <c r="N515" s="24" t="e">
        <v>#VALUE!</v>
      </c>
      <c r="O515" s="24" t="e">
        <v>#VALUE!</v>
      </c>
      <c r="P515" s="24" t="e">
        <v>#VALUE!</v>
      </c>
      <c r="Q515" s="24" t="e">
        <f t="shared" si="73"/>
        <v>#VALUE!</v>
      </c>
      <c r="R515" s="24" t="e">
        <f t="shared" si="74"/>
        <v>#VALUE!</v>
      </c>
      <c r="S515" s="24" t="e">
        <f t="shared" si="72"/>
        <v>#VALUE!</v>
      </c>
      <c r="T515" s="24" t="e">
        <f t="shared" si="75"/>
        <v>#VALUE!</v>
      </c>
      <c r="U515" s="8">
        <f t="shared" ref="U515:U578" si="79">MONTH(M515)</f>
        <v>1</v>
      </c>
      <c r="V515" s="8">
        <f t="shared" ref="V515:V578" si="80">YEAR(M515)</f>
        <v>1900</v>
      </c>
      <c r="W515" s="24">
        <v>1.2978545454545454</v>
      </c>
    </row>
    <row r="516" spans="1:23">
      <c r="A516" s="44"/>
      <c r="B516" s="49"/>
      <c r="C516" s="49"/>
      <c r="D516" s="49"/>
      <c r="E516" s="24">
        <f t="shared" si="70"/>
        <v>0</v>
      </c>
      <c r="F516" s="24">
        <f t="shared" si="71"/>
        <v>0</v>
      </c>
      <c r="G516" s="47">
        <v>6.94</v>
      </c>
      <c r="H516" s="24">
        <f t="shared" si="76"/>
        <v>6.94</v>
      </c>
      <c r="K516" s="48">
        <f t="shared" si="77"/>
        <v>12.392857142857142</v>
      </c>
      <c r="L516" s="48"/>
      <c r="M516" s="44">
        <f t="shared" si="78"/>
        <v>0</v>
      </c>
      <c r="N516" s="24" t="e">
        <v>#VALUE!</v>
      </c>
      <c r="O516" s="24" t="e">
        <v>#VALUE!</v>
      </c>
      <c r="P516" s="24" t="e">
        <v>#VALUE!</v>
      </c>
      <c r="Q516" s="24" t="e">
        <f t="shared" si="73"/>
        <v>#VALUE!</v>
      </c>
      <c r="R516" s="24" t="e">
        <f t="shared" si="74"/>
        <v>#VALUE!</v>
      </c>
      <c r="S516" s="24" t="e">
        <f t="shared" si="72"/>
        <v>#VALUE!</v>
      </c>
      <c r="T516" s="24" t="e">
        <f t="shared" si="75"/>
        <v>#VALUE!</v>
      </c>
      <c r="U516" s="8">
        <f t="shared" si="79"/>
        <v>1</v>
      </c>
      <c r="V516" s="8">
        <f t="shared" si="80"/>
        <v>1900</v>
      </c>
      <c r="W516" s="24">
        <v>1.3199399999999999</v>
      </c>
    </row>
    <row r="517" spans="1:23">
      <c r="A517" s="44"/>
      <c r="B517" s="49"/>
      <c r="C517" s="49"/>
      <c r="D517" s="49"/>
      <c r="E517" s="24">
        <f t="shared" si="70"/>
        <v>0</v>
      </c>
      <c r="F517" s="24">
        <f t="shared" si="71"/>
        <v>0</v>
      </c>
      <c r="G517" s="47">
        <v>6.61</v>
      </c>
      <c r="H517" s="24">
        <f t="shared" si="76"/>
        <v>6.61</v>
      </c>
      <c r="K517" s="48">
        <f t="shared" si="77"/>
        <v>11.803571428571429</v>
      </c>
      <c r="L517" s="48"/>
      <c r="M517" s="44">
        <f t="shared" si="78"/>
        <v>0</v>
      </c>
      <c r="N517" s="24" t="e">
        <v>#VALUE!</v>
      </c>
      <c r="O517" s="24" t="e">
        <v>#VALUE!</v>
      </c>
      <c r="P517" s="24" t="e">
        <v>#VALUE!</v>
      </c>
      <c r="Q517" s="24" t="e">
        <f t="shared" si="73"/>
        <v>#VALUE!</v>
      </c>
      <c r="R517" s="24" t="e">
        <f t="shared" si="74"/>
        <v>#VALUE!</v>
      </c>
      <c r="S517" s="24" t="e">
        <f t="shared" si="72"/>
        <v>#VALUE!</v>
      </c>
      <c r="T517" s="24" t="e">
        <f t="shared" si="75"/>
        <v>#VALUE!</v>
      </c>
      <c r="U517" s="8">
        <f t="shared" si="79"/>
        <v>1</v>
      </c>
      <c r="V517" s="8">
        <f t="shared" si="80"/>
        <v>1900</v>
      </c>
      <c r="W517" s="24">
        <v>1.3101681818181818</v>
      </c>
    </row>
    <row r="518" spans="1:23">
      <c r="A518" s="44"/>
      <c r="B518" s="49"/>
      <c r="C518" s="49"/>
      <c r="D518" s="49"/>
      <c r="E518" s="24">
        <f t="shared" si="70"/>
        <v>0</v>
      </c>
      <c r="F518" s="24">
        <f t="shared" si="71"/>
        <v>0</v>
      </c>
      <c r="G518" s="47">
        <v>5.98</v>
      </c>
      <c r="H518" s="24">
        <f t="shared" si="76"/>
        <v>5.98</v>
      </c>
      <c r="K518" s="48">
        <f t="shared" si="77"/>
        <v>10.678571428571429</v>
      </c>
      <c r="L518" s="48"/>
      <c r="M518" s="44">
        <f t="shared" si="78"/>
        <v>0</v>
      </c>
      <c r="N518" s="24" t="e">
        <v>#VALUE!</v>
      </c>
      <c r="O518" s="24" t="e">
        <v>#VALUE!</v>
      </c>
      <c r="P518" s="24" t="e">
        <v>#VALUE!</v>
      </c>
      <c r="Q518" s="24" t="e">
        <f t="shared" si="73"/>
        <v>#VALUE!</v>
      </c>
      <c r="R518" s="24" t="e">
        <f t="shared" si="74"/>
        <v>#VALUE!</v>
      </c>
      <c r="S518" s="24" t="e">
        <f t="shared" si="72"/>
        <v>#VALUE!</v>
      </c>
      <c r="T518" s="24" t="e">
        <f t="shared" si="75"/>
        <v>#VALUE!</v>
      </c>
      <c r="U518" s="8">
        <f t="shared" si="79"/>
        <v>1</v>
      </c>
      <c r="V518" s="8">
        <f t="shared" si="80"/>
        <v>1900</v>
      </c>
      <c r="W518" s="24">
        <v>1.3317863636363638</v>
      </c>
    </row>
    <row r="519" spans="1:23">
      <c r="A519" s="44"/>
      <c r="B519" s="49"/>
      <c r="C519" s="49"/>
      <c r="D519" s="49"/>
      <c r="E519" s="24">
        <f t="shared" si="70"/>
        <v>0</v>
      </c>
      <c r="F519" s="24">
        <f t="shared" si="71"/>
        <v>0</v>
      </c>
      <c r="G519" s="47">
        <v>4.78</v>
      </c>
      <c r="H519" s="24">
        <f t="shared" si="76"/>
        <v>4.78</v>
      </c>
      <c r="K519" s="48">
        <f t="shared" si="77"/>
        <v>8.5357142857142865</v>
      </c>
      <c r="L519" s="48"/>
      <c r="M519" s="44">
        <f t="shared" si="78"/>
        <v>0</v>
      </c>
      <c r="N519" s="24" t="e">
        <v>#VALUE!</v>
      </c>
      <c r="O519" s="24" t="e">
        <v>#VALUE!</v>
      </c>
      <c r="P519" s="24" t="e">
        <v>#VALUE!</v>
      </c>
      <c r="Q519" s="24" t="e">
        <f t="shared" si="73"/>
        <v>#VALUE!</v>
      </c>
      <c r="R519" s="24" t="e">
        <f t="shared" si="74"/>
        <v>#VALUE!</v>
      </c>
      <c r="S519" s="24" t="e">
        <f t="shared" si="72"/>
        <v>#VALUE!</v>
      </c>
      <c r="T519" s="24" t="e">
        <f t="shared" si="75"/>
        <v>#VALUE!</v>
      </c>
      <c r="U519" s="8">
        <f t="shared" si="79"/>
        <v>1</v>
      </c>
      <c r="V519" s="8">
        <f t="shared" si="80"/>
        <v>1900</v>
      </c>
      <c r="W519" s="24">
        <v>1.3368850000000001</v>
      </c>
    </row>
    <row r="520" spans="1:23">
      <c r="A520" s="44"/>
      <c r="B520" s="49"/>
      <c r="C520" s="49"/>
      <c r="D520" s="49"/>
      <c r="E520" s="24">
        <f t="shared" si="70"/>
        <v>0</v>
      </c>
      <c r="F520" s="24">
        <f t="shared" si="71"/>
        <v>0</v>
      </c>
      <c r="G520" s="47">
        <v>4.2</v>
      </c>
      <c r="H520" s="24">
        <f t="shared" si="76"/>
        <v>4.2</v>
      </c>
      <c r="K520" s="48">
        <f t="shared" si="77"/>
        <v>7.5</v>
      </c>
      <c r="L520" s="48"/>
      <c r="M520" s="44">
        <f t="shared" si="78"/>
        <v>0</v>
      </c>
      <c r="N520" s="24" t="e">
        <v>#VALUE!</v>
      </c>
      <c r="O520" s="24" t="e">
        <v>#VALUE!</v>
      </c>
      <c r="P520" s="24" t="e">
        <v>#VALUE!</v>
      </c>
      <c r="Q520" s="24" t="e">
        <f t="shared" si="73"/>
        <v>#VALUE!</v>
      </c>
      <c r="R520" s="24" t="e">
        <f t="shared" si="74"/>
        <v>#VALUE!</v>
      </c>
      <c r="S520" s="24" t="e">
        <f t="shared" si="72"/>
        <v>#VALUE!</v>
      </c>
      <c r="T520" s="24" t="e">
        <f t="shared" si="75"/>
        <v>#VALUE!</v>
      </c>
      <c r="U520" s="8">
        <f t="shared" si="79"/>
        <v>1</v>
      </c>
      <c r="V520" s="8">
        <f t="shared" si="80"/>
        <v>1900</v>
      </c>
      <c r="W520" s="24">
        <v>1.3637826086956524</v>
      </c>
    </row>
    <row r="521" spans="1:23">
      <c r="A521" s="44"/>
      <c r="B521" s="49"/>
      <c r="C521" s="49"/>
      <c r="D521" s="49"/>
      <c r="E521" s="24">
        <f t="shared" si="70"/>
        <v>0</v>
      </c>
      <c r="F521" s="24">
        <f t="shared" si="71"/>
        <v>0</v>
      </c>
      <c r="G521" s="47">
        <v>4.0999999999999996</v>
      </c>
      <c r="H521" s="24">
        <f t="shared" si="76"/>
        <v>4.0999999999999996</v>
      </c>
      <c r="K521" s="48">
        <f t="shared" si="77"/>
        <v>7.3214285714285703</v>
      </c>
      <c r="L521" s="48"/>
      <c r="M521" s="44">
        <f t="shared" si="78"/>
        <v>0</v>
      </c>
      <c r="N521" s="24" t="e">
        <v>#VALUE!</v>
      </c>
      <c r="O521" s="24" t="e">
        <v>#VALUE!</v>
      </c>
      <c r="P521" s="24" t="e">
        <v>#VALUE!</v>
      </c>
      <c r="Q521" s="24" t="e">
        <f t="shared" si="73"/>
        <v>#VALUE!</v>
      </c>
      <c r="R521" s="24" t="e">
        <f t="shared" si="74"/>
        <v>#VALUE!</v>
      </c>
      <c r="S521" s="24" t="e">
        <f t="shared" si="72"/>
        <v>#VALUE!</v>
      </c>
      <c r="T521" s="24" t="e">
        <f t="shared" si="75"/>
        <v>#VALUE!</v>
      </c>
      <c r="U521" s="8">
        <f t="shared" si="79"/>
        <v>1</v>
      </c>
      <c r="V521" s="8">
        <f t="shared" si="80"/>
        <v>1900</v>
      </c>
      <c r="W521" s="24">
        <v>1.3490899999999999</v>
      </c>
    </row>
    <row r="522" spans="1:23">
      <c r="A522" s="44"/>
      <c r="B522" s="49"/>
      <c r="C522" s="49"/>
      <c r="D522" s="49"/>
      <c r="E522" s="24">
        <f t="shared" si="70"/>
        <v>0</v>
      </c>
      <c r="F522" s="24">
        <f t="shared" si="71"/>
        <v>0</v>
      </c>
      <c r="G522" s="47">
        <v>4.13</v>
      </c>
      <c r="H522" s="24">
        <f t="shared" si="76"/>
        <v>4.13</v>
      </c>
      <c r="K522" s="48">
        <f t="shared" si="77"/>
        <v>7.375</v>
      </c>
      <c r="L522" s="48"/>
      <c r="M522" s="44">
        <f t="shared" si="78"/>
        <v>0</v>
      </c>
      <c r="N522" s="24" t="e">
        <v>#VALUE!</v>
      </c>
      <c r="O522" s="24" t="e">
        <v>#VALUE!</v>
      </c>
      <c r="P522" s="24" t="e">
        <v>#VALUE!</v>
      </c>
      <c r="Q522" s="24" t="e">
        <f t="shared" si="73"/>
        <v>#VALUE!</v>
      </c>
      <c r="R522" s="24" t="e">
        <f t="shared" si="74"/>
        <v>#VALUE!</v>
      </c>
      <c r="S522" s="24" t="e">
        <f t="shared" si="72"/>
        <v>#VALUE!</v>
      </c>
      <c r="T522" s="24" t="e">
        <f t="shared" si="75"/>
        <v>#VALUE!</v>
      </c>
      <c r="U522" s="8">
        <f t="shared" si="79"/>
        <v>1</v>
      </c>
      <c r="V522" s="8">
        <f t="shared" si="80"/>
        <v>1900</v>
      </c>
      <c r="W522" s="24">
        <v>1.3703190476190477</v>
      </c>
    </row>
    <row r="523" spans="1:23">
      <c r="A523" s="44"/>
      <c r="B523" s="49"/>
      <c r="C523" s="49"/>
      <c r="D523" s="49"/>
      <c r="E523" s="24">
        <f t="shared" ref="E523:E586" si="81">B523-D523</f>
        <v>0</v>
      </c>
      <c r="F523" s="24">
        <f t="shared" ref="F523:F586" si="82">C523-D523</f>
        <v>0</v>
      </c>
      <c r="G523" s="47">
        <v>4.13</v>
      </c>
      <c r="H523" s="24">
        <f t="shared" si="76"/>
        <v>4.13</v>
      </c>
      <c r="K523" s="48">
        <f t="shared" si="77"/>
        <v>7.375</v>
      </c>
      <c r="L523" s="48"/>
      <c r="M523" s="44">
        <f t="shared" si="78"/>
        <v>0</v>
      </c>
      <c r="N523" s="24" t="e">
        <v>#VALUE!</v>
      </c>
      <c r="O523" s="24" t="e">
        <v>#VALUE!</v>
      </c>
      <c r="P523" s="24" t="e">
        <v>#VALUE!</v>
      </c>
      <c r="Q523" s="24" t="e">
        <f t="shared" si="73"/>
        <v>#VALUE!</v>
      </c>
      <c r="R523" s="24" t="e">
        <f t="shared" si="74"/>
        <v>#VALUE!</v>
      </c>
      <c r="S523" s="24" t="e">
        <f t="shared" si="72"/>
        <v>#VALUE!</v>
      </c>
      <c r="T523" s="24" t="e">
        <f t="shared" si="75"/>
        <v>#VALUE!</v>
      </c>
      <c r="U523" s="8">
        <f t="shared" si="79"/>
        <v>1</v>
      </c>
      <c r="V523" s="8">
        <f t="shared" si="80"/>
        <v>1900</v>
      </c>
      <c r="W523" s="24">
        <v>1.3617666666666668</v>
      </c>
    </row>
    <row r="524" spans="1:23">
      <c r="A524" s="44"/>
      <c r="B524" s="49"/>
      <c r="C524" s="49"/>
      <c r="D524" s="49"/>
      <c r="E524" s="24">
        <f t="shared" si="81"/>
        <v>0</v>
      </c>
      <c r="F524" s="24">
        <f t="shared" si="82"/>
        <v>0</v>
      </c>
      <c r="G524" s="47">
        <v>4.33</v>
      </c>
      <c r="H524" s="24">
        <f t="shared" si="76"/>
        <v>4.33</v>
      </c>
      <c r="K524" s="48">
        <f t="shared" si="77"/>
        <v>7.7321428571428568</v>
      </c>
      <c r="L524" s="48"/>
      <c r="M524" s="44">
        <f t="shared" si="78"/>
        <v>0</v>
      </c>
      <c r="N524" s="24" t="e">
        <v>#VALUE!</v>
      </c>
      <c r="O524" s="24" t="e">
        <v>#VALUE!</v>
      </c>
      <c r="P524" s="24" t="e">
        <v>#VALUE!</v>
      </c>
      <c r="Q524" s="24" t="e">
        <f t="shared" si="73"/>
        <v>#VALUE!</v>
      </c>
      <c r="R524" s="24" t="e">
        <f t="shared" si="74"/>
        <v>#VALUE!</v>
      </c>
      <c r="S524" s="24" t="e">
        <f t="shared" si="72"/>
        <v>#VALUE!</v>
      </c>
      <c r="T524" s="24" t="e">
        <f t="shared" si="75"/>
        <v>#VALUE!</v>
      </c>
      <c r="U524" s="8">
        <f t="shared" si="79"/>
        <v>1</v>
      </c>
      <c r="V524" s="8">
        <f t="shared" si="80"/>
        <v>1900</v>
      </c>
      <c r="W524" s="24">
        <v>1.3666105263157895</v>
      </c>
    </row>
    <row r="525" spans="1:23">
      <c r="A525" s="44"/>
      <c r="B525" s="49"/>
      <c r="C525" s="49"/>
      <c r="D525" s="49"/>
      <c r="E525" s="24">
        <f t="shared" si="81"/>
        <v>0</v>
      </c>
      <c r="F525" s="24">
        <f t="shared" si="82"/>
        <v>0</v>
      </c>
      <c r="G525" s="47">
        <v>4.6399999999999997</v>
      </c>
      <c r="H525" s="24">
        <f t="shared" si="76"/>
        <v>4.6399999999999997</v>
      </c>
      <c r="K525" s="48">
        <f t="shared" si="77"/>
        <v>8.2857142857142847</v>
      </c>
      <c r="L525" s="48"/>
      <c r="M525" s="44">
        <f t="shared" si="78"/>
        <v>0</v>
      </c>
      <c r="N525" s="24" t="e">
        <v>#VALUE!</v>
      </c>
      <c r="O525" s="24" t="e">
        <v>#VALUE!</v>
      </c>
      <c r="P525" s="24" t="e">
        <v>#VALUE!</v>
      </c>
      <c r="Q525" s="24" t="e">
        <f t="shared" si="73"/>
        <v>#VALUE!</v>
      </c>
      <c r="R525" s="24" t="e">
        <f t="shared" si="74"/>
        <v>#VALUE!</v>
      </c>
      <c r="S525" s="24" t="e">
        <f t="shared" si="72"/>
        <v>#VALUE!</v>
      </c>
      <c r="T525" s="24" t="e">
        <f t="shared" si="75"/>
        <v>#VALUE!</v>
      </c>
      <c r="U525" s="8">
        <f t="shared" si="79"/>
        <v>1</v>
      </c>
      <c r="V525" s="8">
        <f t="shared" si="80"/>
        <v>1900</v>
      </c>
      <c r="W525" s="24">
        <v>1.3824809523809525</v>
      </c>
    </row>
    <row r="526" spans="1:23">
      <c r="A526" s="44"/>
      <c r="B526" s="49"/>
      <c r="C526" s="49"/>
      <c r="D526" s="49"/>
      <c r="E526" s="24">
        <f t="shared" si="81"/>
        <v>0</v>
      </c>
      <c r="F526" s="24">
        <f t="shared" si="82"/>
        <v>0</v>
      </c>
      <c r="G526" s="47">
        <v>4.9800000000000004</v>
      </c>
      <c r="H526" s="24">
        <f t="shared" si="76"/>
        <v>4.9800000000000004</v>
      </c>
      <c r="K526" s="48">
        <f t="shared" si="77"/>
        <v>8.8928571428571441</v>
      </c>
      <c r="L526" s="48"/>
      <c r="M526" s="44">
        <f t="shared" si="78"/>
        <v>0</v>
      </c>
      <c r="N526" s="24" t="e">
        <v>#VALUE!</v>
      </c>
      <c r="O526" s="24" t="e">
        <v>#VALUE!</v>
      </c>
      <c r="P526" s="24" t="e">
        <v>#VALUE!</v>
      </c>
      <c r="Q526" s="24" t="e">
        <f t="shared" si="73"/>
        <v>#VALUE!</v>
      </c>
      <c r="R526" s="24" t="e">
        <f t="shared" si="74"/>
        <v>#VALUE!</v>
      </c>
      <c r="S526" s="24" t="e">
        <f t="shared" si="72"/>
        <v>#VALUE!</v>
      </c>
      <c r="T526" s="24" t="e">
        <f t="shared" si="75"/>
        <v>#VALUE!</v>
      </c>
      <c r="U526" s="8">
        <f t="shared" si="79"/>
        <v>1</v>
      </c>
      <c r="V526" s="8">
        <f t="shared" si="80"/>
        <v>1900</v>
      </c>
      <c r="W526" s="24">
        <v>1.3809142857142855</v>
      </c>
    </row>
    <row r="527" spans="1:23">
      <c r="A527" s="44"/>
      <c r="B527" s="49"/>
      <c r="C527" s="49"/>
      <c r="D527" s="49"/>
      <c r="E527" s="24">
        <f t="shared" si="81"/>
        <v>0</v>
      </c>
      <c r="F527" s="24">
        <f t="shared" si="82"/>
        <v>0</v>
      </c>
      <c r="G527" s="47">
        <v>4.72</v>
      </c>
      <c r="H527" s="24">
        <f t="shared" si="76"/>
        <v>4.72</v>
      </c>
      <c r="K527" s="48">
        <f t="shared" si="77"/>
        <v>8.4285714285714288</v>
      </c>
      <c r="L527" s="48"/>
      <c r="M527" s="44">
        <f t="shared" si="78"/>
        <v>0</v>
      </c>
      <c r="N527" s="24" t="e">
        <v>#VALUE!</v>
      </c>
      <c r="O527" s="24" t="e">
        <v>#VALUE!</v>
      </c>
      <c r="P527" s="24" t="e">
        <v>#VALUE!</v>
      </c>
      <c r="Q527" s="24" t="e">
        <f t="shared" si="73"/>
        <v>#VALUE!</v>
      </c>
      <c r="R527" s="24" t="e">
        <f t="shared" si="74"/>
        <v>#VALUE!</v>
      </c>
      <c r="S527" s="24" t="e">
        <f t="shared" si="72"/>
        <v>#VALUE!</v>
      </c>
      <c r="T527" s="24" t="e">
        <f t="shared" si="75"/>
        <v>#VALUE!</v>
      </c>
      <c r="U527" s="8">
        <f t="shared" si="79"/>
        <v>1</v>
      </c>
      <c r="V527" s="8">
        <f t="shared" si="80"/>
        <v>1900</v>
      </c>
      <c r="W527" s="24">
        <v>1.3735952380952381</v>
      </c>
    </row>
    <row r="528" spans="1:23">
      <c r="A528" s="44"/>
      <c r="B528" s="49"/>
      <c r="C528" s="49"/>
      <c r="D528" s="49"/>
      <c r="E528" s="24">
        <f t="shared" si="81"/>
        <v>0</v>
      </c>
      <c r="F528" s="24">
        <f t="shared" si="82"/>
        <v>0</v>
      </c>
      <c r="G528" s="47">
        <v>4.37</v>
      </c>
      <c r="H528" s="24">
        <f t="shared" si="76"/>
        <v>4.37</v>
      </c>
      <c r="K528" s="48">
        <f t="shared" si="77"/>
        <v>7.8035714285714288</v>
      </c>
      <c r="L528" s="48"/>
      <c r="M528" s="44">
        <f t="shared" si="78"/>
        <v>0</v>
      </c>
      <c r="N528" s="24" t="e">
        <v>#VALUE!</v>
      </c>
      <c r="O528" s="24" t="e">
        <v>#VALUE!</v>
      </c>
      <c r="P528" s="24" t="e">
        <v>#VALUE!</v>
      </c>
      <c r="Q528" s="24" t="e">
        <f t="shared" si="73"/>
        <v>#VALUE!</v>
      </c>
      <c r="R528" s="24" t="e">
        <f t="shared" si="74"/>
        <v>#VALUE!</v>
      </c>
      <c r="S528" s="24" t="e">
        <f t="shared" si="72"/>
        <v>#VALUE!</v>
      </c>
      <c r="T528" s="24" t="e">
        <f t="shared" si="75"/>
        <v>#VALUE!</v>
      </c>
      <c r="U528" s="8">
        <f t="shared" si="79"/>
        <v>1</v>
      </c>
      <c r="V528" s="8">
        <f t="shared" si="80"/>
        <v>1900</v>
      </c>
      <c r="W528" s="24">
        <v>1.3599428571428571</v>
      </c>
    </row>
    <row r="529" spans="1:23">
      <c r="A529" s="44"/>
      <c r="B529" s="49"/>
      <c r="C529" s="49"/>
      <c r="D529" s="49"/>
      <c r="E529" s="24">
        <f t="shared" si="81"/>
        <v>0</v>
      </c>
      <c r="F529" s="24">
        <f t="shared" si="82"/>
        <v>0</v>
      </c>
      <c r="G529" s="47">
        <v>3.74</v>
      </c>
      <c r="H529" s="24">
        <f t="shared" si="76"/>
        <v>3.74</v>
      </c>
      <c r="K529" s="48">
        <f t="shared" si="77"/>
        <v>6.6785714285714297</v>
      </c>
      <c r="L529" s="48"/>
      <c r="M529" s="44">
        <f t="shared" si="78"/>
        <v>0</v>
      </c>
      <c r="N529" s="24" t="e">
        <v>#VALUE!</v>
      </c>
      <c r="O529" s="24" t="e">
        <v>#VALUE!</v>
      </c>
      <c r="P529" s="24" t="e">
        <v>#VALUE!</v>
      </c>
      <c r="Q529" s="24" t="e">
        <f t="shared" si="73"/>
        <v>#VALUE!</v>
      </c>
      <c r="R529" s="24" t="e">
        <f t="shared" si="74"/>
        <v>#VALUE!</v>
      </c>
      <c r="S529" s="24" t="e">
        <f t="shared" si="72"/>
        <v>#VALUE!</v>
      </c>
      <c r="T529" s="24" t="e">
        <f t="shared" si="75"/>
        <v>#VALUE!</v>
      </c>
      <c r="U529" s="8">
        <f t="shared" si="79"/>
        <v>1</v>
      </c>
      <c r="V529" s="8">
        <f t="shared" si="80"/>
        <v>1900</v>
      </c>
      <c r="W529" s="24">
        <v>1.3534727272727272</v>
      </c>
    </row>
    <row r="530" spans="1:23">
      <c r="A530" s="44"/>
      <c r="B530" s="49"/>
      <c r="C530" s="49"/>
      <c r="D530" s="49"/>
      <c r="E530" s="24">
        <f t="shared" si="81"/>
        <v>0</v>
      </c>
      <c r="F530" s="24">
        <f t="shared" si="82"/>
        <v>0</v>
      </c>
      <c r="G530" s="47">
        <v>3.59</v>
      </c>
      <c r="H530" s="24">
        <f t="shared" si="76"/>
        <v>3.59</v>
      </c>
      <c r="K530" s="48">
        <f t="shared" si="77"/>
        <v>6.4107142857142847</v>
      </c>
      <c r="L530" s="48"/>
      <c r="M530" s="44">
        <f t="shared" si="78"/>
        <v>0</v>
      </c>
      <c r="N530" s="24" t="e">
        <v>#VALUE!</v>
      </c>
      <c r="O530" s="24" t="e">
        <v>#VALUE!</v>
      </c>
      <c r="P530" s="24" t="e">
        <v>#VALUE!</v>
      </c>
      <c r="Q530" s="24" t="e">
        <f t="shared" si="73"/>
        <v>#VALUE!</v>
      </c>
      <c r="R530" s="24" t="e">
        <f t="shared" si="74"/>
        <v>#VALUE!</v>
      </c>
      <c r="S530" s="24" t="e">
        <f t="shared" si="72"/>
        <v>#VALUE!</v>
      </c>
      <c r="T530" s="24" t="e">
        <f t="shared" si="75"/>
        <v>#VALUE!</v>
      </c>
      <c r="U530" s="8">
        <f t="shared" si="79"/>
        <v>1</v>
      </c>
      <c r="V530" s="8">
        <f t="shared" si="80"/>
        <v>1900</v>
      </c>
      <c r="W530" s="24">
        <v>1.3313428571428569</v>
      </c>
    </row>
    <row r="531" spans="1:23">
      <c r="A531" s="44"/>
      <c r="B531" s="49"/>
      <c r="C531" s="49"/>
      <c r="D531" s="49"/>
      <c r="E531" s="24">
        <f t="shared" si="81"/>
        <v>0</v>
      </c>
      <c r="F531" s="24">
        <f t="shared" si="82"/>
        <v>0</v>
      </c>
      <c r="G531" s="47">
        <v>3.16</v>
      </c>
      <c r="H531" s="24">
        <f t="shared" si="76"/>
        <v>3.16</v>
      </c>
      <c r="K531" s="48">
        <f t="shared" si="77"/>
        <v>5.6428571428571432</v>
      </c>
      <c r="L531" s="48"/>
      <c r="M531" s="44">
        <f t="shared" si="78"/>
        <v>0</v>
      </c>
      <c r="N531" s="24" t="e">
        <v>#VALUE!</v>
      </c>
      <c r="O531" s="24" t="e">
        <v>#VALUE!</v>
      </c>
      <c r="P531" s="24" t="e">
        <v>#VALUE!</v>
      </c>
      <c r="Q531" s="24" t="e">
        <f t="shared" si="73"/>
        <v>#VALUE!</v>
      </c>
      <c r="R531" s="24" t="e">
        <f t="shared" si="74"/>
        <v>#VALUE!</v>
      </c>
      <c r="S531" s="24" t="e">
        <f t="shared" si="72"/>
        <v>#VALUE!</v>
      </c>
      <c r="T531" s="24" t="e">
        <f t="shared" si="75"/>
        <v>#VALUE!</v>
      </c>
      <c r="U531" s="8">
        <f t="shared" si="79"/>
        <v>1</v>
      </c>
      <c r="V531" s="8">
        <f t="shared" si="80"/>
        <v>1900</v>
      </c>
      <c r="W531" s="24">
        <v>1.2883095238095239</v>
      </c>
    </row>
    <row r="532" spans="1:23">
      <c r="A532" s="44"/>
      <c r="B532" s="49"/>
      <c r="C532" s="49"/>
      <c r="D532" s="49"/>
      <c r="E532" s="24">
        <f t="shared" si="81"/>
        <v>0</v>
      </c>
      <c r="F532" s="24">
        <f t="shared" si="82"/>
        <v>0</v>
      </c>
      <c r="G532" s="47">
        <v>3.09</v>
      </c>
      <c r="H532" s="24">
        <f t="shared" si="76"/>
        <v>3.09</v>
      </c>
      <c r="K532" s="48">
        <f t="shared" si="77"/>
        <v>5.5178571428571423</v>
      </c>
      <c r="L532" s="48"/>
      <c r="M532" s="44">
        <f t="shared" si="78"/>
        <v>0</v>
      </c>
      <c r="N532" s="24" t="e">
        <v>#VALUE!</v>
      </c>
      <c r="O532" s="24" t="e">
        <v>#VALUE!</v>
      </c>
      <c r="P532" s="24" t="e">
        <v>#VALUE!</v>
      </c>
      <c r="Q532" s="24" t="e">
        <f t="shared" si="73"/>
        <v>#VALUE!</v>
      </c>
      <c r="R532" s="24" t="e">
        <f t="shared" si="74"/>
        <v>#VALUE!</v>
      </c>
      <c r="S532" s="24" t="e">
        <f t="shared" si="72"/>
        <v>#VALUE!</v>
      </c>
      <c r="T532" s="24" t="e">
        <f t="shared" si="75"/>
        <v>#VALUE!</v>
      </c>
      <c r="U532" s="8">
        <f t="shared" si="79"/>
        <v>1</v>
      </c>
      <c r="V532" s="8">
        <f t="shared" si="80"/>
        <v>1900</v>
      </c>
      <c r="W532" s="24">
        <v>1.2681</v>
      </c>
    </row>
    <row r="533" spans="1:23">
      <c r="A533" s="44"/>
      <c r="B533" s="49"/>
      <c r="C533" s="49"/>
      <c r="D533" s="49"/>
      <c r="E533" s="24">
        <f t="shared" si="81"/>
        <v>0</v>
      </c>
      <c r="F533" s="24">
        <f t="shared" si="82"/>
        <v>0</v>
      </c>
      <c r="G533" s="47">
        <v>3.45</v>
      </c>
      <c r="H533" s="24">
        <f t="shared" si="76"/>
        <v>3.45</v>
      </c>
      <c r="K533" s="48">
        <f t="shared" si="77"/>
        <v>6.1607142857142865</v>
      </c>
      <c r="L533" s="48"/>
      <c r="M533" s="44">
        <f t="shared" si="78"/>
        <v>0</v>
      </c>
      <c r="N533" s="24" t="e">
        <v>#VALUE!</v>
      </c>
      <c r="O533" s="24" t="e">
        <v>#VALUE!</v>
      </c>
      <c r="P533" s="24" t="e">
        <v>#VALUE!</v>
      </c>
      <c r="Q533" s="24" t="e">
        <f t="shared" si="73"/>
        <v>#VALUE!</v>
      </c>
      <c r="R533" s="24" t="e">
        <f t="shared" si="74"/>
        <v>#VALUE!</v>
      </c>
      <c r="S533" s="24" t="e">
        <f t="shared" si="72"/>
        <v>#VALUE!</v>
      </c>
      <c r="T533" s="24" t="e">
        <f t="shared" si="75"/>
        <v>#VALUE!</v>
      </c>
      <c r="U533" s="8">
        <f t="shared" si="79"/>
        <v>1</v>
      </c>
      <c r="V533" s="8">
        <f t="shared" si="80"/>
        <v>1900</v>
      </c>
      <c r="W533" s="24">
        <v>1.2473631578947371</v>
      </c>
    </row>
    <row r="534" spans="1:23">
      <c r="A534" s="44"/>
      <c r="B534" s="49"/>
      <c r="C534" s="49"/>
      <c r="D534" s="49"/>
      <c r="E534" s="24">
        <f t="shared" si="81"/>
        <v>0</v>
      </c>
      <c r="F534" s="24">
        <f t="shared" si="82"/>
        <v>0</v>
      </c>
      <c r="G534" s="47">
        <v>3.75</v>
      </c>
      <c r="H534" s="24">
        <f t="shared" si="76"/>
        <v>3.75</v>
      </c>
      <c r="K534" s="48">
        <f t="shared" si="77"/>
        <v>6.6964285714285712</v>
      </c>
      <c r="L534" s="48"/>
      <c r="M534" s="44">
        <f t="shared" si="78"/>
        <v>0</v>
      </c>
      <c r="N534" s="24" t="e">
        <v>#VALUE!</v>
      </c>
      <c r="O534" s="24" t="e">
        <v>#VALUE!</v>
      </c>
      <c r="P534" s="24" t="e">
        <v>#VALUE!</v>
      </c>
      <c r="Q534" s="24" t="e">
        <f t="shared" si="73"/>
        <v>#VALUE!</v>
      </c>
      <c r="R534" s="24" t="e">
        <f t="shared" si="74"/>
        <v>#VALUE!</v>
      </c>
      <c r="S534" s="24" t="e">
        <f t="shared" si="72"/>
        <v>#VALUE!</v>
      </c>
      <c r="T534" s="24" t="e">
        <f t="shared" si="75"/>
        <v>#VALUE!</v>
      </c>
      <c r="U534" s="8">
        <f t="shared" si="79"/>
        <v>1</v>
      </c>
      <c r="V534" s="8">
        <f t="shared" si="80"/>
        <v>1900</v>
      </c>
      <c r="W534" s="24">
        <v>1.2308999999999999</v>
      </c>
    </row>
    <row r="535" spans="1:23">
      <c r="A535" s="44"/>
      <c r="B535" s="49"/>
      <c r="C535" s="49"/>
      <c r="D535" s="49"/>
      <c r="E535" s="24">
        <f t="shared" si="81"/>
        <v>0</v>
      </c>
      <c r="F535" s="24">
        <f t="shared" si="82"/>
        <v>0</v>
      </c>
      <c r="G535" s="47">
        <v>3.67</v>
      </c>
      <c r="H535" s="24">
        <f t="shared" si="76"/>
        <v>3.67</v>
      </c>
      <c r="K535" s="48">
        <f t="shared" si="77"/>
        <v>6.5535714285714279</v>
      </c>
      <c r="L535" s="48"/>
      <c r="M535" s="44">
        <f t="shared" si="78"/>
        <v>0</v>
      </c>
      <c r="N535" s="24" t="e">
        <v>#VALUE!</v>
      </c>
      <c r="O535" s="24" t="e">
        <v>#VALUE!</v>
      </c>
      <c r="P535" s="24" t="e">
        <v>#VALUE!</v>
      </c>
      <c r="Q535" s="24" t="e">
        <f t="shared" si="73"/>
        <v>#VALUE!</v>
      </c>
      <c r="R535" s="24" t="e">
        <f t="shared" si="74"/>
        <v>#VALUE!</v>
      </c>
      <c r="S535" s="24" t="e">
        <f t="shared" si="72"/>
        <v>#VALUE!</v>
      </c>
      <c r="T535" s="24" t="e">
        <f t="shared" si="75"/>
        <v>#VALUE!</v>
      </c>
      <c r="U535" s="8">
        <f t="shared" si="79"/>
        <v>1</v>
      </c>
      <c r="V535" s="8">
        <f t="shared" si="80"/>
        <v>1900</v>
      </c>
      <c r="W535" s="24">
        <v>1.1605699999999999</v>
      </c>
    </row>
    <row r="536" spans="1:23">
      <c r="A536" s="44"/>
      <c r="B536" s="49"/>
      <c r="C536" s="49"/>
      <c r="D536" s="49"/>
      <c r="E536" s="24">
        <f t="shared" si="81"/>
        <v>0</v>
      </c>
      <c r="F536" s="24">
        <f t="shared" si="82"/>
        <v>0</v>
      </c>
      <c r="G536" s="47">
        <v>3.65</v>
      </c>
      <c r="H536" s="24">
        <f t="shared" si="76"/>
        <v>3.65</v>
      </c>
      <c r="K536" s="48">
        <f t="shared" si="77"/>
        <v>6.5178571428571432</v>
      </c>
      <c r="L536" s="48"/>
      <c r="M536" s="44">
        <f t="shared" si="78"/>
        <v>0</v>
      </c>
      <c r="N536" s="24" t="e">
        <v>#VALUE!</v>
      </c>
      <c r="O536" s="24" t="e">
        <v>#VALUE!</v>
      </c>
      <c r="P536" s="24" t="e">
        <v>#VALUE!</v>
      </c>
      <c r="Q536" s="24" t="e">
        <f t="shared" si="73"/>
        <v>#VALUE!</v>
      </c>
      <c r="R536" s="24" t="e">
        <f t="shared" si="74"/>
        <v>#VALUE!</v>
      </c>
      <c r="S536" s="24" t="e">
        <f t="shared" si="72"/>
        <v>#VALUE!</v>
      </c>
      <c r="T536" s="24" t="e">
        <f t="shared" si="75"/>
        <v>#VALUE!</v>
      </c>
      <c r="U536" s="8">
        <f t="shared" si="79"/>
        <v>1</v>
      </c>
      <c r="V536" s="8">
        <f t="shared" si="80"/>
        <v>1900</v>
      </c>
      <c r="W536" s="24">
        <v>1.1351421052631576</v>
      </c>
    </row>
    <row r="537" spans="1:23">
      <c r="A537" s="44"/>
      <c r="B537" s="49"/>
      <c r="C537" s="49"/>
      <c r="D537" s="49"/>
      <c r="E537" s="24">
        <f t="shared" si="81"/>
        <v>0</v>
      </c>
      <c r="F537" s="24">
        <f t="shared" si="82"/>
        <v>0</v>
      </c>
      <c r="G537" s="47">
        <v>3.66</v>
      </c>
      <c r="H537" s="24">
        <f t="shared" si="76"/>
        <v>3.66</v>
      </c>
      <c r="K537" s="48">
        <f t="shared" si="77"/>
        <v>6.5357142857142865</v>
      </c>
      <c r="L537" s="48"/>
      <c r="M537" s="44">
        <f t="shared" si="78"/>
        <v>0</v>
      </c>
      <c r="N537" s="24" t="e">
        <v>#VALUE!</v>
      </c>
      <c r="O537" s="24" t="e">
        <v>#VALUE!</v>
      </c>
      <c r="P537" s="24" t="e">
        <v>#VALUE!</v>
      </c>
      <c r="Q537" s="24" t="e">
        <f t="shared" si="73"/>
        <v>#VALUE!</v>
      </c>
      <c r="R537" s="24" t="e">
        <f t="shared" si="74"/>
        <v>#VALUE!</v>
      </c>
      <c r="S537" s="24" t="e">
        <f t="shared" si="72"/>
        <v>#VALUE!</v>
      </c>
      <c r="T537" s="24" t="e">
        <f t="shared" si="75"/>
        <v>#VALUE!</v>
      </c>
      <c r="U537" s="8">
        <f t="shared" si="79"/>
        <v>1</v>
      </c>
      <c r="V537" s="8">
        <f t="shared" si="80"/>
        <v>1900</v>
      </c>
      <c r="W537" s="24">
        <v>1.0827363636363638</v>
      </c>
    </row>
    <row r="538" spans="1:23">
      <c r="A538" s="44"/>
      <c r="B538" s="49"/>
      <c r="C538" s="49"/>
      <c r="D538" s="49"/>
      <c r="E538" s="24">
        <f t="shared" si="81"/>
        <v>0</v>
      </c>
      <c r="F538" s="24">
        <f t="shared" si="82"/>
        <v>0</v>
      </c>
      <c r="G538" s="47">
        <v>3.59</v>
      </c>
      <c r="H538" s="24">
        <f t="shared" si="76"/>
        <v>3.59</v>
      </c>
      <c r="K538" s="48">
        <f t="shared" si="77"/>
        <v>6.4107142857142847</v>
      </c>
      <c r="L538" s="48"/>
      <c r="M538" s="44">
        <f t="shared" si="78"/>
        <v>0</v>
      </c>
      <c r="N538" s="24" t="e">
        <v>#VALUE!</v>
      </c>
      <c r="O538" s="24" t="e">
        <v>#VALUE!</v>
      </c>
      <c r="P538" s="24" t="e">
        <v>#VALUE!</v>
      </c>
      <c r="Q538" s="24" t="e">
        <f t="shared" si="73"/>
        <v>#VALUE!</v>
      </c>
      <c r="R538" s="24" t="e">
        <f t="shared" si="74"/>
        <v>#VALUE!</v>
      </c>
      <c r="S538" s="24" t="e">
        <f t="shared" si="72"/>
        <v>#VALUE!</v>
      </c>
      <c r="T538" s="24" t="e">
        <f t="shared" si="75"/>
        <v>#VALUE!</v>
      </c>
      <c r="U538" s="8">
        <f t="shared" si="79"/>
        <v>1</v>
      </c>
      <c r="V538" s="8">
        <f t="shared" si="80"/>
        <v>1900</v>
      </c>
      <c r="W538" s="24">
        <v>1.0809047619047618</v>
      </c>
    </row>
    <row r="539" spans="1:23">
      <c r="A539" s="44"/>
      <c r="B539" s="49"/>
      <c r="C539" s="49"/>
      <c r="D539" s="49"/>
      <c r="E539" s="24">
        <f t="shared" si="81"/>
        <v>0</v>
      </c>
      <c r="F539" s="24">
        <f t="shared" si="82"/>
        <v>0</v>
      </c>
      <c r="G539" s="47">
        <v>3.49</v>
      </c>
      <c r="H539" s="24">
        <f t="shared" si="76"/>
        <v>3.49</v>
      </c>
      <c r="K539" s="48">
        <f t="shared" si="77"/>
        <v>6.2321428571428577</v>
      </c>
      <c r="L539" s="48"/>
      <c r="M539" s="44">
        <f t="shared" si="78"/>
        <v>0</v>
      </c>
      <c r="N539" s="24" t="e">
        <v>#VALUE!</v>
      </c>
      <c r="O539" s="24" t="e">
        <v>#VALUE!</v>
      </c>
      <c r="P539" s="24" t="e">
        <v>#VALUE!</v>
      </c>
      <c r="Q539" s="24" t="e">
        <f t="shared" si="73"/>
        <v>#VALUE!</v>
      </c>
      <c r="R539" s="24" t="e">
        <f t="shared" si="74"/>
        <v>#VALUE!</v>
      </c>
      <c r="S539" s="24" t="e">
        <f t="shared" si="72"/>
        <v>#VALUE!</v>
      </c>
      <c r="T539" s="24" t="e">
        <f t="shared" si="75"/>
        <v>#VALUE!</v>
      </c>
      <c r="U539" s="8">
        <f t="shared" si="79"/>
        <v>1</v>
      </c>
      <c r="V539" s="8">
        <f t="shared" si="80"/>
        <v>1900</v>
      </c>
      <c r="W539" s="24">
        <v>1.1165799999999999</v>
      </c>
    </row>
    <row r="540" spans="1:23">
      <c r="A540" s="44"/>
      <c r="B540" s="49"/>
      <c r="C540" s="49"/>
      <c r="D540" s="49"/>
      <c r="E540" s="24">
        <f t="shared" si="81"/>
        <v>0</v>
      </c>
      <c r="F540" s="24">
        <f t="shared" si="82"/>
        <v>0</v>
      </c>
      <c r="G540" s="47">
        <v>3.52</v>
      </c>
      <c r="H540" s="24">
        <f t="shared" si="76"/>
        <v>3.52</v>
      </c>
      <c r="K540" s="48">
        <f t="shared" si="77"/>
        <v>6.2857142857142865</v>
      </c>
      <c r="L540" s="48"/>
      <c r="M540" s="44">
        <f t="shared" si="78"/>
        <v>0</v>
      </c>
      <c r="N540" s="24" t="e">
        <v>#VALUE!</v>
      </c>
      <c r="O540" s="24" t="e">
        <v>#VALUE!</v>
      </c>
      <c r="P540" s="24" t="e">
        <v>#VALUE!</v>
      </c>
      <c r="Q540" s="24" t="e">
        <f t="shared" si="73"/>
        <v>#VALUE!</v>
      </c>
      <c r="R540" s="24" t="e">
        <f t="shared" si="74"/>
        <v>#VALUE!</v>
      </c>
      <c r="S540" s="24" t="e">
        <f t="shared" si="72"/>
        <v>#VALUE!</v>
      </c>
      <c r="T540" s="24" t="e">
        <f t="shared" si="75"/>
        <v>#VALUE!</v>
      </c>
      <c r="U540" s="8">
        <f t="shared" si="79"/>
        <v>1</v>
      </c>
      <c r="V540" s="8">
        <f t="shared" si="80"/>
        <v>1900</v>
      </c>
      <c r="W540" s="24">
        <v>1.1234</v>
      </c>
    </row>
    <row r="541" spans="1:23">
      <c r="A541" s="44"/>
      <c r="B541" s="49"/>
      <c r="C541" s="49"/>
      <c r="D541" s="49"/>
      <c r="E541" s="24">
        <f t="shared" si="81"/>
        <v>0</v>
      </c>
      <c r="F541" s="24">
        <f t="shared" si="82"/>
        <v>0</v>
      </c>
      <c r="G541" s="47">
        <v>3.85</v>
      </c>
      <c r="H541" s="24">
        <f t="shared" si="76"/>
        <v>3.85</v>
      </c>
      <c r="K541" s="48">
        <f t="shared" si="77"/>
        <v>6.8750000000000009</v>
      </c>
      <c r="L541" s="48"/>
      <c r="M541" s="44">
        <f t="shared" si="78"/>
        <v>0</v>
      </c>
      <c r="N541" s="24" t="e">
        <v>#VALUE!</v>
      </c>
      <c r="O541" s="24" t="e">
        <v>#VALUE!</v>
      </c>
      <c r="P541" s="24" t="e">
        <v>#VALUE!</v>
      </c>
      <c r="Q541" s="24" t="e">
        <f t="shared" si="73"/>
        <v>#VALUE!</v>
      </c>
      <c r="R541" s="24" t="e">
        <f t="shared" si="74"/>
        <v>#VALUE!</v>
      </c>
      <c r="S541" s="24" t="e">
        <f t="shared" si="72"/>
        <v>#VALUE!</v>
      </c>
      <c r="T541" s="24" t="e">
        <f t="shared" si="75"/>
        <v>#VALUE!</v>
      </c>
      <c r="U541" s="8">
        <f t="shared" si="79"/>
        <v>1</v>
      </c>
      <c r="V541" s="8">
        <f t="shared" si="80"/>
        <v>1900</v>
      </c>
      <c r="W541" s="24">
        <v>1.0992772727272728</v>
      </c>
    </row>
    <row r="542" spans="1:23">
      <c r="A542" s="44"/>
      <c r="B542" s="49"/>
      <c r="C542" s="49"/>
      <c r="D542" s="49"/>
      <c r="E542" s="24">
        <f t="shared" si="81"/>
        <v>0</v>
      </c>
      <c r="F542" s="24">
        <f t="shared" si="82"/>
        <v>0</v>
      </c>
      <c r="G542" s="47">
        <v>3.51</v>
      </c>
      <c r="H542" s="24">
        <f t="shared" si="76"/>
        <v>3.51</v>
      </c>
      <c r="K542" s="48">
        <f t="shared" si="77"/>
        <v>6.2678571428571432</v>
      </c>
      <c r="L542" s="48"/>
      <c r="M542" s="44">
        <f t="shared" si="78"/>
        <v>0</v>
      </c>
      <c r="N542" s="24" t="e">
        <v>#VALUE!</v>
      </c>
      <c r="O542" s="24" t="e">
        <v>#VALUE!</v>
      </c>
      <c r="P542" s="24" t="e">
        <v>#VALUE!</v>
      </c>
      <c r="Q542" s="24" t="e">
        <f t="shared" si="73"/>
        <v>#VALUE!</v>
      </c>
      <c r="R542" s="24" t="e">
        <f t="shared" si="74"/>
        <v>#VALUE!</v>
      </c>
      <c r="S542" s="24" t="e">
        <f t="shared" si="72"/>
        <v>#VALUE!</v>
      </c>
      <c r="T542" s="24" t="e">
        <f t="shared" si="75"/>
        <v>#VALUE!</v>
      </c>
      <c r="U542" s="8">
        <f t="shared" si="79"/>
        <v>1</v>
      </c>
      <c r="V542" s="8">
        <f t="shared" si="80"/>
        <v>1900</v>
      </c>
      <c r="W542" s="24">
        <v>1.114333333333333</v>
      </c>
    </row>
    <row r="543" spans="1:23">
      <c r="A543" s="44"/>
      <c r="B543" s="49"/>
      <c r="C543" s="49"/>
      <c r="D543" s="49"/>
      <c r="E543" s="24">
        <f t="shared" si="81"/>
        <v>0</v>
      </c>
      <c r="F543" s="24">
        <f t="shared" si="82"/>
        <v>0</v>
      </c>
      <c r="G543" s="47">
        <v>3.55</v>
      </c>
      <c r="H543" s="24">
        <f t="shared" si="76"/>
        <v>3.55</v>
      </c>
      <c r="K543" s="48">
        <f t="shared" si="77"/>
        <v>6.3392857142857135</v>
      </c>
      <c r="L543" s="48"/>
      <c r="M543" s="44">
        <f t="shared" si="78"/>
        <v>0</v>
      </c>
      <c r="N543" s="24" t="e">
        <v>#VALUE!</v>
      </c>
      <c r="O543" s="24" t="e">
        <v>#VALUE!</v>
      </c>
      <c r="P543" s="24" t="e">
        <v>#VALUE!</v>
      </c>
      <c r="Q543" s="24" t="e">
        <f t="shared" si="73"/>
        <v>#VALUE!</v>
      </c>
      <c r="R543" s="24" t="e">
        <f t="shared" si="74"/>
        <v>#VALUE!</v>
      </c>
      <c r="S543" s="24" t="e">
        <f t="shared" si="72"/>
        <v>#VALUE!</v>
      </c>
      <c r="T543" s="24" t="e">
        <f t="shared" si="75"/>
        <v>#VALUE!</v>
      </c>
      <c r="U543" s="8">
        <f t="shared" si="79"/>
        <v>1</v>
      </c>
      <c r="V543" s="8">
        <f t="shared" si="80"/>
        <v>1900</v>
      </c>
      <c r="W543" s="24">
        <v>1.1238904761904762</v>
      </c>
    </row>
    <row r="544" spans="1:23">
      <c r="A544" s="44"/>
      <c r="B544" s="49"/>
      <c r="C544" s="49"/>
      <c r="D544" s="49"/>
      <c r="E544" s="24">
        <f t="shared" si="81"/>
        <v>0</v>
      </c>
      <c r="F544" s="24">
        <f t="shared" si="82"/>
        <v>0</v>
      </c>
      <c r="G544" s="47">
        <v>3.67</v>
      </c>
      <c r="H544" s="24">
        <f t="shared" si="76"/>
        <v>3.67</v>
      </c>
      <c r="K544" s="48">
        <f t="shared" si="77"/>
        <v>6.5535714285714279</v>
      </c>
      <c r="L544" s="48"/>
      <c r="M544" s="44">
        <f t="shared" si="78"/>
        <v>0</v>
      </c>
      <c r="N544" s="24" t="e">
        <v>#VALUE!</v>
      </c>
      <c r="O544" s="24" t="e">
        <v>#VALUE!</v>
      </c>
      <c r="P544" s="24" t="e">
        <v>#VALUE!</v>
      </c>
      <c r="Q544" s="24" t="e">
        <f t="shared" si="73"/>
        <v>#VALUE!</v>
      </c>
      <c r="R544" s="24" t="e">
        <f t="shared" si="74"/>
        <v>#VALUE!</v>
      </c>
      <c r="S544" s="24" t="e">
        <f t="shared" si="72"/>
        <v>#VALUE!</v>
      </c>
      <c r="T544" s="24" t="e">
        <f t="shared" si="75"/>
        <v>#VALUE!</v>
      </c>
      <c r="U544" s="8">
        <f t="shared" si="79"/>
        <v>1</v>
      </c>
      <c r="V544" s="8">
        <f t="shared" si="80"/>
        <v>1900</v>
      </c>
      <c r="W544" s="24">
        <v>1.1217454545454546</v>
      </c>
    </row>
    <row r="545" spans="1:23">
      <c r="A545" s="44"/>
      <c r="B545" s="49"/>
      <c r="C545" s="49"/>
      <c r="D545" s="49"/>
      <c r="E545" s="24">
        <f t="shared" si="81"/>
        <v>0</v>
      </c>
      <c r="F545" s="24">
        <f t="shared" si="82"/>
        <v>0</v>
      </c>
      <c r="G545" s="47">
        <v>3.62</v>
      </c>
      <c r="H545" s="24">
        <f t="shared" si="76"/>
        <v>3.62</v>
      </c>
      <c r="K545" s="48">
        <f t="shared" si="77"/>
        <v>6.4642857142857144</v>
      </c>
      <c r="L545" s="48"/>
      <c r="M545" s="44">
        <f t="shared" si="78"/>
        <v>0</v>
      </c>
      <c r="N545" s="24" t="e">
        <v>#VALUE!</v>
      </c>
      <c r="O545" s="24" t="e">
        <v>#VALUE!</v>
      </c>
      <c r="P545" s="24" t="e">
        <v>#VALUE!</v>
      </c>
      <c r="Q545" s="24" t="e">
        <f t="shared" si="73"/>
        <v>#VALUE!</v>
      </c>
      <c r="R545" s="24" t="e">
        <f t="shared" si="74"/>
        <v>#VALUE!</v>
      </c>
      <c r="S545" s="24" t="e">
        <f t="shared" si="72"/>
        <v>#VALUE!</v>
      </c>
      <c r="T545" s="24" t="e">
        <f t="shared" si="75"/>
        <v>#VALUE!</v>
      </c>
      <c r="U545" s="8">
        <f t="shared" si="79"/>
        <v>1</v>
      </c>
      <c r="V545" s="8">
        <f t="shared" si="80"/>
        <v>1900</v>
      </c>
      <c r="W545" s="24">
        <v>1.0734000000000001</v>
      </c>
    </row>
    <row r="546" spans="1:23">
      <c r="A546" s="44"/>
      <c r="B546" s="49"/>
      <c r="C546" s="49"/>
      <c r="D546" s="49"/>
      <c r="E546" s="24">
        <f t="shared" si="81"/>
        <v>0</v>
      </c>
      <c r="F546" s="24">
        <f t="shared" si="82"/>
        <v>0</v>
      </c>
      <c r="G546" s="47">
        <v>3.62</v>
      </c>
      <c r="H546" s="24">
        <f t="shared" si="76"/>
        <v>3.62</v>
      </c>
      <c r="K546" s="48">
        <f t="shared" si="77"/>
        <v>6.4642857142857144</v>
      </c>
      <c r="L546" s="48"/>
      <c r="M546" s="44">
        <f t="shared" si="78"/>
        <v>0</v>
      </c>
      <c r="N546" s="24" t="e">
        <v>#VALUE!</v>
      </c>
      <c r="O546" s="24" t="e">
        <v>#VALUE!</v>
      </c>
      <c r="P546" s="24" t="e">
        <v>#VALUE!</v>
      </c>
      <c r="Q546" s="24" t="e">
        <f t="shared" si="73"/>
        <v>#VALUE!</v>
      </c>
      <c r="R546" s="24" t="e">
        <f t="shared" si="74"/>
        <v>#VALUE!</v>
      </c>
      <c r="S546" s="24" t="e">
        <f t="shared" si="72"/>
        <v>#VALUE!</v>
      </c>
      <c r="T546" s="24" t="e">
        <f t="shared" si="75"/>
        <v>#VALUE!</v>
      </c>
      <c r="U546" s="8">
        <f t="shared" si="79"/>
        <v>1</v>
      </c>
      <c r="V546" s="8">
        <f t="shared" si="80"/>
        <v>1900</v>
      </c>
      <c r="W546" s="24">
        <v>1.0894409090909092</v>
      </c>
    </row>
    <row r="547" spans="1:23">
      <c r="A547" s="44"/>
      <c r="B547" s="49"/>
      <c r="C547" s="49"/>
      <c r="D547" s="49"/>
      <c r="E547" s="24">
        <f t="shared" si="81"/>
        <v>0</v>
      </c>
      <c r="F547" s="24">
        <f t="shared" si="82"/>
        <v>0</v>
      </c>
      <c r="G547" s="47">
        <v>3.55</v>
      </c>
      <c r="H547" s="24">
        <f t="shared" si="76"/>
        <v>3.55</v>
      </c>
      <c r="K547" s="48">
        <f t="shared" si="77"/>
        <v>6.3392857142857135</v>
      </c>
      <c r="L547" s="48"/>
      <c r="M547" s="44">
        <f t="shared" si="78"/>
        <v>0</v>
      </c>
      <c r="N547" s="24" t="e">
        <v>#VALUE!</v>
      </c>
      <c r="O547" s="24" t="e">
        <v>#VALUE!</v>
      </c>
      <c r="P547" s="24" t="e">
        <v>#VALUE!</v>
      </c>
      <c r="Q547" s="24" t="e">
        <f t="shared" si="73"/>
        <v>#VALUE!</v>
      </c>
      <c r="R547" s="24" t="e">
        <f t="shared" si="74"/>
        <v>#VALUE!</v>
      </c>
      <c r="S547" s="24" t="e">
        <f t="shared" ref="S547:S610" si="83">P547/39.3679/W547</f>
        <v>#VALUE!</v>
      </c>
      <c r="T547" s="24" t="e">
        <f t="shared" si="75"/>
        <v>#VALUE!</v>
      </c>
      <c r="U547" s="8">
        <f t="shared" si="79"/>
        <v>1</v>
      </c>
      <c r="V547" s="8">
        <f t="shared" si="80"/>
        <v>1900</v>
      </c>
      <c r="W547" s="24">
        <v>1.0864105263157893</v>
      </c>
    </row>
    <row r="548" spans="1:23">
      <c r="A548" s="44"/>
      <c r="B548" s="49"/>
      <c r="C548" s="49"/>
      <c r="D548" s="49"/>
      <c r="E548" s="24">
        <f t="shared" si="81"/>
        <v>0</v>
      </c>
      <c r="F548" s="24">
        <f t="shared" si="82"/>
        <v>0</v>
      </c>
      <c r="G548" s="47">
        <v>3.56</v>
      </c>
      <c r="H548" s="24">
        <f t="shared" si="76"/>
        <v>3.56</v>
      </c>
      <c r="K548" s="48">
        <f t="shared" si="77"/>
        <v>6.3571428571428568</v>
      </c>
      <c r="L548" s="48"/>
      <c r="M548" s="44">
        <f t="shared" si="78"/>
        <v>0</v>
      </c>
      <c r="N548" s="24" t="e">
        <v>#VALUE!</v>
      </c>
      <c r="O548" s="24" t="e">
        <v>#VALUE!</v>
      </c>
      <c r="P548" s="24" t="e">
        <v>#VALUE!</v>
      </c>
      <c r="Q548" s="24" t="e">
        <f t="shared" ref="Q548:Q611" si="84">N548-P548</f>
        <v>#VALUE!</v>
      </c>
      <c r="R548" s="24" t="e">
        <f t="shared" ref="R548:R611" si="85">O548-P548</f>
        <v>#VALUE!</v>
      </c>
      <c r="S548" s="24" t="e">
        <f t="shared" si="83"/>
        <v>#VALUE!</v>
      </c>
      <c r="T548" s="24" t="e">
        <f t="shared" ref="T548:T611" si="86">S548-D548</f>
        <v>#VALUE!</v>
      </c>
      <c r="U548" s="8">
        <f t="shared" si="79"/>
        <v>1</v>
      </c>
      <c r="V548" s="8">
        <f t="shared" si="80"/>
        <v>1900</v>
      </c>
      <c r="W548" s="24">
        <v>1.1100049999999999</v>
      </c>
    </row>
    <row r="549" spans="1:23">
      <c r="A549" s="44"/>
      <c r="B549" s="49"/>
      <c r="C549" s="49"/>
      <c r="D549" s="49"/>
      <c r="E549" s="24">
        <f t="shared" si="81"/>
        <v>0</v>
      </c>
      <c r="F549" s="24">
        <f t="shared" si="82"/>
        <v>0</v>
      </c>
      <c r="G549" s="47">
        <v>3.54</v>
      </c>
      <c r="H549" s="24">
        <f t="shared" si="76"/>
        <v>3.54</v>
      </c>
      <c r="K549" s="48">
        <f t="shared" si="77"/>
        <v>6.3214285714285712</v>
      </c>
      <c r="L549" s="48"/>
      <c r="M549" s="44">
        <f t="shared" si="78"/>
        <v>0</v>
      </c>
      <c r="N549" s="24" t="e">
        <v>#VALUE!</v>
      </c>
      <c r="O549" s="24" t="e">
        <v>#VALUE!</v>
      </c>
      <c r="P549" s="24" t="e">
        <v>#VALUE!</v>
      </c>
      <c r="Q549" s="24" t="e">
        <f t="shared" si="84"/>
        <v>#VALUE!</v>
      </c>
      <c r="R549" s="24" t="e">
        <f t="shared" si="85"/>
        <v>#VALUE!</v>
      </c>
      <c r="S549" s="24" t="e">
        <f t="shared" si="83"/>
        <v>#VALUE!</v>
      </c>
      <c r="T549" s="24" t="e">
        <f t="shared" si="86"/>
        <v>#VALUE!</v>
      </c>
      <c r="U549" s="8">
        <f t="shared" si="79"/>
        <v>1</v>
      </c>
      <c r="V549" s="8">
        <f t="shared" si="80"/>
        <v>1900</v>
      </c>
      <c r="W549" s="24">
        <v>1.1138772727272728</v>
      </c>
    </row>
    <row r="550" spans="1:23">
      <c r="A550" s="44"/>
      <c r="B550" s="49"/>
      <c r="C550" s="49"/>
      <c r="D550" s="49"/>
      <c r="E550" s="24">
        <f t="shared" si="81"/>
        <v>0</v>
      </c>
      <c r="F550" s="24">
        <f t="shared" si="82"/>
        <v>0</v>
      </c>
      <c r="G550" s="47">
        <v>3.61</v>
      </c>
      <c r="H550" s="24">
        <f t="shared" si="76"/>
        <v>3.61</v>
      </c>
      <c r="K550" s="48">
        <f t="shared" si="77"/>
        <v>6.4464285714285712</v>
      </c>
      <c r="L550" s="48"/>
      <c r="M550" s="44">
        <f t="shared" si="78"/>
        <v>0</v>
      </c>
      <c r="N550" s="24" t="e">
        <v>#VALUE!</v>
      </c>
      <c r="O550" s="24" t="e">
        <v>#VALUE!</v>
      </c>
      <c r="P550" s="24" t="e">
        <v>#VALUE!</v>
      </c>
      <c r="Q550" s="24" t="e">
        <f t="shared" si="84"/>
        <v>#VALUE!</v>
      </c>
      <c r="R550" s="24" t="e">
        <f t="shared" si="85"/>
        <v>#VALUE!</v>
      </c>
      <c r="S550" s="24" t="e">
        <f t="shared" si="83"/>
        <v>#VALUE!</v>
      </c>
      <c r="T550" s="24" t="e">
        <f t="shared" si="86"/>
        <v>#VALUE!</v>
      </c>
      <c r="U550" s="8">
        <f t="shared" si="79"/>
        <v>1</v>
      </c>
      <c r="V550" s="8">
        <f t="shared" si="80"/>
        <v>1900</v>
      </c>
      <c r="W550" s="24">
        <v>1.1338142857142859</v>
      </c>
    </row>
    <row r="551" spans="1:23">
      <c r="A551" s="44"/>
      <c r="B551" s="49"/>
      <c r="C551" s="49"/>
      <c r="D551" s="49"/>
      <c r="E551" s="24">
        <f t="shared" si="81"/>
        <v>0</v>
      </c>
      <c r="F551" s="24">
        <f t="shared" si="82"/>
        <v>0</v>
      </c>
      <c r="G551" s="47">
        <v>3.74</v>
      </c>
      <c r="H551" s="24">
        <f t="shared" si="76"/>
        <v>3.74</v>
      </c>
      <c r="K551" s="48">
        <f t="shared" si="77"/>
        <v>6.6785714285714297</v>
      </c>
      <c r="L551" s="48"/>
      <c r="M551" s="44">
        <f t="shared" si="78"/>
        <v>0</v>
      </c>
      <c r="N551" s="24" t="e">
        <v>#VALUE!</v>
      </c>
      <c r="O551" s="24" t="e">
        <v>#VALUE!</v>
      </c>
      <c r="P551" s="24" t="e">
        <v>#VALUE!</v>
      </c>
      <c r="Q551" s="24" t="e">
        <f t="shared" si="84"/>
        <v>#VALUE!</v>
      </c>
      <c r="R551" s="24" t="e">
        <f t="shared" si="85"/>
        <v>#VALUE!</v>
      </c>
      <c r="S551" s="24" t="e">
        <f t="shared" si="83"/>
        <v>#VALUE!</v>
      </c>
      <c r="T551" s="24" t="e">
        <f t="shared" si="86"/>
        <v>#VALUE!</v>
      </c>
      <c r="U551" s="8">
        <f t="shared" si="79"/>
        <v>1</v>
      </c>
      <c r="V551" s="8">
        <f t="shared" si="80"/>
        <v>1900</v>
      </c>
      <c r="W551" s="24">
        <v>1.1303761904761904</v>
      </c>
    </row>
    <row r="552" spans="1:23">
      <c r="A552" s="44"/>
      <c r="B552" s="49"/>
      <c r="C552" s="49"/>
      <c r="D552" s="49"/>
      <c r="E552" s="24">
        <f t="shared" si="81"/>
        <v>0</v>
      </c>
      <c r="F552" s="24">
        <f t="shared" si="82"/>
        <v>0</v>
      </c>
      <c r="G552" s="47">
        <v>3.91</v>
      </c>
      <c r="H552" s="24">
        <f t="shared" si="76"/>
        <v>3.91</v>
      </c>
      <c r="K552" s="48">
        <f t="shared" si="77"/>
        <v>6.9821428571428577</v>
      </c>
      <c r="L552" s="48"/>
      <c r="M552" s="44">
        <f t="shared" si="78"/>
        <v>0</v>
      </c>
      <c r="N552" s="24" t="e">
        <v>#VALUE!</v>
      </c>
      <c r="O552" s="24" t="e">
        <v>#VALUE!</v>
      </c>
      <c r="P552" s="24" t="e">
        <v>#VALUE!</v>
      </c>
      <c r="Q552" s="24" t="e">
        <f t="shared" si="84"/>
        <v>#VALUE!</v>
      </c>
      <c r="R552" s="24" t="e">
        <f t="shared" si="85"/>
        <v>#VALUE!</v>
      </c>
      <c r="S552" s="24" t="e">
        <f t="shared" si="83"/>
        <v>#VALUE!</v>
      </c>
      <c r="T552" s="24" t="e">
        <f t="shared" si="86"/>
        <v>#VALUE!</v>
      </c>
      <c r="U552" s="8">
        <f t="shared" si="79"/>
        <v>1</v>
      </c>
      <c r="V552" s="8">
        <f t="shared" si="80"/>
        <v>1900</v>
      </c>
      <c r="W552" s="24">
        <v>1.1239545454545454</v>
      </c>
    </row>
    <row r="553" spans="1:23">
      <c r="A553" s="44"/>
      <c r="B553" s="49"/>
      <c r="C553" s="49"/>
      <c r="D553" s="49"/>
      <c r="E553" s="24">
        <f t="shared" si="81"/>
        <v>0</v>
      </c>
      <c r="F553" s="24">
        <f t="shared" si="82"/>
        <v>0</v>
      </c>
      <c r="G553" s="47">
        <v>3.28</v>
      </c>
      <c r="H553" s="24">
        <f t="shared" si="76"/>
        <v>3.28</v>
      </c>
      <c r="K553" s="48">
        <f t="shared" si="77"/>
        <v>5.8571428571428568</v>
      </c>
      <c r="L553" s="48"/>
      <c r="M553" s="44">
        <f t="shared" si="78"/>
        <v>0</v>
      </c>
      <c r="N553" s="24" t="e">
        <v>#VALUE!</v>
      </c>
      <c r="O553" s="24" t="e">
        <v>#VALUE!</v>
      </c>
      <c r="P553" s="24" t="e">
        <v>#VALUE!</v>
      </c>
      <c r="Q553" s="24" t="e">
        <f t="shared" si="84"/>
        <v>#VALUE!</v>
      </c>
      <c r="R553" s="24" t="e">
        <f t="shared" si="85"/>
        <v>#VALUE!</v>
      </c>
      <c r="S553" s="24" t="e">
        <f t="shared" si="83"/>
        <v>#VALUE!</v>
      </c>
      <c r="T553" s="24" t="e">
        <f t="shared" si="86"/>
        <v>#VALUE!</v>
      </c>
      <c r="U553" s="8">
        <f t="shared" si="79"/>
        <v>1</v>
      </c>
      <c r="V553" s="8">
        <f t="shared" si="80"/>
        <v>1900</v>
      </c>
      <c r="W553" s="24">
        <v>1.105745</v>
      </c>
    </row>
    <row r="554" spans="1:23">
      <c r="A554" s="44"/>
      <c r="B554" s="49"/>
      <c r="C554" s="49"/>
      <c r="D554" s="49"/>
      <c r="E554" s="24">
        <f t="shared" si="81"/>
        <v>0</v>
      </c>
      <c r="F554" s="24">
        <f t="shared" si="82"/>
        <v>0</v>
      </c>
      <c r="G554" s="47">
        <v>3.09</v>
      </c>
      <c r="H554" s="24">
        <f t="shared" si="76"/>
        <v>3.09</v>
      </c>
      <c r="K554" s="48">
        <f t="shared" si="77"/>
        <v>5.5178571428571423</v>
      </c>
      <c r="L554" s="48"/>
      <c r="M554" s="44">
        <f t="shared" si="78"/>
        <v>0</v>
      </c>
      <c r="N554" s="24" t="e">
        <v>#VALUE!</v>
      </c>
      <c r="O554" s="24" t="e">
        <v>#VALUE!</v>
      </c>
      <c r="P554" s="24" t="e">
        <v>#VALUE!</v>
      </c>
      <c r="Q554" s="24" t="e">
        <f t="shared" si="84"/>
        <v>#VALUE!</v>
      </c>
      <c r="R554" s="24" t="e">
        <f t="shared" si="85"/>
        <v>#VALUE!</v>
      </c>
      <c r="S554" s="24" t="e">
        <f t="shared" si="83"/>
        <v>#VALUE!</v>
      </c>
      <c r="T554" s="24" t="e">
        <f t="shared" si="86"/>
        <v>#VALUE!</v>
      </c>
      <c r="U554" s="8">
        <f t="shared" si="79"/>
        <v>1</v>
      </c>
      <c r="V554" s="8">
        <f t="shared" si="80"/>
        <v>1900</v>
      </c>
      <c r="W554" s="24">
        <v>1.1203391304347827</v>
      </c>
    </row>
    <row r="555" spans="1:23">
      <c r="A555" s="44"/>
      <c r="B555" s="49"/>
      <c r="C555" s="49"/>
      <c r="D555" s="49"/>
      <c r="E555" s="24">
        <f t="shared" si="81"/>
        <v>0</v>
      </c>
      <c r="F555" s="24">
        <f t="shared" si="82"/>
        <v>0</v>
      </c>
      <c r="G555" s="47">
        <v>3.09</v>
      </c>
      <c r="H555" s="24">
        <f t="shared" si="76"/>
        <v>3.09</v>
      </c>
      <c r="K555" s="48">
        <f t="shared" si="77"/>
        <v>5.5178571428571423</v>
      </c>
      <c r="L555" s="48"/>
      <c r="M555" s="44">
        <f t="shared" si="78"/>
        <v>0</v>
      </c>
      <c r="N555" s="24" t="e">
        <v>#VALUE!</v>
      </c>
      <c r="O555" s="24" t="e">
        <v>#VALUE!</v>
      </c>
      <c r="P555" s="24" t="e">
        <v>#VALUE!</v>
      </c>
      <c r="Q555" s="24" t="e">
        <f t="shared" si="84"/>
        <v>#VALUE!</v>
      </c>
      <c r="R555" s="24" t="e">
        <f t="shared" si="85"/>
        <v>#VALUE!</v>
      </c>
      <c r="S555" s="24" t="e">
        <f t="shared" si="83"/>
        <v>#VALUE!</v>
      </c>
      <c r="T555" s="24" t="e">
        <f t="shared" si="86"/>
        <v>#VALUE!</v>
      </c>
      <c r="U555" s="8">
        <f t="shared" si="79"/>
        <v>1</v>
      </c>
      <c r="V555" s="8">
        <f t="shared" si="80"/>
        <v>1900</v>
      </c>
      <c r="W555" s="24">
        <v>1.1214047619047618</v>
      </c>
    </row>
    <row r="556" spans="1:23">
      <c r="A556" s="44"/>
      <c r="B556" s="49"/>
      <c r="C556" s="49"/>
      <c r="D556" s="49"/>
      <c r="E556" s="24">
        <f t="shared" si="81"/>
        <v>0</v>
      </c>
      <c r="F556" s="24">
        <f t="shared" si="82"/>
        <v>0</v>
      </c>
      <c r="G556" s="47">
        <v>3.27</v>
      </c>
      <c r="H556" s="24">
        <f t="shared" si="76"/>
        <v>3.27</v>
      </c>
      <c r="K556" s="48">
        <f t="shared" si="77"/>
        <v>5.8392857142857144</v>
      </c>
      <c r="L556" s="48"/>
      <c r="M556" s="44">
        <f t="shared" si="78"/>
        <v>0</v>
      </c>
      <c r="N556" s="24" t="e">
        <v>#VALUE!</v>
      </c>
      <c r="O556" s="24" t="e">
        <v>#VALUE!</v>
      </c>
      <c r="P556" s="24" t="e">
        <v>#VALUE!</v>
      </c>
      <c r="Q556" s="24" t="e">
        <f t="shared" si="84"/>
        <v>#VALUE!</v>
      </c>
      <c r="R556" s="24" t="e">
        <f t="shared" si="85"/>
        <v>#VALUE!</v>
      </c>
      <c r="S556" s="24" t="e">
        <f t="shared" si="83"/>
        <v>#VALUE!</v>
      </c>
      <c r="T556" s="24" t="e">
        <f t="shared" si="86"/>
        <v>#VALUE!</v>
      </c>
      <c r="U556" s="8">
        <f t="shared" si="79"/>
        <v>1</v>
      </c>
      <c r="V556" s="8">
        <f t="shared" si="80"/>
        <v>1900</v>
      </c>
      <c r="W556" s="24">
        <v>1.1022285714285716</v>
      </c>
    </row>
    <row r="557" spans="1:23">
      <c r="A557" s="44"/>
      <c r="B557" s="49"/>
      <c r="C557" s="49"/>
      <c r="D557" s="49"/>
      <c r="E557" s="24">
        <f t="shared" si="81"/>
        <v>0</v>
      </c>
      <c r="F557" s="24">
        <f t="shared" si="82"/>
        <v>0</v>
      </c>
      <c r="G557" s="47">
        <v>3.28</v>
      </c>
      <c r="H557" s="24">
        <f t="shared" si="76"/>
        <v>3.28</v>
      </c>
      <c r="K557" s="48">
        <f t="shared" si="77"/>
        <v>5.8571428571428568</v>
      </c>
      <c r="L557" s="48"/>
      <c r="M557" s="44">
        <f t="shared" si="78"/>
        <v>0</v>
      </c>
      <c r="N557" s="24" t="e">
        <v>#VALUE!</v>
      </c>
      <c r="O557" s="24" t="e">
        <v>#VALUE!</v>
      </c>
      <c r="P557" s="24" t="e">
        <v>#VALUE!</v>
      </c>
      <c r="Q557" s="24" t="e">
        <f t="shared" si="84"/>
        <v>#VALUE!</v>
      </c>
      <c r="R557" s="24" t="e">
        <f t="shared" si="85"/>
        <v>#VALUE!</v>
      </c>
      <c r="S557" s="24" t="e">
        <f t="shared" si="83"/>
        <v>#VALUE!</v>
      </c>
      <c r="T557" s="24" t="e">
        <f t="shared" si="86"/>
        <v>#VALUE!</v>
      </c>
      <c r="U557" s="8">
        <f t="shared" si="79"/>
        <v>1</v>
      </c>
      <c r="V557" s="8">
        <f t="shared" si="80"/>
        <v>1900</v>
      </c>
      <c r="W557" s="24">
        <v>1.0794238095238091</v>
      </c>
    </row>
    <row r="558" spans="1:23">
      <c r="A558" s="44"/>
      <c r="B558" s="49"/>
      <c r="C558" s="49"/>
      <c r="D558" s="49"/>
      <c r="E558" s="24">
        <f t="shared" si="81"/>
        <v>0</v>
      </c>
      <c r="F558" s="24">
        <f t="shared" si="82"/>
        <v>0</v>
      </c>
      <c r="G558" s="47">
        <v>3.34</v>
      </c>
      <c r="H558" s="24">
        <f t="shared" si="76"/>
        <v>3.34</v>
      </c>
      <c r="K558" s="48">
        <f t="shared" si="77"/>
        <v>5.9642857142857144</v>
      </c>
      <c r="L558" s="48"/>
      <c r="M558" s="44">
        <f t="shared" si="78"/>
        <v>0</v>
      </c>
      <c r="N558" s="24" t="e">
        <v>#VALUE!</v>
      </c>
      <c r="O558" s="24" t="e">
        <v>#VALUE!</v>
      </c>
      <c r="P558" s="24" t="e">
        <v>#VALUE!</v>
      </c>
      <c r="Q558" s="24" t="e">
        <f t="shared" si="84"/>
        <v>#VALUE!</v>
      </c>
      <c r="R558" s="24" t="e">
        <f t="shared" si="85"/>
        <v>#VALUE!</v>
      </c>
      <c r="S558" s="24" t="e">
        <f t="shared" si="83"/>
        <v>#VALUE!</v>
      </c>
      <c r="T558" s="24" t="e">
        <f t="shared" si="86"/>
        <v>#VALUE!</v>
      </c>
      <c r="U558" s="8">
        <f t="shared" si="79"/>
        <v>1</v>
      </c>
      <c r="V558" s="8">
        <f t="shared" si="80"/>
        <v>1900</v>
      </c>
      <c r="W558" s="24">
        <v>1.0540523809523814</v>
      </c>
    </row>
    <row r="559" spans="1:23">
      <c r="A559" s="44"/>
      <c r="B559" s="49"/>
      <c r="C559" s="49"/>
      <c r="D559" s="49"/>
      <c r="E559" s="24">
        <f t="shared" si="81"/>
        <v>0</v>
      </c>
      <c r="F559" s="24">
        <f t="shared" si="82"/>
        <v>0</v>
      </c>
      <c r="G559" s="47">
        <v>3.45</v>
      </c>
      <c r="H559" s="24">
        <f t="shared" si="76"/>
        <v>3.45</v>
      </c>
      <c r="K559" s="48">
        <f t="shared" si="77"/>
        <v>6.1607142857142865</v>
      </c>
      <c r="L559" s="48"/>
      <c r="M559" s="44">
        <f t="shared" si="78"/>
        <v>0</v>
      </c>
      <c r="N559" s="24" t="e">
        <v>#VALUE!</v>
      </c>
      <c r="O559" s="24" t="e">
        <v>#VALUE!</v>
      </c>
      <c r="P559" s="24" t="e">
        <v>#VALUE!</v>
      </c>
      <c r="Q559" s="24" t="e">
        <f t="shared" si="84"/>
        <v>#VALUE!</v>
      </c>
      <c r="R559" s="24" t="e">
        <f t="shared" si="85"/>
        <v>#VALUE!</v>
      </c>
      <c r="S559" s="24" t="e">
        <f t="shared" si="83"/>
        <v>#VALUE!</v>
      </c>
      <c r="T559" s="24" t="e">
        <f t="shared" si="86"/>
        <v>#VALUE!</v>
      </c>
      <c r="U559" s="8">
        <f t="shared" si="79"/>
        <v>1</v>
      </c>
      <c r="V559" s="8">
        <f t="shared" si="80"/>
        <v>1900</v>
      </c>
      <c r="W559" s="24">
        <v>1.063895</v>
      </c>
    </row>
    <row r="560" spans="1:23">
      <c r="A560" s="44"/>
      <c r="B560" s="49"/>
      <c r="C560" s="49"/>
      <c r="D560" s="49"/>
      <c r="E560" s="24">
        <f t="shared" si="81"/>
        <v>0</v>
      </c>
      <c r="F560" s="24">
        <f t="shared" si="82"/>
        <v>0</v>
      </c>
      <c r="G560" s="47">
        <v>3.51</v>
      </c>
      <c r="H560" s="24">
        <f t="shared" si="76"/>
        <v>3.51</v>
      </c>
      <c r="K560" s="48">
        <f t="shared" si="77"/>
        <v>6.2678571428571432</v>
      </c>
      <c r="L560" s="48"/>
      <c r="M560" s="44">
        <f t="shared" si="78"/>
        <v>0</v>
      </c>
      <c r="N560" s="24" t="e">
        <v>#VALUE!</v>
      </c>
      <c r="O560" s="24" t="e">
        <v>#VALUE!</v>
      </c>
      <c r="P560" s="24" t="e">
        <v>#VALUE!</v>
      </c>
      <c r="Q560" s="24" t="e">
        <f t="shared" si="84"/>
        <v>#VALUE!</v>
      </c>
      <c r="R560" s="24" t="e">
        <f t="shared" si="85"/>
        <v>#VALUE!</v>
      </c>
      <c r="S560" s="24" t="e">
        <f t="shared" si="83"/>
        <v>#VALUE!</v>
      </c>
      <c r="T560" s="24" t="e">
        <f t="shared" si="86"/>
        <v>#VALUE!</v>
      </c>
      <c r="U560" s="8">
        <f t="shared" si="79"/>
        <v>1</v>
      </c>
      <c r="V560" s="8">
        <f t="shared" si="80"/>
        <v>1900</v>
      </c>
      <c r="W560" s="24">
        <v>1.0640421052631581</v>
      </c>
    </row>
    <row r="561" spans="1:23">
      <c r="A561" s="44"/>
      <c r="B561" s="49"/>
      <c r="C561" s="49"/>
      <c r="D561" s="49"/>
      <c r="E561" s="24">
        <f t="shared" si="81"/>
        <v>0</v>
      </c>
      <c r="F561" s="24">
        <f t="shared" si="82"/>
        <v>0</v>
      </c>
      <c r="G561" s="47">
        <v>3.4</v>
      </c>
      <c r="H561" s="24">
        <f t="shared" si="76"/>
        <v>3.4</v>
      </c>
      <c r="K561" s="48">
        <f t="shared" si="77"/>
        <v>6.0714285714285712</v>
      </c>
      <c r="L561" s="48"/>
      <c r="M561" s="44">
        <f t="shared" si="78"/>
        <v>0</v>
      </c>
      <c r="N561" s="24" t="e">
        <v>#VALUE!</v>
      </c>
      <c r="O561" s="24" t="e">
        <v>#VALUE!</v>
      </c>
      <c r="P561" s="24" t="e">
        <v>#VALUE!</v>
      </c>
      <c r="Q561" s="24" t="e">
        <f t="shared" si="84"/>
        <v>#VALUE!</v>
      </c>
      <c r="R561" s="24" t="e">
        <f t="shared" si="85"/>
        <v>#VALUE!</v>
      </c>
      <c r="S561" s="24" t="e">
        <f t="shared" si="83"/>
        <v>#VALUE!</v>
      </c>
      <c r="T561" s="24" t="e">
        <f t="shared" si="86"/>
        <v>#VALUE!</v>
      </c>
      <c r="U561" s="8">
        <f t="shared" si="79"/>
        <v>1</v>
      </c>
      <c r="V561" s="8">
        <f t="shared" si="80"/>
        <v>1900</v>
      </c>
      <c r="W561" s="24">
        <v>1.0685521739130435</v>
      </c>
    </row>
    <row r="562" spans="1:23">
      <c r="A562" s="44"/>
      <c r="B562" s="49"/>
      <c r="C562" s="49"/>
      <c r="D562" s="49"/>
      <c r="E562" s="24">
        <f t="shared" si="81"/>
        <v>0</v>
      </c>
      <c r="F562" s="24">
        <f t="shared" si="82"/>
        <v>0</v>
      </c>
      <c r="G562" s="47">
        <v>3.41</v>
      </c>
      <c r="H562" s="24">
        <f t="shared" si="76"/>
        <v>3.41</v>
      </c>
      <c r="K562" s="48">
        <f t="shared" si="77"/>
        <v>6.0892857142857144</v>
      </c>
      <c r="L562" s="48"/>
      <c r="M562" s="44">
        <f t="shared" si="78"/>
        <v>0</v>
      </c>
      <c r="N562" s="24" t="e">
        <v>#VALUE!</v>
      </c>
      <c r="O562" s="24" t="e">
        <v>#VALUE!</v>
      </c>
      <c r="P562" s="24" t="e">
        <v>#VALUE!</v>
      </c>
      <c r="Q562" s="24" t="e">
        <f t="shared" si="84"/>
        <v>#VALUE!</v>
      </c>
      <c r="R562" s="24" t="e">
        <f t="shared" si="85"/>
        <v>#VALUE!</v>
      </c>
      <c r="S562" s="24" t="e">
        <f t="shared" si="83"/>
        <v>#VALUE!</v>
      </c>
      <c r="T562" s="24" t="e">
        <f t="shared" si="86"/>
        <v>#VALUE!</v>
      </c>
      <c r="U562" s="8">
        <f t="shared" si="79"/>
        <v>1</v>
      </c>
      <c r="V562" s="8">
        <f t="shared" si="80"/>
        <v>1900</v>
      </c>
      <c r="W562" s="24">
        <v>1.0720315789473684</v>
      </c>
    </row>
    <row r="563" spans="1:23">
      <c r="A563" s="44"/>
      <c r="B563" s="49"/>
      <c r="C563" s="49"/>
      <c r="D563" s="49"/>
      <c r="E563" s="24">
        <f t="shared" si="81"/>
        <v>0</v>
      </c>
      <c r="F563" s="24">
        <f t="shared" si="82"/>
        <v>0</v>
      </c>
      <c r="G563" s="47">
        <v>3.47</v>
      </c>
      <c r="H563" s="24">
        <f t="shared" ref="H563:H630" si="87">G563-D563</f>
        <v>3.47</v>
      </c>
      <c r="K563" s="48">
        <f t="shared" si="77"/>
        <v>6.1964285714285712</v>
      </c>
      <c r="L563" s="48"/>
      <c r="M563" s="44">
        <f t="shared" si="78"/>
        <v>0</v>
      </c>
      <c r="N563" s="24" t="e">
        <v>#VALUE!</v>
      </c>
      <c r="O563" s="24" t="e">
        <v>#VALUE!</v>
      </c>
      <c r="P563" s="24" t="e">
        <v>#VALUE!</v>
      </c>
      <c r="Q563" s="24" t="e">
        <f t="shared" si="84"/>
        <v>#VALUE!</v>
      </c>
      <c r="R563" s="24" t="e">
        <f t="shared" si="85"/>
        <v>#VALUE!</v>
      </c>
      <c r="S563" s="24" t="e">
        <f t="shared" si="83"/>
        <v>#VALUE!</v>
      </c>
      <c r="T563" s="24" t="e">
        <f t="shared" si="86"/>
        <v>#VALUE!</v>
      </c>
      <c r="U563" s="8">
        <f t="shared" si="79"/>
        <v>1</v>
      </c>
      <c r="V563" s="8">
        <f t="shared" si="80"/>
        <v>1900</v>
      </c>
      <c r="W563" s="24">
        <v>1.1050136363636367</v>
      </c>
    </row>
    <row r="564" spans="1:23">
      <c r="A564" s="44"/>
      <c r="B564" s="49"/>
      <c r="C564" s="49"/>
      <c r="D564" s="49"/>
      <c r="E564" s="24">
        <f t="shared" si="81"/>
        <v>0</v>
      </c>
      <c r="F564" s="24">
        <f t="shared" si="82"/>
        <v>0</v>
      </c>
      <c r="G564" s="47">
        <v>3.49</v>
      </c>
      <c r="H564" s="24">
        <f t="shared" si="87"/>
        <v>3.49</v>
      </c>
      <c r="K564" s="48">
        <f t="shared" si="77"/>
        <v>6.2321428571428577</v>
      </c>
      <c r="L564" s="48"/>
      <c r="M564" s="44">
        <f t="shared" si="78"/>
        <v>0</v>
      </c>
      <c r="N564" s="24" t="e">
        <v>#VALUE!</v>
      </c>
      <c r="O564" s="24" t="e">
        <v>#VALUE!</v>
      </c>
      <c r="P564" s="24" t="e">
        <v>#VALUE!</v>
      </c>
      <c r="Q564" s="24" t="e">
        <f t="shared" si="84"/>
        <v>#VALUE!</v>
      </c>
      <c r="R564" s="24" t="e">
        <f t="shared" si="85"/>
        <v>#VALUE!</v>
      </c>
      <c r="S564" s="24" t="e">
        <f t="shared" si="83"/>
        <v>#VALUE!</v>
      </c>
      <c r="T564" s="24" t="e">
        <f t="shared" si="86"/>
        <v>#VALUE!</v>
      </c>
      <c r="U564" s="8">
        <f t="shared" si="79"/>
        <v>1</v>
      </c>
      <c r="V564" s="8">
        <f t="shared" si="80"/>
        <v>1900</v>
      </c>
      <c r="W564" s="24">
        <v>1.1236045454545454</v>
      </c>
    </row>
    <row r="565" spans="1:23">
      <c r="A565" s="44"/>
      <c r="B565" s="49"/>
      <c r="C565" s="49"/>
      <c r="D565" s="49"/>
      <c r="E565" s="24">
        <f t="shared" si="81"/>
        <v>0</v>
      </c>
      <c r="F565" s="24">
        <f t="shared" si="82"/>
        <v>0</v>
      </c>
      <c r="G565" s="47">
        <v>3.51</v>
      </c>
      <c r="H565" s="24">
        <f t="shared" si="87"/>
        <v>3.51</v>
      </c>
      <c r="K565" s="48">
        <f t="shared" si="77"/>
        <v>6.2678571428571432</v>
      </c>
      <c r="L565" s="48"/>
      <c r="M565" s="44">
        <f t="shared" si="78"/>
        <v>0</v>
      </c>
      <c r="N565" s="24" t="e">
        <v>#VALUE!</v>
      </c>
      <c r="O565" s="24" t="e">
        <v>#VALUE!</v>
      </c>
      <c r="P565" s="24" t="e">
        <v>#VALUE!</v>
      </c>
      <c r="Q565" s="24" t="e">
        <f t="shared" si="84"/>
        <v>#VALUE!</v>
      </c>
      <c r="R565" s="24" t="e">
        <f t="shared" si="85"/>
        <v>#VALUE!</v>
      </c>
      <c r="S565" s="24" t="e">
        <f t="shared" si="83"/>
        <v>#VALUE!</v>
      </c>
      <c r="T565" s="24" t="e">
        <f t="shared" si="86"/>
        <v>#VALUE!</v>
      </c>
      <c r="U565" s="8">
        <f t="shared" si="79"/>
        <v>1</v>
      </c>
      <c r="V565" s="8">
        <f t="shared" si="80"/>
        <v>1900</v>
      </c>
      <c r="W565" s="24">
        <v>1.1539550000000001</v>
      </c>
    </row>
    <row r="566" spans="1:23">
      <c r="A566" s="44"/>
      <c r="B566" s="49"/>
      <c r="C566" s="49"/>
      <c r="D566" s="49"/>
      <c r="E566" s="24">
        <f t="shared" si="81"/>
        <v>0</v>
      </c>
      <c r="F566" s="24">
        <f t="shared" si="82"/>
        <v>0</v>
      </c>
      <c r="G566" s="47">
        <v>3.27</v>
      </c>
      <c r="H566" s="24">
        <f t="shared" si="87"/>
        <v>3.27</v>
      </c>
      <c r="K566" s="48">
        <f t="shared" si="77"/>
        <v>5.8392857142857144</v>
      </c>
      <c r="L566" s="48"/>
      <c r="M566" s="44">
        <f t="shared" si="78"/>
        <v>0</v>
      </c>
      <c r="N566" s="24" t="e">
        <v>#VALUE!</v>
      </c>
      <c r="O566" s="24" t="e">
        <v>#VALUE!</v>
      </c>
      <c r="P566" s="24" t="e">
        <v>#VALUE!</v>
      </c>
      <c r="Q566" s="24" t="e">
        <f t="shared" si="84"/>
        <v>#VALUE!</v>
      </c>
      <c r="R566" s="24" t="e">
        <f t="shared" si="85"/>
        <v>#VALUE!</v>
      </c>
      <c r="S566" s="24" t="e">
        <f t="shared" si="83"/>
        <v>#VALUE!</v>
      </c>
      <c r="T566" s="24" t="e">
        <f t="shared" si="86"/>
        <v>#VALUE!</v>
      </c>
      <c r="U566" s="8">
        <f t="shared" si="79"/>
        <v>1</v>
      </c>
      <c r="V566" s="8">
        <f t="shared" si="80"/>
        <v>1900</v>
      </c>
      <c r="W566" s="24">
        <v>1.1816521739130432</v>
      </c>
    </row>
    <row r="567" spans="1:23">
      <c r="A567" s="44"/>
      <c r="B567" s="49"/>
      <c r="C567" s="49"/>
      <c r="D567" s="49"/>
      <c r="E567" s="24">
        <f t="shared" si="81"/>
        <v>0</v>
      </c>
      <c r="F567" s="24">
        <f t="shared" si="82"/>
        <v>0</v>
      </c>
      <c r="G567" s="47">
        <v>3.15</v>
      </c>
      <c r="H567" s="24">
        <f t="shared" si="87"/>
        <v>3.15</v>
      </c>
      <c r="K567" s="48">
        <f t="shared" si="77"/>
        <v>5.625</v>
      </c>
      <c r="L567" s="48"/>
      <c r="M567" s="44">
        <f t="shared" si="78"/>
        <v>0</v>
      </c>
      <c r="N567" s="24" t="e">
        <v>#VALUE!</v>
      </c>
      <c r="O567" s="24" t="e">
        <v>#VALUE!</v>
      </c>
      <c r="P567" s="24" t="e">
        <v>#VALUE!</v>
      </c>
      <c r="Q567" s="24" t="e">
        <f t="shared" si="84"/>
        <v>#VALUE!</v>
      </c>
      <c r="R567" s="24" t="e">
        <f t="shared" si="85"/>
        <v>#VALUE!</v>
      </c>
      <c r="S567" s="24" t="e">
        <f t="shared" si="83"/>
        <v>#VALUE!</v>
      </c>
      <c r="T567" s="24" t="e">
        <f t="shared" si="86"/>
        <v>#VALUE!</v>
      </c>
      <c r="U567" s="8">
        <f t="shared" si="79"/>
        <v>1</v>
      </c>
      <c r="V567" s="8">
        <f t="shared" si="80"/>
        <v>1900</v>
      </c>
      <c r="W567" s="24">
        <v>1.1904999999999999</v>
      </c>
    </row>
    <row r="568" spans="1:23">
      <c r="A568" s="44"/>
      <c r="B568" s="49"/>
      <c r="C568" s="49"/>
      <c r="D568" s="49"/>
      <c r="E568" s="24">
        <f t="shared" si="81"/>
        <v>0</v>
      </c>
      <c r="F568" s="24">
        <f t="shared" si="82"/>
        <v>0</v>
      </c>
      <c r="G568" s="47">
        <v>3.15</v>
      </c>
      <c r="H568" s="24">
        <f t="shared" si="87"/>
        <v>3.15</v>
      </c>
      <c r="K568" s="48">
        <f t="shared" si="77"/>
        <v>5.625</v>
      </c>
      <c r="L568" s="48"/>
      <c r="M568" s="44">
        <f t="shared" si="78"/>
        <v>0</v>
      </c>
      <c r="N568" s="24" t="e">
        <v>#VALUE!</v>
      </c>
      <c r="O568" s="24" t="e">
        <v>#VALUE!</v>
      </c>
      <c r="P568" s="24" t="e">
        <v>#VALUE!</v>
      </c>
      <c r="Q568" s="24" t="e">
        <f t="shared" si="84"/>
        <v>#VALUE!</v>
      </c>
      <c r="R568" s="24" t="e">
        <f t="shared" si="85"/>
        <v>#VALUE!</v>
      </c>
      <c r="S568" s="24" t="e">
        <f t="shared" si="83"/>
        <v>#VALUE!</v>
      </c>
      <c r="T568" s="24" t="e">
        <f t="shared" si="86"/>
        <v>#VALUE!</v>
      </c>
      <c r="U568" s="8">
        <f t="shared" si="79"/>
        <v>1</v>
      </c>
      <c r="V568" s="8">
        <f t="shared" si="80"/>
        <v>1900</v>
      </c>
      <c r="W568" s="24">
        <v>1.1753499999999999</v>
      </c>
    </row>
    <row r="569" spans="1:23">
      <c r="A569" s="44"/>
      <c r="B569" s="49"/>
      <c r="C569" s="49"/>
      <c r="D569" s="49"/>
      <c r="E569" s="24">
        <f t="shared" si="81"/>
        <v>0</v>
      </c>
      <c r="F569" s="24">
        <f t="shared" si="82"/>
        <v>0</v>
      </c>
      <c r="G569" s="47">
        <v>3.14</v>
      </c>
      <c r="H569" s="24">
        <f t="shared" si="87"/>
        <v>3.14</v>
      </c>
      <c r="K569" s="48">
        <f t="shared" si="77"/>
        <v>5.6071428571428568</v>
      </c>
      <c r="L569" s="48"/>
      <c r="M569" s="44">
        <f t="shared" si="78"/>
        <v>0</v>
      </c>
      <c r="N569" s="24" t="e">
        <v>#VALUE!</v>
      </c>
      <c r="O569" s="24" t="e">
        <v>#VALUE!</v>
      </c>
      <c r="P569" s="24" t="e">
        <v>#VALUE!</v>
      </c>
      <c r="Q569" s="24" t="e">
        <f t="shared" si="84"/>
        <v>#VALUE!</v>
      </c>
      <c r="R569" s="24" t="e">
        <f t="shared" si="85"/>
        <v>#VALUE!</v>
      </c>
      <c r="S569" s="24" t="e">
        <f t="shared" si="83"/>
        <v>#VALUE!</v>
      </c>
      <c r="T569" s="24" t="e">
        <f t="shared" si="86"/>
        <v>#VALUE!</v>
      </c>
      <c r="U569" s="8">
        <f t="shared" si="79"/>
        <v>1</v>
      </c>
      <c r="V569" s="8">
        <f t="shared" si="80"/>
        <v>1900</v>
      </c>
      <c r="W569" s="24">
        <v>1.173747619047619</v>
      </c>
    </row>
    <row r="570" spans="1:23">
      <c r="A570" s="44"/>
      <c r="B570" s="24"/>
      <c r="C570" s="24"/>
      <c r="D570" s="24"/>
      <c r="E570" s="24">
        <f t="shared" si="81"/>
        <v>0</v>
      </c>
      <c r="F570" s="24">
        <f t="shared" si="82"/>
        <v>0</v>
      </c>
      <c r="G570" s="47">
        <v>3.21</v>
      </c>
      <c r="H570" s="24">
        <f t="shared" si="87"/>
        <v>3.21</v>
      </c>
      <c r="K570" s="48">
        <f t="shared" si="77"/>
        <v>5.7321428571428568</v>
      </c>
      <c r="L570" s="48"/>
      <c r="M570" s="44">
        <f t="shared" si="78"/>
        <v>0</v>
      </c>
      <c r="N570" s="24" t="e">
        <v>#VALUE!</v>
      </c>
      <c r="O570" s="24" t="e">
        <v>#VALUE!</v>
      </c>
      <c r="P570" s="24" t="e">
        <v>#VALUE!</v>
      </c>
      <c r="Q570" s="24" t="e">
        <f t="shared" si="84"/>
        <v>#VALUE!</v>
      </c>
      <c r="R570" s="24" t="e">
        <f t="shared" si="85"/>
        <v>#VALUE!</v>
      </c>
      <c r="S570" s="24" t="e">
        <f t="shared" si="83"/>
        <v>#VALUE!</v>
      </c>
      <c r="T570" s="24" t="e">
        <f t="shared" si="86"/>
        <v>#VALUE!</v>
      </c>
      <c r="U570" s="8">
        <f t="shared" si="79"/>
        <v>1</v>
      </c>
      <c r="V570" s="8">
        <f t="shared" si="80"/>
        <v>1900</v>
      </c>
      <c r="W570" s="24">
        <v>1.1833400000000001</v>
      </c>
    </row>
    <row r="571" spans="1:23">
      <c r="A571" s="44"/>
      <c r="B571" s="24"/>
      <c r="C571" s="24"/>
      <c r="D571" s="24"/>
      <c r="E571" s="24">
        <f t="shared" si="81"/>
        <v>0</v>
      </c>
      <c r="F571" s="24">
        <f t="shared" si="82"/>
        <v>0</v>
      </c>
      <c r="G571" s="47">
        <v>3.29</v>
      </c>
      <c r="H571" s="24">
        <f t="shared" si="87"/>
        <v>3.29</v>
      </c>
      <c r="K571" s="48">
        <f>G571/56*100</f>
        <v>5.875</v>
      </c>
      <c r="L571" s="48"/>
      <c r="M571" s="44">
        <f t="shared" si="78"/>
        <v>0</v>
      </c>
      <c r="N571" s="24" t="e">
        <v>#VALUE!</v>
      </c>
      <c r="O571" s="24" t="e">
        <v>#VALUE!</v>
      </c>
      <c r="P571" s="24" t="e">
        <v>#VALUE!</v>
      </c>
      <c r="Q571" s="24" t="e">
        <f t="shared" si="84"/>
        <v>#VALUE!</v>
      </c>
      <c r="R571" s="24" t="e">
        <f t="shared" si="85"/>
        <v>#VALUE!</v>
      </c>
      <c r="S571" s="24" t="e">
        <f t="shared" si="83"/>
        <v>#VALUE!</v>
      </c>
      <c r="T571" s="24" t="e">
        <f t="shared" si="86"/>
        <v>#VALUE!</v>
      </c>
      <c r="U571" s="8">
        <f t="shared" si="79"/>
        <v>1</v>
      </c>
      <c r="V571" s="8">
        <f t="shared" si="80"/>
        <v>1900</v>
      </c>
      <c r="W571" s="24">
        <v>1.2195380952380954</v>
      </c>
    </row>
    <row r="572" spans="1:23">
      <c r="A572" s="44"/>
      <c r="B572" s="50"/>
      <c r="C572" s="50"/>
      <c r="D572" s="50"/>
      <c r="E572" s="24">
        <f t="shared" si="81"/>
        <v>0</v>
      </c>
      <c r="F572" s="24">
        <f t="shared" si="82"/>
        <v>0</v>
      </c>
      <c r="G572" s="47">
        <v>3.38</v>
      </c>
      <c r="H572" s="24">
        <f t="shared" si="87"/>
        <v>3.38</v>
      </c>
      <c r="K572" s="48">
        <f t="shared" si="77"/>
        <v>6.0357142857142856</v>
      </c>
      <c r="L572" s="48"/>
      <c r="M572" s="44">
        <f t="shared" si="78"/>
        <v>0</v>
      </c>
      <c r="N572" s="24" t="e">
        <v>#VALUE!</v>
      </c>
      <c r="O572" s="24" t="e">
        <v>#VALUE!</v>
      </c>
      <c r="P572" s="24" t="e">
        <v>#VALUE!</v>
      </c>
      <c r="Q572" s="24" t="e">
        <f t="shared" si="84"/>
        <v>#VALUE!</v>
      </c>
      <c r="R572" s="24" t="e">
        <f t="shared" si="85"/>
        <v>#VALUE!</v>
      </c>
      <c r="S572" s="24" t="e">
        <f t="shared" si="83"/>
        <v>#VALUE!</v>
      </c>
      <c r="T572" s="24" t="e">
        <f t="shared" si="86"/>
        <v>#VALUE!</v>
      </c>
      <c r="U572" s="8">
        <f t="shared" si="79"/>
        <v>1</v>
      </c>
      <c r="V572" s="8">
        <f t="shared" si="80"/>
        <v>1900</v>
      </c>
      <c r="W572" s="24">
        <v>1.233836842105263</v>
      </c>
    </row>
    <row r="573" spans="1:23">
      <c r="A573" s="44"/>
      <c r="B573" s="50"/>
      <c r="C573" s="50"/>
      <c r="D573" s="50"/>
      <c r="E573" s="24">
        <f t="shared" si="81"/>
        <v>0</v>
      </c>
      <c r="F573" s="24">
        <f t="shared" si="82"/>
        <v>0</v>
      </c>
      <c r="G573" s="47">
        <v>3.51</v>
      </c>
      <c r="H573" s="24">
        <f t="shared" si="87"/>
        <v>3.51</v>
      </c>
      <c r="K573" s="48">
        <f t="shared" si="77"/>
        <v>6.2678571428571432</v>
      </c>
      <c r="L573" s="48"/>
      <c r="M573" s="44">
        <f t="shared" si="78"/>
        <v>0</v>
      </c>
      <c r="N573" s="24" t="e">
        <v>#VALUE!</v>
      </c>
      <c r="O573" s="24" t="e">
        <v>#VALUE!</v>
      </c>
      <c r="P573" s="24" t="e">
        <v>#VALUE!</v>
      </c>
      <c r="Q573" s="24" t="e">
        <f t="shared" si="84"/>
        <v>#VALUE!</v>
      </c>
      <c r="R573" s="24" t="e">
        <f t="shared" si="85"/>
        <v>#VALUE!</v>
      </c>
      <c r="S573" s="24" t="e">
        <f t="shared" si="83"/>
        <v>#VALUE!</v>
      </c>
      <c r="T573" s="24" t="e">
        <f t="shared" si="86"/>
        <v>#VALUE!</v>
      </c>
      <c r="U573" s="8">
        <f t="shared" si="79"/>
        <v>1</v>
      </c>
      <c r="V573" s="8">
        <f t="shared" si="80"/>
        <v>1900</v>
      </c>
      <c r="W573" s="24">
        <v>1.2335047619047619</v>
      </c>
    </row>
    <row r="574" spans="1:23">
      <c r="A574" s="44"/>
      <c r="B574" s="50"/>
      <c r="C574" s="50"/>
      <c r="D574" s="50"/>
      <c r="E574" s="24">
        <f t="shared" si="81"/>
        <v>0</v>
      </c>
      <c r="F574" s="24">
        <f t="shared" si="82"/>
        <v>0</v>
      </c>
      <c r="G574" s="47">
        <v>3.58</v>
      </c>
      <c r="H574" s="24">
        <f t="shared" si="87"/>
        <v>3.58</v>
      </c>
      <c r="K574" s="48">
        <f t="shared" si="77"/>
        <v>6.3928571428571432</v>
      </c>
      <c r="L574" s="48"/>
      <c r="M574" s="44">
        <f t="shared" si="78"/>
        <v>0</v>
      </c>
      <c r="N574" s="24" t="e">
        <v>#VALUE!</v>
      </c>
      <c r="O574" s="24" t="e">
        <v>#VALUE!</v>
      </c>
      <c r="P574" s="24" t="e">
        <v>#VALUE!</v>
      </c>
      <c r="Q574" s="24" t="e">
        <f t="shared" si="84"/>
        <v>#VALUE!</v>
      </c>
      <c r="R574" s="24" t="e">
        <f t="shared" si="85"/>
        <v>#VALUE!</v>
      </c>
      <c r="S574" s="24" t="e">
        <f t="shared" si="83"/>
        <v>#VALUE!</v>
      </c>
      <c r="T574" s="24" t="e">
        <f t="shared" si="86"/>
        <v>#VALUE!</v>
      </c>
      <c r="U574" s="8">
        <f t="shared" si="79"/>
        <v>1</v>
      </c>
      <c r="V574" s="8">
        <f t="shared" si="80"/>
        <v>1900</v>
      </c>
      <c r="W574" s="24">
        <v>1.2271857142857145</v>
      </c>
    </row>
    <row r="575" spans="1:23">
      <c r="A575" s="44"/>
      <c r="B575" s="50"/>
      <c r="C575" s="50"/>
      <c r="D575" s="50"/>
      <c r="E575" s="24">
        <f t="shared" si="81"/>
        <v>0</v>
      </c>
      <c r="F575" s="24">
        <f t="shared" si="82"/>
        <v>0</v>
      </c>
      <c r="G575" s="47">
        <v>3.68</v>
      </c>
      <c r="H575" s="24">
        <f t="shared" si="87"/>
        <v>3.68</v>
      </c>
      <c r="K575" s="48">
        <f t="shared" si="77"/>
        <v>6.5714285714285712</v>
      </c>
      <c r="L575" s="48"/>
      <c r="M575" s="44">
        <f t="shared" si="78"/>
        <v>0</v>
      </c>
      <c r="N575" s="24" t="e">
        <v>#VALUE!</v>
      </c>
      <c r="O575" s="24" t="e">
        <v>#VALUE!</v>
      </c>
      <c r="P575" s="24" t="e">
        <v>#VALUE!</v>
      </c>
      <c r="Q575" s="24" t="e">
        <f t="shared" si="84"/>
        <v>#VALUE!</v>
      </c>
      <c r="R575" s="24" t="e">
        <f t="shared" si="85"/>
        <v>#VALUE!</v>
      </c>
      <c r="S575" s="24" t="e">
        <f t="shared" si="83"/>
        <v>#VALUE!</v>
      </c>
      <c r="T575" s="24" t="e">
        <f t="shared" si="86"/>
        <v>#VALUE!</v>
      </c>
      <c r="U575" s="8">
        <f t="shared" si="79"/>
        <v>1</v>
      </c>
      <c r="V575" s="8">
        <f t="shared" si="80"/>
        <v>1900</v>
      </c>
      <c r="W575" s="24">
        <v>1.1819727272727272</v>
      </c>
    </row>
    <row r="576" spans="1:23">
      <c r="A576" s="44"/>
      <c r="B576" s="50"/>
      <c r="C576" s="50"/>
      <c r="D576" s="50"/>
      <c r="E576" s="24">
        <f t="shared" si="81"/>
        <v>0</v>
      </c>
      <c r="F576" s="24">
        <f t="shared" si="82"/>
        <v>0</v>
      </c>
      <c r="G576" s="47">
        <v>3.58</v>
      </c>
      <c r="H576" s="24">
        <f t="shared" si="87"/>
        <v>3.58</v>
      </c>
      <c r="K576" s="48">
        <f t="shared" ref="K576:K639" si="88">G576/56*100</f>
        <v>6.3928571428571432</v>
      </c>
      <c r="L576" s="48"/>
      <c r="M576" s="44">
        <f t="shared" si="78"/>
        <v>0</v>
      </c>
      <c r="N576" s="24" t="e">
        <v>#VALUE!</v>
      </c>
      <c r="O576" s="24" t="e">
        <v>#VALUE!</v>
      </c>
      <c r="P576" s="24" t="e">
        <v>#VALUE!</v>
      </c>
      <c r="Q576" s="24" t="e">
        <f t="shared" si="84"/>
        <v>#VALUE!</v>
      </c>
      <c r="R576" s="24" t="e">
        <f t="shared" si="85"/>
        <v>#VALUE!</v>
      </c>
      <c r="S576" s="24" t="e">
        <f t="shared" si="83"/>
        <v>#VALUE!</v>
      </c>
      <c r="T576" s="24" t="e">
        <f t="shared" si="86"/>
        <v>#VALUE!</v>
      </c>
      <c r="U576" s="8">
        <f t="shared" si="79"/>
        <v>1</v>
      </c>
      <c r="V576" s="8">
        <f t="shared" si="80"/>
        <v>1900</v>
      </c>
      <c r="W576" s="24">
        <v>1.1670666666666669</v>
      </c>
    </row>
    <row r="577" spans="1:23">
      <c r="A577" s="44"/>
      <c r="B577" s="24"/>
      <c r="C577" s="24"/>
      <c r="D577" s="24"/>
      <c r="E577" s="24">
        <f t="shared" si="81"/>
        <v>0</v>
      </c>
      <c r="F577" s="24">
        <f t="shared" si="82"/>
        <v>0</v>
      </c>
      <c r="G577" s="47">
        <v>3.47</v>
      </c>
      <c r="H577" s="24">
        <f t="shared" si="87"/>
        <v>3.47</v>
      </c>
      <c r="K577" s="48">
        <f t="shared" si="88"/>
        <v>6.1964285714285712</v>
      </c>
      <c r="L577" s="48"/>
      <c r="M577" s="44">
        <f t="shared" si="78"/>
        <v>0</v>
      </c>
      <c r="N577" s="24" t="e">
        <v>#VALUE!</v>
      </c>
      <c r="O577" s="24" t="e">
        <v>#VALUE!</v>
      </c>
      <c r="P577" s="24" t="e">
        <v>#VALUE!</v>
      </c>
      <c r="Q577" s="24" t="e">
        <f t="shared" si="84"/>
        <v>#VALUE!</v>
      </c>
      <c r="R577" s="24" t="e">
        <f t="shared" si="85"/>
        <v>#VALUE!</v>
      </c>
      <c r="S577" s="24" t="e">
        <f t="shared" si="83"/>
        <v>#VALUE!</v>
      </c>
      <c r="T577" s="24" t="e">
        <f t="shared" si="86"/>
        <v>#VALUE!</v>
      </c>
      <c r="U577" s="8">
        <f t="shared" si="79"/>
        <v>1</v>
      </c>
      <c r="V577" s="8">
        <f t="shared" si="80"/>
        <v>1900</v>
      </c>
      <c r="W577" s="24">
        <v>1.1686000000000001</v>
      </c>
    </row>
    <row r="578" spans="1:23">
      <c r="A578" s="44"/>
      <c r="B578" s="50"/>
      <c r="C578" s="50"/>
      <c r="D578" s="50"/>
      <c r="E578" s="24">
        <f t="shared" si="81"/>
        <v>0</v>
      </c>
      <c r="F578" s="24">
        <f t="shared" si="82"/>
        <v>0</v>
      </c>
      <c r="G578" s="47">
        <v>3.36</v>
      </c>
      <c r="H578" s="24">
        <f t="shared" si="87"/>
        <v>3.36</v>
      </c>
      <c r="K578" s="48">
        <f t="shared" si="88"/>
        <v>6</v>
      </c>
      <c r="L578" s="48"/>
      <c r="M578" s="44">
        <f t="shared" si="78"/>
        <v>0</v>
      </c>
      <c r="N578" s="24" t="e">
        <v>#VALUE!</v>
      </c>
      <c r="O578" s="24" t="e">
        <v>#VALUE!</v>
      </c>
      <c r="P578" s="24" t="e">
        <v>#VALUE!</v>
      </c>
      <c r="Q578" s="24" t="e">
        <f t="shared" si="84"/>
        <v>#VALUE!</v>
      </c>
      <c r="R578" s="24" t="e">
        <f t="shared" si="85"/>
        <v>#VALUE!</v>
      </c>
      <c r="S578" s="24" t="e">
        <f t="shared" si="83"/>
        <v>#VALUE!</v>
      </c>
      <c r="T578" s="24" t="e">
        <f t="shared" si="86"/>
        <v>#VALUE!</v>
      </c>
      <c r="U578" s="8">
        <f t="shared" si="79"/>
        <v>1</v>
      </c>
      <c r="V578" s="8">
        <f t="shared" si="80"/>
        <v>1900</v>
      </c>
      <c r="W578" s="24">
        <v>1.1545869565217393</v>
      </c>
    </row>
    <row r="579" spans="1:23">
      <c r="A579" s="44"/>
      <c r="B579" s="24"/>
      <c r="C579" s="24"/>
      <c r="D579" s="24"/>
      <c r="E579" s="24">
        <f t="shared" si="81"/>
        <v>0</v>
      </c>
      <c r="F579" s="24">
        <f t="shared" si="82"/>
        <v>0</v>
      </c>
      <c r="G579" s="47">
        <v>3.4</v>
      </c>
      <c r="H579" s="24">
        <f t="shared" si="87"/>
        <v>3.4</v>
      </c>
      <c r="I579" s="46">
        <v>3.12</v>
      </c>
      <c r="J579" s="24">
        <f>G579-I579</f>
        <v>0.2799999999999998</v>
      </c>
      <c r="K579" s="48">
        <f t="shared" si="88"/>
        <v>6.0714285714285712</v>
      </c>
      <c r="L579" s="48"/>
      <c r="M579" s="44">
        <f t="shared" ref="M579:M642" si="89">A579</f>
        <v>0</v>
      </c>
      <c r="N579" s="24" t="e">
        <v>#VALUE!</v>
      </c>
      <c r="O579" s="24" t="e">
        <v>#VALUE!</v>
      </c>
      <c r="P579" s="24" t="e">
        <v>#VALUE!</v>
      </c>
      <c r="Q579" s="24" t="e">
        <f t="shared" si="84"/>
        <v>#VALUE!</v>
      </c>
      <c r="R579" s="24" t="e">
        <f t="shared" si="85"/>
        <v>#VALUE!</v>
      </c>
      <c r="S579" s="24" t="e">
        <f t="shared" si="83"/>
        <v>#VALUE!</v>
      </c>
      <c r="T579" s="24" t="e">
        <f t="shared" si="86"/>
        <v>#VALUE!</v>
      </c>
      <c r="U579" s="8">
        <f t="shared" ref="U579:U642" si="90">MONTH(M579)</f>
        <v>1</v>
      </c>
      <c r="V579" s="8">
        <f t="shared" ref="V579:V642" si="91">YEAR(M579)</f>
        <v>1900</v>
      </c>
      <c r="W579" s="24">
        <v>1.166131578947369</v>
      </c>
    </row>
    <row r="580" spans="1:23">
      <c r="A580" s="44"/>
      <c r="B580" s="24"/>
      <c r="C580" s="24"/>
      <c r="D580" s="24"/>
      <c r="E580" s="24">
        <f t="shared" si="81"/>
        <v>0</v>
      </c>
      <c r="F580" s="24">
        <f t="shared" si="82"/>
        <v>0</v>
      </c>
      <c r="G580" s="47">
        <v>3.42</v>
      </c>
      <c r="H580" s="24">
        <f t="shared" si="87"/>
        <v>3.42</v>
      </c>
      <c r="I580" s="46">
        <v>3.28</v>
      </c>
      <c r="J580" s="24">
        <f t="shared" ref="J580:J643" si="92">G580-I580</f>
        <v>0.14000000000000012</v>
      </c>
      <c r="K580" s="48">
        <f t="shared" si="88"/>
        <v>6.1071428571428568</v>
      </c>
      <c r="L580" s="48"/>
      <c r="M580" s="44">
        <f t="shared" si="89"/>
        <v>0</v>
      </c>
      <c r="N580" s="24" t="e">
        <v>#VALUE!</v>
      </c>
      <c r="O580" s="24" t="e">
        <v>#VALUE!</v>
      </c>
      <c r="P580" s="24" t="e">
        <v>#VALUE!</v>
      </c>
      <c r="Q580" s="24" t="e">
        <f t="shared" si="84"/>
        <v>#VALUE!</v>
      </c>
      <c r="R580" s="24" t="e">
        <f t="shared" si="85"/>
        <v>#VALUE!</v>
      </c>
      <c r="S580" s="24" t="e">
        <f t="shared" si="83"/>
        <v>#VALUE!</v>
      </c>
      <c r="T580" s="24" t="e">
        <f t="shared" si="86"/>
        <v>#VALUE!</v>
      </c>
      <c r="U580" s="8">
        <f t="shared" si="90"/>
        <v>1</v>
      </c>
      <c r="V580" s="8">
        <f t="shared" si="91"/>
        <v>1900</v>
      </c>
      <c r="W580" s="24">
        <v>1.1479260869565215</v>
      </c>
    </row>
    <row r="581" spans="1:23">
      <c r="A581" s="44"/>
      <c r="B581" s="50"/>
      <c r="C581" s="50"/>
      <c r="D581" s="50"/>
      <c r="E581" s="24">
        <f t="shared" si="81"/>
        <v>0</v>
      </c>
      <c r="F581" s="24">
        <f t="shared" si="82"/>
        <v>0</v>
      </c>
      <c r="G581" s="47">
        <v>3.41</v>
      </c>
      <c r="H581" s="24">
        <f t="shared" si="87"/>
        <v>3.41</v>
      </c>
      <c r="I581" s="46">
        <v>3.36</v>
      </c>
      <c r="J581" s="24">
        <f t="shared" si="92"/>
        <v>5.0000000000000266E-2</v>
      </c>
      <c r="K581" s="48">
        <f t="shared" si="88"/>
        <v>6.0892857142857144</v>
      </c>
      <c r="L581" s="48"/>
      <c r="M581" s="44">
        <f t="shared" si="89"/>
        <v>0</v>
      </c>
      <c r="N581" s="24" t="e">
        <v>#VALUE!</v>
      </c>
      <c r="O581" s="24" t="e">
        <v>#VALUE!</v>
      </c>
      <c r="P581" s="24" t="e">
        <v>#VALUE!</v>
      </c>
      <c r="Q581" s="24" t="e">
        <f t="shared" si="84"/>
        <v>#VALUE!</v>
      </c>
      <c r="R581" s="24" t="e">
        <f t="shared" si="85"/>
        <v>#VALUE!</v>
      </c>
      <c r="S581" s="24" t="e">
        <f t="shared" si="83"/>
        <v>#VALUE!</v>
      </c>
      <c r="T581" s="24" t="e">
        <f t="shared" si="86"/>
        <v>#VALUE!</v>
      </c>
      <c r="U581" s="8">
        <f t="shared" si="90"/>
        <v>1</v>
      </c>
      <c r="V581" s="8">
        <f t="shared" si="91"/>
        <v>1900</v>
      </c>
      <c r="W581" s="24">
        <v>1.1358666666666668</v>
      </c>
    </row>
    <row r="582" spans="1:23">
      <c r="A582" s="44"/>
      <c r="B582" s="24"/>
      <c r="C582" s="24"/>
      <c r="D582" s="24"/>
      <c r="E582" s="24">
        <f t="shared" si="81"/>
        <v>0</v>
      </c>
      <c r="F582" s="24">
        <f t="shared" si="82"/>
        <v>0</v>
      </c>
      <c r="G582" s="47">
        <v>3.54</v>
      </c>
      <c r="H582" s="24">
        <f t="shared" si="87"/>
        <v>3.54</v>
      </c>
      <c r="I582" s="46">
        <v>3.53</v>
      </c>
      <c r="J582" s="24">
        <f t="shared" si="92"/>
        <v>1.0000000000000231E-2</v>
      </c>
      <c r="K582" s="48">
        <f t="shared" si="88"/>
        <v>6.3214285714285712</v>
      </c>
      <c r="L582" s="48"/>
      <c r="M582" s="44">
        <f t="shared" si="89"/>
        <v>0</v>
      </c>
      <c r="N582" s="24" t="e">
        <v>#VALUE!</v>
      </c>
      <c r="O582" s="24" t="e">
        <v>#VALUE!</v>
      </c>
      <c r="P582" s="24" t="e">
        <v>#VALUE!</v>
      </c>
      <c r="Q582" s="24" t="e">
        <f t="shared" si="84"/>
        <v>#VALUE!</v>
      </c>
      <c r="R582" s="24" t="e">
        <f t="shared" si="85"/>
        <v>#VALUE!</v>
      </c>
      <c r="S582" s="24" t="e">
        <f t="shared" si="83"/>
        <v>#VALUE!</v>
      </c>
      <c r="T582" s="24" t="e">
        <f t="shared" si="86"/>
        <v>#VALUE!</v>
      </c>
      <c r="U582" s="8">
        <f t="shared" si="90"/>
        <v>1</v>
      </c>
      <c r="V582" s="8">
        <f t="shared" si="91"/>
        <v>1900</v>
      </c>
      <c r="W582" s="24">
        <v>1.1373600000000001</v>
      </c>
    </row>
    <row r="583" spans="1:23">
      <c r="A583" s="44"/>
      <c r="B583" s="24"/>
      <c r="C583" s="24"/>
      <c r="D583" s="24"/>
      <c r="E583" s="24">
        <f t="shared" si="81"/>
        <v>0</v>
      </c>
      <c r="F583" s="24">
        <f t="shared" si="82"/>
        <v>0</v>
      </c>
      <c r="G583" s="47">
        <v>3.56</v>
      </c>
      <c r="H583" s="24">
        <f t="shared" si="87"/>
        <v>3.56</v>
      </c>
      <c r="I583" s="46">
        <v>3.53</v>
      </c>
      <c r="J583" s="24">
        <f t="shared" si="92"/>
        <v>3.0000000000000249E-2</v>
      </c>
      <c r="K583" s="48">
        <f t="shared" si="88"/>
        <v>6.3571428571428568</v>
      </c>
      <c r="L583" s="48"/>
      <c r="M583" s="44">
        <f t="shared" si="89"/>
        <v>0</v>
      </c>
      <c r="N583" s="24" t="e">
        <v>#VALUE!</v>
      </c>
      <c r="O583" s="24" t="e">
        <v>#VALUE!</v>
      </c>
      <c r="P583" s="24" t="e">
        <v>#VALUE!</v>
      </c>
      <c r="Q583" s="24" t="e">
        <f t="shared" si="84"/>
        <v>#VALUE!</v>
      </c>
      <c r="R583" s="24" t="e">
        <f t="shared" si="85"/>
        <v>#VALUE!</v>
      </c>
      <c r="S583" s="24" t="e">
        <f t="shared" si="83"/>
        <v>#VALUE!</v>
      </c>
      <c r="T583" s="24" t="e">
        <f t="shared" si="86"/>
        <v>#VALUE!</v>
      </c>
      <c r="U583" s="8">
        <f t="shared" si="90"/>
        <v>1</v>
      </c>
      <c r="V583" s="8">
        <f t="shared" si="91"/>
        <v>1900</v>
      </c>
      <c r="W583" s="24">
        <v>1.1420333333333335</v>
      </c>
    </row>
    <row r="584" spans="1:23">
      <c r="A584" s="44"/>
      <c r="B584" s="24"/>
      <c r="C584" s="24"/>
      <c r="D584" s="24"/>
      <c r="E584" s="24">
        <f t="shared" si="81"/>
        <v>0</v>
      </c>
      <c r="F584" s="24">
        <f t="shared" si="82"/>
        <v>0</v>
      </c>
      <c r="G584" s="47">
        <v>3.6</v>
      </c>
      <c r="H584" s="24">
        <f t="shared" si="87"/>
        <v>3.6</v>
      </c>
      <c r="I584" s="46">
        <v>3.5</v>
      </c>
      <c r="J584" s="24">
        <f t="shared" si="92"/>
        <v>0.10000000000000009</v>
      </c>
      <c r="K584" s="48">
        <f t="shared" si="88"/>
        <v>6.4285714285714297</v>
      </c>
      <c r="L584" s="48"/>
      <c r="M584" s="44">
        <f t="shared" si="89"/>
        <v>0</v>
      </c>
      <c r="N584" s="24" t="e">
        <v>#VALUE!</v>
      </c>
      <c r="O584" s="24" t="e">
        <v>#VALUE!</v>
      </c>
      <c r="P584" s="24" t="e">
        <v>#VALUE!</v>
      </c>
      <c r="Q584" s="24" t="e">
        <f t="shared" si="84"/>
        <v>#VALUE!</v>
      </c>
      <c r="R584" s="24" t="e">
        <f t="shared" si="85"/>
        <v>#VALUE!</v>
      </c>
      <c r="S584" s="24" t="e">
        <f t="shared" si="83"/>
        <v>#VALUE!</v>
      </c>
      <c r="T584" s="24" t="e">
        <f t="shared" si="86"/>
        <v>#VALUE!</v>
      </c>
      <c r="U584" s="8">
        <f t="shared" si="90"/>
        <v>1</v>
      </c>
      <c r="V584" s="8">
        <f t="shared" si="91"/>
        <v>1900</v>
      </c>
      <c r="W584" s="24">
        <v>1.1346222222222222</v>
      </c>
    </row>
    <row r="585" spans="1:23">
      <c r="A585" s="44"/>
      <c r="B585" s="24"/>
      <c r="C585" s="24"/>
      <c r="D585" s="24"/>
      <c r="E585" s="24">
        <f t="shared" si="81"/>
        <v>0</v>
      </c>
      <c r="F585" s="24">
        <f t="shared" si="82"/>
        <v>0</v>
      </c>
      <c r="G585" s="47">
        <v>3.61</v>
      </c>
      <c r="H585" s="24">
        <f t="shared" si="87"/>
        <v>3.61</v>
      </c>
      <c r="I585" s="46">
        <v>3.43</v>
      </c>
      <c r="J585" s="24">
        <f t="shared" si="92"/>
        <v>0.17999999999999972</v>
      </c>
      <c r="K585" s="48">
        <f t="shared" si="88"/>
        <v>6.4464285714285712</v>
      </c>
      <c r="L585" s="48"/>
      <c r="M585" s="44">
        <f t="shared" si="89"/>
        <v>0</v>
      </c>
      <c r="N585" s="24" t="e">
        <v>#VALUE!</v>
      </c>
      <c r="O585" s="24" t="e">
        <v>#VALUE!</v>
      </c>
      <c r="P585" s="24" t="e">
        <v>#VALUE!</v>
      </c>
      <c r="Q585" s="24" t="e">
        <f t="shared" si="84"/>
        <v>#VALUE!</v>
      </c>
      <c r="R585" s="24" t="e">
        <f t="shared" si="85"/>
        <v>#VALUE!</v>
      </c>
      <c r="S585" s="24" t="e">
        <f t="shared" si="83"/>
        <v>#VALUE!</v>
      </c>
      <c r="T585" s="24" t="e">
        <f t="shared" si="86"/>
        <v>#VALUE!</v>
      </c>
      <c r="U585" s="8">
        <f t="shared" si="90"/>
        <v>1</v>
      </c>
      <c r="V585" s="8">
        <f t="shared" si="91"/>
        <v>1900</v>
      </c>
      <c r="W585" s="24">
        <v>1.1298952380952383</v>
      </c>
    </row>
    <row r="586" spans="1:23">
      <c r="A586" s="44"/>
      <c r="B586" s="24"/>
      <c r="C586" s="24"/>
      <c r="D586" s="24"/>
      <c r="E586" s="24">
        <f t="shared" si="81"/>
        <v>0</v>
      </c>
      <c r="F586" s="24">
        <f t="shared" si="82"/>
        <v>0</v>
      </c>
      <c r="G586" s="47">
        <v>3.53</v>
      </c>
      <c r="H586" s="24">
        <f t="shared" si="87"/>
        <v>3.53</v>
      </c>
      <c r="I586" s="46">
        <v>3.37</v>
      </c>
      <c r="J586" s="24">
        <f t="shared" si="92"/>
        <v>0.1599999999999997</v>
      </c>
      <c r="K586" s="48">
        <f t="shared" si="88"/>
        <v>6.3035714285714279</v>
      </c>
      <c r="L586" s="48"/>
      <c r="M586" s="44">
        <f t="shared" si="89"/>
        <v>0</v>
      </c>
      <c r="N586" s="24" t="e">
        <v>#VALUE!</v>
      </c>
      <c r="O586" s="24" t="e">
        <v>#VALUE!</v>
      </c>
      <c r="P586" s="24" t="e">
        <v>#VALUE!</v>
      </c>
      <c r="Q586" s="24" t="e">
        <f t="shared" si="84"/>
        <v>#VALUE!</v>
      </c>
      <c r="R586" s="24" t="e">
        <f t="shared" si="85"/>
        <v>#VALUE!</v>
      </c>
      <c r="S586" s="24" t="e">
        <f t="shared" si="83"/>
        <v>#VALUE!</v>
      </c>
      <c r="T586" s="24" t="e">
        <f t="shared" si="86"/>
        <v>#VALUE!</v>
      </c>
      <c r="U586" s="8">
        <f t="shared" si="90"/>
        <v>1</v>
      </c>
      <c r="V586" s="8">
        <f t="shared" si="91"/>
        <v>1900</v>
      </c>
      <c r="W586" s="24">
        <v>1.1230714285714287</v>
      </c>
    </row>
    <row r="587" spans="1:23">
      <c r="A587" s="44"/>
      <c r="B587" s="24"/>
      <c r="C587" s="24"/>
      <c r="D587" s="24"/>
      <c r="E587" s="24">
        <f t="shared" ref="E587:E650" si="93">B587-D587</f>
        <v>0</v>
      </c>
      <c r="F587" s="24">
        <f t="shared" ref="F587:F650" si="94">C587-D587</f>
        <v>0</v>
      </c>
      <c r="G587" s="47">
        <v>3.63</v>
      </c>
      <c r="H587" s="24">
        <f t="shared" si="87"/>
        <v>3.63</v>
      </c>
      <c r="I587" s="46">
        <v>3.59</v>
      </c>
      <c r="J587" s="24">
        <f t="shared" si="92"/>
        <v>4.0000000000000036E-2</v>
      </c>
      <c r="K587" s="48">
        <f t="shared" si="88"/>
        <v>6.4821428571428568</v>
      </c>
      <c r="L587" s="48"/>
      <c r="M587" s="44">
        <f t="shared" si="89"/>
        <v>0</v>
      </c>
      <c r="N587" s="24" t="e">
        <v>#VALUE!</v>
      </c>
      <c r="O587" s="24" t="e">
        <v>#VALUE!</v>
      </c>
      <c r="P587" s="24" t="e">
        <v>#VALUE!</v>
      </c>
      <c r="Q587" s="24" t="e">
        <f t="shared" si="84"/>
        <v>#VALUE!</v>
      </c>
      <c r="R587" s="24" t="e">
        <f t="shared" si="85"/>
        <v>#VALUE!</v>
      </c>
      <c r="S587" s="24" t="e">
        <f t="shared" si="83"/>
        <v>#VALUE!</v>
      </c>
      <c r="T587" s="24" t="e">
        <f t="shared" si="86"/>
        <v>#VALUE!</v>
      </c>
      <c r="U587" s="8">
        <f t="shared" si="90"/>
        <v>1</v>
      </c>
      <c r="V587" s="8">
        <f t="shared" si="91"/>
        <v>1900</v>
      </c>
      <c r="W587" s="24">
        <v>1.1181954545454547</v>
      </c>
    </row>
    <row r="588" spans="1:23">
      <c r="A588" s="44"/>
      <c r="B588" s="24"/>
      <c r="C588" s="24"/>
      <c r="D588" s="24"/>
      <c r="E588" s="24">
        <f t="shared" si="93"/>
        <v>0</v>
      </c>
      <c r="F588" s="24">
        <f t="shared" si="94"/>
        <v>0</v>
      </c>
      <c r="G588" s="47">
        <v>3.98</v>
      </c>
      <c r="H588" s="24">
        <f t="shared" si="87"/>
        <v>3.98</v>
      </c>
      <c r="I588" s="46">
        <v>4.21</v>
      </c>
      <c r="J588" s="24">
        <f t="shared" si="92"/>
        <v>-0.22999999999999998</v>
      </c>
      <c r="K588" s="48">
        <f t="shared" si="88"/>
        <v>7.1071428571428577</v>
      </c>
      <c r="L588" s="48"/>
      <c r="M588" s="44">
        <f t="shared" si="89"/>
        <v>0</v>
      </c>
      <c r="N588" s="24" t="e">
        <v>#VALUE!</v>
      </c>
      <c r="O588" s="24" t="e">
        <v>#VALUE!</v>
      </c>
      <c r="P588" s="24" t="e">
        <v>#VALUE!</v>
      </c>
      <c r="Q588" s="24" t="e">
        <f t="shared" si="84"/>
        <v>#VALUE!</v>
      </c>
      <c r="R588" s="24" t="e">
        <f t="shared" si="85"/>
        <v>#VALUE!</v>
      </c>
      <c r="S588" s="24" t="e">
        <f t="shared" si="83"/>
        <v>#VALUE!</v>
      </c>
      <c r="T588" s="24" t="e">
        <f t="shared" si="86"/>
        <v>#VALUE!</v>
      </c>
      <c r="U588" s="8">
        <f t="shared" si="90"/>
        <v>1</v>
      </c>
      <c r="V588" s="8">
        <f t="shared" si="91"/>
        <v>1900</v>
      </c>
      <c r="W588" s="24">
        <v>1.1293950000000001</v>
      </c>
    </row>
    <row r="589" spans="1:23">
      <c r="A589" s="44"/>
      <c r="B589" s="24"/>
      <c r="C589" s="24"/>
      <c r="D589" s="24"/>
      <c r="E589" s="24">
        <f t="shared" si="93"/>
        <v>0</v>
      </c>
      <c r="F589" s="24">
        <f t="shared" si="94"/>
        <v>0</v>
      </c>
      <c r="G589" s="47">
        <v>4.16</v>
      </c>
      <c r="H589" s="24">
        <f t="shared" si="87"/>
        <v>4.16</v>
      </c>
      <c r="I589" s="46">
        <v>4.29</v>
      </c>
      <c r="J589" s="24">
        <f t="shared" si="92"/>
        <v>-0.12999999999999989</v>
      </c>
      <c r="K589" s="48">
        <f t="shared" si="88"/>
        <v>7.4285714285714288</v>
      </c>
      <c r="L589" s="48"/>
      <c r="M589" s="44">
        <f t="shared" si="89"/>
        <v>0</v>
      </c>
      <c r="N589" s="24" t="e">
        <v>#VALUE!</v>
      </c>
      <c r="O589" s="24" t="e">
        <v>#VALUE!</v>
      </c>
      <c r="P589" s="24" t="e">
        <v>#VALUE!</v>
      </c>
      <c r="Q589" s="24" t="e">
        <f t="shared" si="84"/>
        <v>#VALUE!</v>
      </c>
      <c r="R589" s="24" t="e">
        <f t="shared" si="85"/>
        <v>#VALUE!</v>
      </c>
      <c r="S589" s="24" t="e">
        <f t="shared" si="83"/>
        <v>#VALUE!</v>
      </c>
      <c r="T589" s="24" t="e">
        <f t="shared" si="86"/>
        <v>#VALUE!</v>
      </c>
      <c r="U589" s="8">
        <f t="shared" si="90"/>
        <v>1</v>
      </c>
      <c r="V589" s="8">
        <f t="shared" si="91"/>
        <v>1900</v>
      </c>
      <c r="W589" s="24">
        <v>1.1208272727272726</v>
      </c>
    </row>
    <row r="590" spans="1:23">
      <c r="A590" s="44"/>
      <c r="B590" s="24"/>
      <c r="C590" s="24"/>
      <c r="D590" s="24"/>
      <c r="E590" s="24">
        <f t="shared" si="93"/>
        <v>0</v>
      </c>
      <c r="F590" s="24">
        <f t="shared" si="94"/>
        <v>0</v>
      </c>
      <c r="G590" s="47">
        <v>3.93</v>
      </c>
      <c r="H590" s="24">
        <f t="shared" si="87"/>
        <v>3.93</v>
      </c>
      <c r="I590" s="46">
        <v>3.9449999999999998</v>
      </c>
      <c r="J590" s="24">
        <f t="shared" si="92"/>
        <v>-1.499999999999968E-2</v>
      </c>
      <c r="K590" s="48">
        <f t="shared" si="88"/>
        <v>7.0178571428571441</v>
      </c>
      <c r="L590" s="48"/>
      <c r="M590" s="44">
        <f t="shared" si="89"/>
        <v>0</v>
      </c>
      <c r="N590" s="24" t="e">
        <v>#VALUE!</v>
      </c>
      <c r="O590" s="24" t="e">
        <v>#VALUE!</v>
      </c>
      <c r="P590" s="24" t="e">
        <v>#VALUE!</v>
      </c>
      <c r="Q590" s="24" t="e">
        <f t="shared" si="84"/>
        <v>#VALUE!</v>
      </c>
      <c r="R590" s="24" t="e">
        <f t="shared" si="85"/>
        <v>#VALUE!</v>
      </c>
      <c r="S590" s="24" t="e">
        <f t="shared" si="83"/>
        <v>#VALUE!</v>
      </c>
      <c r="T590" s="24" t="e">
        <f t="shared" si="86"/>
        <v>#VALUE!</v>
      </c>
      <c r="U590" s="8">
        <f t="shared" si="90"/>
        <v>1</v>
      </c>
      <c r="V590" s="8">
        <f t="shared" si="91"/>
        <v>1900</v>
      </c>
      <c r="W590" s="24">
        <v>1.1121272727272726</v>
      </c>
    </row>
    <row r="591" spans="1:23">
      <c r="A591" s="44"/>
      <c r="B591" s="24"/>
      <c r="C591" s="24"/>
      <c r="D591" s="24"/>
      <c r="E591" s="24">
        <f t="shared" si="93"/>
        <v>0</v>
      </c>
      <c r="F591" s="24">
        <f t="shared" si="94"/>
        <v>0</v>
      </c>
      <c r="G591" s="47">
        <v>3.8</v>
      </c>
      <c r="H591" s="24">
        <f t="shared" si="87"/>
        <v>3.8</v>
      </c>
      <c r="I591" s="46">
        <v>3.55</v>
      </c>
      <c r="J591" s="24">
        <f t="shared" si="92"/>
        <v>0.25</v>
      </c>
      <c r="K591" s="48">
        <f t="shared" si="88"/>
        <v>6.7857142857142856</v>
      </c>
      <c r="L591" s="48"/>
      <c r="M591" s="44">
        <f t="shared" si="89"/>
        <v>0</v>
      </c>
      <c r="N591" s="24" t="e">
        <v>#VALUE!</v>
      </c>
      <c r="O591" s="24" t="e">
        <v>#VALUE!</v>
      </c>
      <c r="P591" s="24" t="e">
        <v>#VALUE!</v>
      </c>
      <c r="Q591" s="24" t="e">
        <f t="shared" si="84"/>
        <v>#VALUE!</v>
      </c>
      <c r="R591" s="24" t="e">
        <f t="shared" si="85"/>
        <v>#VALUE!</v>
      </c>
      <c r="S591" s="24" t="e">
        <f t="shared" si="83"/>
        <v>#VALUE!</v>
      </c>
      <c r="T591" s="24" t="e">
        <f t="shared" si="86"/>
        <v>#VALUE!</v>
      </c>
      <c r="U591" s="8">
        <f t="shared" si="90"/>
        <v>1</v>
      </c>
      <c r="V591" s="8">
        <f t="shared" si="91"/>
        <v>1900</v>
      </c>
      <c r="W591" s="24">
        <v>1.100805</v>
      </c>
    </row>
    <row r="592" spans="1:23">
      <c r="A592" s="44"/>
      <c r="B592" s="24"/>
      <c r="C592" s="24"/>
      <c r="D592" s="24"/>
      <c r="E592" s="24">
        <f t="shared" si="93"/>
        <v>0</v>
      </c>
      <c r="F592" s="24">
        <f t="shared" si="94"/>
        <v>0</v>
      </c>
      <c r="G592" s="47">
        <v>3.85</v>
      </c>
      <c r="H592" s="24">
        <f t="shared" si="87"/>
        <v>3.85</v>
      </c>
      <c r="I592" s="46">
        <v>3.79</v>
      </c>
      <c r="J592" s="24">
        <f t="shared" si="92"/>
        <v>6.0000000000000053E-2</v>
      </c>
      <c r="K592" s="48">
        <f t="shared" si="88"/>
        <v>6.8750000000000009</v>
      </c>
      <c r="L592" s="48"/>
      <c r="M592" s="44">
        <f t="shared" si="89"/>
        <v>0</v>
      </c>
      <c r="N592" s="24" t="e">
        <v>#VALUE!</v>
      </c>
      <c r="O592" s="24" t="e">
        <v>#VALUE!</v>
      </c>
      <c r="P592" s="24" t="e">
        <v>#VALUE!</v>
      </c>
      <c r="Q592" s="24" t="e">
        <f t="shared" si="84"/>
        <v>#VALUE!</v>
      </c>
      <c r="R592" s="24" t="e">
        <f t="shared" si="85"/>
        <v>#VALUE!</v>
      </c>
      <c r="S592" s="24" t="e">
        <f t="shared" si="83"/>
        <v>#VALUE!</v>
      </c>
      <c r="T592" s="24" t="e">
        <f t="shared" si="86"/>
        <v>#VALUE!</v>
      </c>
      <c r="U592" s="8">
        <f t="shared" si="90"/>
        <v>1</v>
      </c>
      <c r="V592" s="8">
        <f t="shared" si="91"/>
        <v>1900</v>
      </c>
      <c r="W592" s="24">
        <v>1.1055391304347824</v>
      </c>
    </row>
    <row r="593" spans="1:23">
      <c r="A593" s="44"/>
      <c r="B593" s="24"/>
      <c r="C593" s="24"/>
      <c r="D593" s="24"/>
      <c r="E593" s="24">
        <f t="shared" si="93"/>
        <v>0</v>
      </c>
      <c r="F593" s="24">
        <f t="shared" si="94"/>
        <v>0</v>
      </c>
      <c r="G593" s="47">
        <v>3.68</v>
      </c>
      <c r="H593" s="24">
        <f t="shared" si="87"/>
        <v>3.68</v>
      </c>
      <c r="I593" s="46">
        <v>3.66</v>
      </c>
      <c r="J593" s="24">
        <f t="shared" si="92"/>
        <v>2.0000000000000018E-2</v>
      </c>
      <c r="K593" s="48">
        <f t="shared" si="88"/>
        <v>6.5714285714285712</v>
      </c>
      <c r="L593" s="48"/>
      <c r="M593" s="44">
        <f t="shared" si="89"/>
        <v>0</v>
      </c>
      <c r="N593" s="24" t="e">
        <v>#VALUE!</v>
      </c>
      <c r="O593" s="24" t="e">
        <v>#VALUE!</v>
      </c>
      <c r="P593" s="24" t="e">
        <v>#VALUE!</v>
      </c>
      <c r="Q593" s="24" t="e">
        <f t="shared" si="84"/>
        <v>#VALUE!</v>
      </c>
      <c r="R593" s="24" t="e">
        <f t="shared" si="85"/>
        <v>#VALUE!</v>
      </c>
      <c r="S593" s="24" t="e">
        <f t="shared" si="83"/>
        <v>#VALUE!</v>
      </c>
      <c r="T593" s="24" t="e">
        <f t="shared" si="86"/>
        <v>#VALUE!</v>
      </c>
      <c r="U593" s="8">
        <f t="shared" si="90"/>
        <v>1</v>
      </c>
      <c r="V593" s="8">
        <f t="shared" si="91"/>
        <v>1900</v>
      </c>
      <c r="W593" s="24">
        <v>1.1047699999999998</v>
      </c>
    </row>
    <row r="594" spans="1:23">
      <c r="A594" s="44"/>
      <c r="B594" s="24"/>
      <c r="C594" s="24"/>
      <c r="D594" s="24"/>
      <c r="E594" s="24">
        <f t="shared" si="93"/>
        <v>0</v>
      </c>
      <c r="F594" s="24">
        <f t="shared" si="94"/>
        <v>0</v>
      </c>
      <c r="G594" s="47">
        <v>3.71</v>
      </c>
      <c r="H594" s="24">
        <f t="shared" si="87"/>
        <v>3.71</v>
      </c>
      <c r="I594" s="46">
        <v>3.73</v>
      </c>
      <c r="J594" s="24">
        <f t="shared" si="92"/>
        <v>-2.0000000000000018E-2</v>
      </c>
      <c r="K594" s="48">
        <f t="shared" si="88"/>
        <v>6.625</v>
      </c>
      <c r="L594" s="48"/>
      <c r="M594" s="44">
        <f t="shared" si="89"/>
        <v>0</v>
      </c>
      <c r="N594" s="24" t="e">
        <v>#VALUE!</v>
      </c>
      <c r="O594" s="24" t="e">
        <v>#VALUE!</v>
      </c>
      <c r="P594" s="24" t="e">
        <v>#VALUE!</v>
      </c>
      <c r="Q594" s="24" t="e">
        <f t="shared" si="84"/>
        <v>#VALUE!</v>
      </c>
      <c r="R594" s="24" t="e">
        <f t="shared" si="85"/>
        <v>#VALUE!</v>
      </c>
      <c r="S594" s="24" t="e">
        <f t="shared" si="83"/>
        <v>#VALUE!</v>
      </c>
      <c r="T594" s="24" t="e">
        <f t="shared" si="86"/>
        <v>#VALUE!</v>
      </c>
      <c r="U594" s="8">
        <f t="shared" si="90"/>
        <v>1</v>
      </c>
      <c r="V594" s="8">
        <f t="shared" si="91"/>
        <v>1900</v>
      </c>
      <c r="W594" s="24">
        <v>1.1112999999999997</v>
      </c>
    </row>
    <row r="595" spans="1:23">
      <c r="A595" s="44"/>
      <c r="B595" s="24"/>
      <c r="C595" s="24"/>
      <c r="D595" s="24"/>
      <c r="E595" s="24">
        <f t="shared" si="93"/>
        <v>0</v>
      </c>
      <c r="F595" s="24">
        <f t="shared" si="94"/>
        <v>0</v>
      </c>
      <c r="G595" s="47">
        <v>3.79</v>
      </c>
      <c r="H595" s="24">
        <f t="shared" si="87"/>
        <v>3.79</v>
      </c>
      <c r="I595" s="46">
        <v>3.82</v>
      </c>
      <c r="J595" s="24">
        <f t="shared" si="92"/>
        <v>-2.9999999999999805E-2</v>
      </c>
      <c r="K595" s="48">
        <f t="shared" si="88"/>
        <v>6.7678571428571432</v>
      </c>
      <c r="L595" s="48"/>
      <c r="M595" s="44">
        <f t="shared" si="89"/>
        <v>0</v>
      </c>
      <c r="N595" s="24" t="e">
        <v>#VALUE!</v>
      </c>
      <c r="O595" s="24" t="e">
        <v>#VALUE!</v>
      </c>
      <c r="P595" s="24" t="e">
        <v>#VALUE!</v>
      </c>
      <c r="Q595" s="24" t="e">
        <f t="shared" si="84"/>
        <v>#VALUE!</v>
      </c>
      <c r="R595" s="24" t="e">
        <f t="shared" si="85"/>
        <v>#VALUE!</v>
      </c>
      <c r="S595" s="24" t="e">
        <f t="shared" si="83"/>
        <v>#VALUE!</v>
      </c>
      <c r="T595" s="24" t="e">
        <f t="shared" si="86"/>
        <v>#VALUE!</v>
      </c>
      <c r="U595" s="8">
        <f t="shared" si="90"/>
        <v>1</v>
      </c>
      <c r="V595" s="8">
        <f t="shared" si="91"/>
        <v>1900</v>
      </c>
      <c r="W595" s="24">
        <v>1.1097523809523813</v>
      </c>
    </row>
    <row r="596" spans="1:23">
      <c r="A596" s="44"/>
      <c r="B596" s="24"/>
      <c r="C596" s="24"/>
      <c r="D596" s="24"/>
      <c r="E596" s="24">
        <f t="shared" si="93"/>
        <v>0</v>
      </c>
      <c r="F596" s="24">
        <f t="shared" si="94"/>
        <v>0</v>
      </c>
      <c r="G596" s="47">
        <v>3.78</v>
      </c>
      <c r="H596" s="24">
        <f t="shared" si="87"/>
        <v>3.78</v>
      </c>
      <c r="I596" s="46">
        <v>3.75</v>
      </c>
      <c r="J596" s="24">
        <f t="shared" si="92"/>
        <v>2.9999999999999805E-2</v>
      </c>
      <c r="K596" s="48">
        <f t="shared" si="88"/>
        <v>6.7499999999999991</v>
      </c>
      <c r="L596" s="48"/>
      <c r="M596" s="44">
        <f t="shared" si="89"/>
        <v>0</v>
      </c>
      <c r="N596" s="24" t="e">
        <v>#VALUE!</v>
      </c>
      <c r="O596" s="24" t="e">
        <v>#VALUE!</v>
      </c>
      <c r="P596" s="24" t="e">
        <v>#VALUE!</v>
      </c>
      <c r="Q596" s="24" t="e">
        <f t="shared" si="84"/>
        <v>#VALUE!</v>
      </c>
      <c r="R596" s="24" t="e">
        <f t="shared" si="85"/>
        <v>#VALUE!</v>
      </c>
      <c r="S596" s="24" t="e">
        <f t="shared" si="83"/>
        <v>#VALUE!</v>
      </c>
      <c r="T596" s="24" t="e">
        <f t="shared" si="86"/>
        <v>#VALUE!</v>
      </c>
      <c r="U596" s="8">
        <f t="shared" si="90"/>
        <v>1</v>
      </c>
      <c r="V596" s="8">
        <f t="shared" si="91"/>
        <v>1900</v>
      </c>
      <c r="W596" s="24">
        <v>1.090726315789474</v>
      </c>
    </row>
    <row r="597" spans="1:23">
      <c r="A597" s="44"/>
      <c r="B597" s="24"/>
      <c r="C597" s="24"/>
      <c r="D597" s="24"/>
      <c r="E597" s="24">
        <f t="shared" si="93"/>
        <v>0</v>
      </c>
      <c r="F597" s="24">
        <f t="shared" si="94"/>
        <v>0</v>
      </c>
      <c r="G597" s="47">
        <v>3.68</v>
      </c>
      <c r="H597" s="24">
        <f t="shared" si="87"/>
        <v>3.68</v>
      </c>
      <c r="I597" s="46">
        <v>3.51</v>
      </c>
      <c r="J597" s="24">
        <f t="shared" si="92"/>
        <v>0.17000000000000037</v>
      </c>
      <c r="K597" s="48">
        <f t="shared" si="88"/>
        <v>6.5714285714285712</v>
      </c>
      <c r="L597" s="48"/>
      <c r="M597" s="44">
        <f t="shared" si="89"/>
        <v>0</v>
      </c>
      <c r="N597" s="24" t="e">
        <v>#VALUE!</v>
      </c>
      <c r="O597" s="24" t="e">
        <v>#VALUE!</v>
      </c>
      <c r="P597" s="24" t="e">
        <v>#VALUE!</v>
      </c>
      <c r="Q597" s="24" t="e">
        <f t="shared" si="84"/>
        <v>#VALUE!</v>
      </c>
      <c r="R597" s="24" t="e">
        <f t="shared" si="85"/>
        <v>#VALUE!</v>
      </c>
      <c r="S597" s="24" t="e">
        <f t="shared" si="83"/>
        <v>#VALUE!</v>
      </c>
      <c r="T597" s="24" t="e">
        <f t="shared" si="86"/>
        <v>#VALUE!</v>
      </c>
      <c r="U597" s="8">
        <f t="shared" si="90"/>
        <v>1</v>
      </c>
      <c r="V597" s="8">
        <f t="shared" si="91"/>
        <v>1900</v>
      </c>
      <c r="W597" s="24">
        <v>1.1061227272727272</v>
      </c>
    </row>
    <row r="598" spans="1:23">
      <c r="A598" s="44"/>
      <c r="B598" s="24"/>
      <c r="C598" s="24"/>
      <c r="D598" s="24"/>
      <c r="E598" s="24">
        <f t="shared" si="93"/>
        <v>0</v>
      </c>
      <c r="F598" s="24">
        <f t="shared" si="94"/>
        <v>0</v>
      </c>
      <c r="G598" s="47">
        <v>3.29</v>
      </c>
      <c r="H598" s="24">
        <f t="shared" si="87"/>
        <v>3.29</v>
      </c>
      <c r="I598" s="46">
        <v>3.06</v>
      </c>
      <c r="J598" s="24">
        <f t="shared" si="92"/>
        <v>0.22999999999999998</v>
      </c>
      <c r="K598" s="48">
        <f t="shared" si="88"/>
        <v>5.875</v>
      </c>
      <c r="L598" s="48"/>
      <c r="M598" s="44">
        <f t="shared" si="89"/>
        <v>0</v>
      </c>
      <c r="N598" s="24" t="e">
        <v>#VALUE!</v>
      </c>
      <c r="O598" s="24" t="e">
        <v>#VALUE!</v>
      </c>
      <c r="P598" s="24" t="e">
        <v>#VALUE!</v>
      </c>
      <c r="Q598" s="24" t="e">
        <f t="shared" si="84"/>
        <v>#VALUE!</v>
      </c>
      <c r="R598" s="24" t="e">
        <f t="shared" si="85"/>
        <v>#VALUE!</v>
      </c>
      <c r="S598" s="24" t="e">
        <f t="shared" si="83"/>
        <v>#VALUE!</v>
      </c>
      <c r="T598" s="24" t="e">
        <f t="shared" si="86"/>
        <v>#VALUE!</v>
      </c>
      <c r="U598" s="8">
        <f t="shared" si="90"/>
        <v>1</v>
      </c>
      <c r="V598" s="8">
        <f t="shared" si="91"/>
        <v>1900</v>
      </c>
      <c r="W598" s="24">
        <v>1.0867095238095237</v>
      </c>
    </row>
    <row r="599" spans="1:23">
      <c r="A599" s="44"/>
      <c r="B599" s="24"/>
      <c r="C599" s="24"/>
      <c r="D599" s="24"/>
      <c r="E599" s="24">
        <f t="shared" si="93"/>
        <v>0</v>
      </c>
      <c r="F599" s="24">
        <f t="shared" si="94"/>
        <v>0</v>
      </c>
      <c r="G599" s="47">
        <v>3.2</v>
      </c>
      <c r="H599" s="24">
        <f t="shared" si="87"/>
        <v>3.2</v>
      </c>
      <c r="I599" s="46">
        <v>2.99</v>
      </c>
      <c r="J599" s="24">
        <f t="shared" si="92"/>
        <v>0.20999999999999996</v>
      </c>
      <c r="K599" s="48">
        <f t="shared" si="88"/>
        <v>5.7142857142857144</v>
      </c>
      <c r="L599" s="48"/>
      <c r="M599" s="44">
        <f t="shared" si="89"/>
        <v>0</v>
      </c>
      <c r="N599" s="24" t="e">
        <v>#VALUE!</v>
      </c>
      <c r="O599" s="24" t="e">
        <v>#VALUE!</v>
      </c>
      <c r="P599" s="24" t="e">
        <v>#VALUE!</v>
      </c>
      <c r="Q599" s="24" t="e">
        <f t="shared" si="84"/>
        <v>#VALUE!</v>
      </c>
      <c r="R599" s="24" t="e">
        <f t="shared" si="85"/>
        <v>#VALUE!</v>
      </c>
      <c r="S599" s="24" t="e">
        <f t="shared" si="83"/>
        <v>#VALUE!</v>
      </c>
      <c r="T599" s="24" t="e">
        <f t="shared" si="86"/>
        <v>#VALUE!</v>
      </c>
      <c r="U599" s="8">
        <f t="shared" si="90"/>
        <v>1</v>
      </c>
      <c r="V599" s="8">
        <f t="shared" si="91"/>
        <v>1900</v>
      </c>
      <c r="W599" s="24">
        <v>1.0904799999999999</v>
      </c>
    </row>
    <row r="600" spans="1:23">
      <c r="A600" s="44"/>
      <c r="B600" s="24"/>
      <c r="C600" s="24"/>
      <c r="D600" s="24"/>
      <c r="E600" s="24">
        <f t="shared" si="93"/>
        <v>0</v>
      </c>
      <c r="F600" s="24">
        <f t="shared" si="94"/>
        <v>0</v>
      </c>
      <c r="G600" s="47">
        <v>3.16</v>
      </c>
      <c r="H600" s="24">
        <f t="shared" si="87"/>
        <v>3.16</v>
      </c>
      <c r="I600" s="46">
        <v>3.13</v>
      </c>
      <c r="J600" s="24">
        <f t="shared" si="92"/>
        <v>3.0000000000000249E-2</v>
      </c>
      <c r="K600" s="48">
        <f t="shared" si="88"/>
        <v>5.6428571428571432</v>
      </c>
      <c r="L600" s="48"/>
      <c r="M600" s="44">
        <f t="shared" si="89"/>
        <v>0</v>
      </c>
      <c r="N600" s="24" t="e">
        <v>#VALUE!</v>
      </c>
      <c r="O600" s="24" t="e">
        <v>#VALUE!</v>
      </c>
      <c r="P600" s="24" t="e">
        <v>#VALUE!</v>
      </c>
      <c r="Q600" s="24" t="e">
        <f t="shared" si="84"/>
        <v>#VALUE!</v>
      </c>
      <c r="R600" s="24" t="e">
        <f t="shared" si="85"/>
        <v>#VALUE!</v>
      </c>
      <c r="S600" s="24" t="e">
        <f t="shared" si="83"/>
        <v>#VALUE!</v>
      </c>
      <c r="T600" s="24" t="e">
        <f t="shared" si="86"/>
        <v>#VALUE!</v>
      </c>
      <c r="U600" s="8">
        <f t="shared" si="90"/>
        <v>1</v>
      </c>
      <c r="V600" s="8">
        <f t="shared" si="91"/>
        <v>1900</v>
      </c>
      <c r="W600" s="24">
        <v>1.1255954545454547</v>
      </c>
    </row>
    <row r="601" spans="1:23">
      <c r="A601" s="44"/>
      <c r="B601" s="24"/>
      <c r="C601" s="24"/>
      <c r="D601" s="24"/>
      <c r="E601" s="24">
        <f t="shared" si="93"/>
        <v>0</v>
      </c>
      <c r="F601" s="24">
        <f t="shared" si="94"/>
        <v>0</v>
      </c>
      <c r="G601" s="47">
        <v>3.21</v>
      </c>
      <c r="H601" s="24">
        <f t="shared" si="87"/>
        <v>3.21</v>
      </c>
      <c r="I601" s="46">
        <v>3.2</v>
      </c>
      <c r="J601" s="24">
        <f t="shared" si="92"/>
        <v>9.9999999999997868E-3</v>
      </c>
      <c r="K601" s="48">
        <f t="shared" si="88"/>
        <v>5.7321428571428568</v>
      </c>
      <c r="L601" s="48"/>
      <c r="M601" s="44">
        <f t="shared" si="89"/>
        <v>0</v>
      </c>
      <c r="N601" s="24" t="e">
        <v>#VALUE!</v>
      </c>
      <c r="O601" s="24" t="e">
        <v>#VALUE!</v>
      </c>
      <c r="P601" s="24" t="e">
        <v>#VALUE!</v>
      </c>
      <c r="Q601" s="24" t="e">
        <f t="shared" si="84"/>
        <v>#VALUE!</v>
      </c>
      <c r="R601" s="24" t="e">
        <f t="shared" si="85"/>
        <v>#VALUE!</v>
      </c>
      <c r="S601" s="24" t="e">
        <f t="shared" si="83"/>
        <v>#VALUE!</v>
      </c>
      <c r="T601" s="24" t="e">
        <f t="shared" si="86"/>
        <v>#VALUE!</v>
      </c>
      <c r="U601" s="8">
        <f t="shared" si="90"/>
        <v>1</v>
      </c>
      <c r="V601" s="8">
        <f t="shared" si="91"/>
        <v>1900</v>
      </c>
      <c r="W601" s="24">
        <v>1.1481363636363633</v>
      </c>
    </row>
    <row r="602" spans="1:23">
      <c r="A602" s="44"/>
      <c r="B602" s="24"/>
      <c r="C602" s="24"/>
      <c r="D602" s="24"/>
      <c r="E602" s="24">
        <f t="shared" si="93"/>
        <v>0</v>
      </c>
      <c r="F602" s="24">
        <f t="shared" si="94"/>
        <v>0</v>
      </c>
      <c r="G602" s="47">
        <v>3.12</v>
      </c>
      <c r="H602" s="24">
        <f t="shared" si="87"/>
        <v>3.12</v>
      </c>
      <c r="I602" s="46">
        <v>3.29</v>
      </c>
      <c r="J602" s="24">
        <f t="shared" si="92"/>
        <v>-0.16999999999999993</v>
      </c>
      <c r="K602" s="48">
        <f t="shared" si="88"/>
        <v>5.5714285714285712</v>
      </c>
      <c r="L602" s="48"/>
      <c r="M602" s="44">
        <f t="shared" si="89"/>
        <v>0</v>
      </c>
      <c r="N602" s="24" t="e">
        <v>#VALUE!</v>
      </c>
      <c r="O602" s="24" t="e">
        <v>#VALUE!</v>
      </c>
      <c r="P602" s="24" t="e">
        <v>#VALUE!</v>
      </c>
      <c r="Q602" s="24" t="e">
        <f t="shared" si="84"/>
        <v>#VALUE!</v>
      </c>
      <c r="R602" s="24" t="e">
        <f t="shared" si="85"/>
        <v>#VALUE!</v>
      </c>
      <c r="S602" s="24" t="e">
        <f t="shared" si="83"/>
        <v>#VALUE!</v>
      </c>
      <c r="T602" s="24" t="e">
        <f t="shared" si="86"/>
        <v>#VALUE!</v>
      </c>
      <c r="U602" s="8">
        <f t="shared" si="90"/>
        <v>1</v>
      </c>
      <c r="V602" s="8">
        <f t="shared" si="91"/>
        <v>1900</v>
      </c>
      <c r="W602" s="24">
        <v>1.1828095238095235</v>
      </c>
    </row>
    <row r="603" spans="1:23">
      <c r="A603" s="44"/>
      <c r="B603" s="24"/>
      <c r="C603" s="24"/>
      <c r="D603" s="24"/>
      <c r="E603" s="24">
        <f t="shared" si="93"/>
        <v>0</v>
      </c>
      <c r="F603" s="24">
        <f t="shared" si="94"/>
        <v>0</v>
      </c>
      <c r="G603" s="47">
        <v>3.41</v>
      </c>
      <c r="H603" s="24">
        <f t="shared" si="87"/>
        <v>3.41</v>
      </c>
      <c r="I603" s="46">
        <v>3.62</v>
      </c>
      <c r="J603" s="24">
        <f t="shared" si="92"/>
        <v>-0.20999999999999996</v>
      </c>
      <c r="K603" s="48">
        <f t="shared" si="88"/>
        <v>6.0892857142857144</v>
      </c>
      <c r="L603" s="48"/>
      <c r="M603" s="44">
        <f t="shared" si="89"/>
        <v>0</v>
      </c>
      <c r="N603" s="24" t="e">
        <v>#VALUE!</v>
      </c>
      <c r="O603" s="24" t="e">
        <v>#VALUE!</v>
      </c>
      <c r="P603" s="24" t="e">
        <v>#VALUE!</v>
      </c>
      <c r="Q603" s="24" t="e">
        <f t="shared" si="84"/>
        <v>#VALUE!</v>
      </c>
      <c r="R603" s="24" t="e">
        <f t="shared" si="85"/>
        <v>#VALUE!</v>
      </c>
      <c r="S603" s="24" t="e">
        <f t="shared" si="83"/>
        <v>#VALUE!</v>
      </c>
      <c r="T603" s="24" t="e">
        <f t="shared" si="86"/>
        <v>#VALUE!</v>
      </c>
      <c r="U603" s="8">
        <f t="shared" si="90"/>
        <v>1</v>
      </c>
      <c r="V603" s="8">
        <f t="shared" si="91"/>
        <v>1900</v>
      </c>
      <c r="W603" s="24">
        <v>1.1785318181818183</v>
      </c>
    </row>
    <row r="604" spans="1:23">
      <c r="A604" s="44"/>
      <c r="B604" s="24"/>
      <c r="C604" s="24"/>
      <c r="D604" s="24"/>
      <c r="E604" s="24">
        <f t="shared" si="93"/>
        <v>0</v>
      </c>
      <c r="F604" s="24">
        <f t="shared" si="94"/>
        <v>0</v>
      </c>
      <c r="G604" s="47">
        <v>3.61</v>
      </c>
      <c r="H604" s="24">
        <f t="shared" si="87"/>
        <v>3.61</v>
      </c>
      <c r="I604" s="46">
        <v>3.97</v>
      </c>
      <c r="J604" s="24">
        <f t="shared" si="92"/>
        <v>-0.36000000000000032</v>
      </c>
      <c r="K604" s="48">
        <f t="shared" si="88"/>
        <v>6.4464285714285712</v>
      </c>
      <c r="L604" s="48"/>
      <c r="M604" s="44">
        <f t="shared" si="89"/>
        <v>0</v>
      </c>
      <c r="N604" s="24" t="e">
        <v>#VALUE!</v>
      </c>
      <c r="O604" s="24" t="e">
        <v>#VALUE!</v>
      </c>
      <c r="P604" s="24" t="e">
        <v>#VALUE!</v>
      </c>
      <c r="Q604" s="24" t="e">
        <f t="shared" si="84"/>
        <v>#VALUE!</v>
      </c>
      <c r="R604" s="24" t="e">
        <f t="shared" si="85"/>
        <v>#VALUE!</v>
      </c>
      <c r="S604" s="24" t="e">
        <f t="shared" si="83"/>
        <v>#VALUE!</v>
      </c>
      <c r="T604" s="24" t="e">
        <f t="shared" si="86"/>
        <v>#VALUE!</v>
      </c>
      <c r="U604" s="8">
        <f t="shared" si="90"/>
        <v>1</v>
      </c>
      <c r="V604" s="8">
        <f t="shared" si="91"/>
        <v>1900</v>
      </c>
      <c r="W604" s="24">
        <v>1.1765227272727274</v>
      </c>
    </row>
    <row r="605" spans="1:23">
      <c r="A605" s="44"/>
      <c r="B605" s="24"/>
      <c r="C605" s="24"/>
      <c r="D605" s="24"/>
      <c r="E605" s="24">
        <f t="shared" si="93"/>
        <v>0</v>
      </c>
      <c r="F605" s="24">
        <f t="shared" si="94"/>
        <v>0</v>
      </c>
      <c r="G605" s="47">
        <v>3.79</v>
      </c>
      <c r="H605" s="24">
        <f t="shared" si="87"/>
        <v>3.79</v>
      </c>
      <c r="I605" s="46">
        <v>4.22</v>
      </c>
      <c r="J605" s="24">
        <f t="shared" si="92"/>
        <v>-0.42999999999999972</v>
      </c>
      <c r="K605" s="48">
        <f t="shared" si="88"/>
        <v>6.7678571428571432</v>
      </c>
      <c r="L605" s="48"/>
      <c r="M605" s="44">
        <f t="shared" si="89"/>
        <v>0</v>
      </c>
      <c r="N605" s="24" t="e">
        <v>#VALUE!</v>
      </c>
      <c r="O605" s="24" t="e">
        <v>#VALUE!</v>
      </c>
      <c r="P605" s="24" t="e">
        <v>#VALUE!</v>
      </c>
      <c r="Q605" s="24" t="e">
        <f t="shared" si="84"/>
        <v>#VALUE!</v>
      </c>
      <c r="R605" s="24" t="e">
        <f t="shared" si="85"/>
        <v>#VALUE!</v>
      </c>
      <c r="S605" s="24" t="e">
        <f t="shared" si="83"/>
        <v>#VALUE!</v>
      </c>
      <c r="T605" s="24" t="e">
        <f t="shared" si="86"/>
        <v>#VALUE!</v>
      </c>
      <c r="U605" s="8">
        <f t="shared" si="90"/>
        <v>1</v>
      </c>
      <c r="V605" s="8">
        <f t="shared" si="91"/>
        <v>1900</v>
      </c>
      <c r="W605" s="24">
        <v>1.1835333333333335</v>
      </c>
    </row>
    <row r="606" spans="1:23">
      <c r="A606" s="44"/>
      <c r="B606" s="24"/>
      <c r="C606" s="24"/>
      <c r="D606" s="24"/>
      <c r="E606" s="24">
        <f t="shared" si="93"/>
        <v>0</v>
      </c>
      <c r="F606" s="24">
        <f t="shared" si="94"/>
        <v>0</v>
      </c>
      <c r="G606" s="47">
        <v>3.97</v>
      </c>
      <c r="H606" s="24">
        <f t="shared" si="87"/>
        <v>3.97</v>
      </c>
      <c r="I606" s="46">
        <v>4.45</v>
      </c>
      <c r="J606" s="24">
        <f t="shared" si="92"/>
        <v>-0.48</v>
      </c>
      <c r="K606" s="48">
        <f t="shared" si="88"/>
        <v>7.0892857142857144</v>
      </c>
      <c r="L606" s="48"/>
      <c r="M606" s="44">
        <f t="shared" si="89"/>
        <v>0</v>
      </c>
      <c r="N606" s="24" t="e">
        <v>#VALUE!</v>
      </c>
      <c r="O606" s="24" t="e">
        <v>#VALUE!</v>
      </c>
      <c r="P606" s="24" t="e">
        <v>#VALUE!</v>
      </c>
      <c r="Q606" s="24" t="e">
        <f t="shared" si="84"/>
        <v>#VALUE!</v>
      </c>
      <c r="R606" s="24" t="e">
        <f t="shared" si="85"/>
        <v>#VALUE!</v>
      </c>
      <c r="S606" s="24" t="e">
        <f t="shared" si="83"/>
        <v>#VALUE!</v>
      </c>
      <c r="T606" s="24" t="e">
        <f t="shared" si="86"/>
        <v>#VALUE!</v>
      </c>
      <c r="U606" s="8">
        <f t="shared" si="90"/>
        <v>1</v>
      </c>
      <c r="V606" s="8">
        <f t="shared" si="91"/>
        <v>1900</v>
      </c>
      <c r="W606" s="24">
        <v>1.2171347826086956</v>
      </c>
    </row>
    <row r="607" spans="1:23">
      <c r="A607" s="44"/>
      <c r="B607" s="24"/>
      <c r="C607" s="24"/>
      <c r="D607" s="24"/>
      <c r="E607" s="24">
        <f t="shared" si="93"/>
        <v>0</v>
      </c>
      <c r="F607" s="24">
        <f t="shared" si="94"/>
        <v>0</v>
      </c>
      <c r="G607" s="47">
        <v>4.24</v>
      </c>
      <c r="H607" s="24">
        <f t="shared" si="87"/>
        <v>4.24</v>
      </c>
      <c r="I607" s="46">
        <v>5.23</v>
      </c>
      <c r="J607" s="24">
        <f t="shared" si="92"/>
        <v>-0.99000000000000021</v>
      </c>
      <c r="K607" s="48">
        <f t="shared" si="88"/>
        <v>7.5714285714285721</v>
      </c>
      <c r="L607" s="48"/>
      <c r="M607" s="44">
        <f t="shared" si="89"/>
        <v>0</v>
      </c>
      <c r="N607" s="24" t="e">
        <v>#VALUE!</v>
      </c>
      <c r="O607" s="24" t="e">
        <v>#VALUE!</v>
      </c>
      <c r="P607" s="24" t="e">
        <v>#VALUE!</v>
      </c>
      <c r="Q607" s="24" t="e">
        <f t="shared" si="84"/>
        <v>#VALUE!</v>
      </c>
      <c r="R607" s="24" t="e">
        <f t="shared" si="85"/>
        <v>#VALUE!</v>
      </c>
      <c r="S607" s="24" t="e">
        <f t="shared" si="83"/>
        <v>#VALUE!</v>
      </c>
      <c r="T607" s="24" t="e">
        <f t="shared" si="86"/>
        <v>#VALUE!</v>
      </c>
      <c r="U607" s="8">
        <f t="shared" si="90"/>
        <v>1</v>
      </c>
      <c r="V607" s="8">
        <f t="shared" si="91"/>
        <v>1900</v>
      </c>
      <c r="W607" s="24">
        <v>1.2163526315789475</v>
      </c>
    </row>
    <row r="608" spans="1:23">
      <c r="A608" s="44"/>
      <c r="B608" s="24"/>
      <c r="C608" s="24"/>
      <c r="D608" s="24"/>
      <c r="E608" s="24">
        <f t="shared" si="93"/>
        <v>0</v>
      </c>
      <c r="F608" s="24">
        <f t="shared" si="94"/>
        <v>0</v>
      </c>
      <c r="G608" s="47">
        <v>4.75</v>
      </c>
      <c r="H608" s="24">
        <f t="shared" si="87"/>
        <v>4.75</v>
      </c>
      <c r="I608" s="46">
        <v>5.56</v>
      </c>
      <c r="J608" s="24">
        <f t="shared" si="92"/>
        <v>-0.80999999999999961</v>
      </c>
      <c r="K608" s="48">
        <f t="shared" si="88"/>
        <v>8.4821428571428577</v>
      </c>
      <c r="L608" s="48"/>
      <c r="M608" s="44">
        <f t="shared" si="89"/>
        <v>0</v>
      </c>
      <c r="N608" s="24" t="e">
        <v>#VALUE!</v>
      </c>
      <c r="O608" s="24" t="e">
        <v>#VALUE!</v>
      </c>
      <c r="P608" s="24" t="e">
        <v>#VALUE!</v>
      </c>
      <c r="Q608" s="24" t="e">
        <f t="shared" si="84"/>
        <v>#VALUE!</v>
      </c>
      <c r="R608" s="24" t="e">
        <f t="shared" si="85"/>
        <v>#VALUE!</v>
      </c>
      <c r="S608" s="24" t="e">
        <f t="shared" si="83"/>
        <v>#VALUE!</v>
      </c>
      <c r="T608" s="24" t="e">
        <f t="shared" si="86"/>
        <v>#VALUE!</v>
      </c>
      <c r="U608" s="8">
        <f t="shared" si="90"/>
        <v>1</v>
      </c>
      <c r="V608" s="8">
        <f t="shared" si="91"/>
        <v>1900</v>
      </c>
      <c r="W608" s="24">
        <v>1.2092750000000001</v>
      </c>
    </row>
    <row r="609" spans="1:23">
      <c r="A609" s="44"/>
      <c r="B609" s="24"/>
      <c r="C609" s="24"/>
      <c r="D609" s="24"/>
      <c r="E609" s="24">
        <f t="shared" si="93"/>
        <v>0</v>
      </c>
      <c r="F609" s="24">
        <f t="shared" si="94"/>
        <v>0</v>
      </c>
      <c r="G609" s="47">
        <v>4.8899999999999997</v>
      </c>
      <c r="H609" s="24">
        <f t="shared" si="87"/>
        <v>4.8899999999999997</v>
      </c>
      <c r="I609" s="46">
        <v>5.56</v>
      </c>
      <c r="J609" s="24">
        <f t="shared" si="92"/>
        <v>-0.66999999999999993</v>
      </c>
      <c r="K609" s="48">
        <f t="shared" si="88"/>
        <v>8.7321428571428559</v>
      </c>
      <c r="L609" s="48"/>
      <c r="M609" s="44">
        <f t="shared" si="89"/>
        <v>0</v>
      </c>
      <c r="N609" s="24" t="e">
        <v>#VALUE!</v>
      </c>
      <c r="O609" s="24" t="e">
        <v>#VALUE!</v>
      </c>
      <c r="P609" s="24" t="e">
        <v>#VALUE!</v>
      </c>
      <c r="Q609" s="24" t="e">
        <f t="shared" si="84"/>
        <v>#VALUE!</v>
      </c>
      <c r="R609" s="24" t="e">
        <f t="shared" si="85"/>
        <v>#VALUE!</v>
      </c>
      <c r="S609" s="24" t="e">
        <f t="shared" si="83"/>
        <v>#VALUE!</v>
      </c>
      <c r="T609" s="24" t="e">
        <f t="shared" si="86"/>
        <v>#VALUE!</v>
      </c>
      <c r="U609" s="8">
        <f t="shared" si="90"/>
        <v>1</v>
      </c>
      <c r="V609" s="8">
        <f t="shared" si="91"/>
        <v>1900</v>
      </c>
      <c r="W609" s="24">
        <v>1.1898391304347826</v>
      </c>
    </row>
    <row r="610" spans="1:23">
      <c r="A610" s="44"/>
      <c r="B610" s="24"/>
      <c r="C610" s="24"/>
      <c r="D610" s="24"/>
      <c r="E610" s="24">
        <f t="shared" si="93"/>
        <v>0</v>
      </c>
      <c r="F610" s="24">
        <f t="shared" si="94"/>
        <v>0</v>
      </c>
      <c r="G610" s="47">
        <v>5.31</v>
      </c>
      <c r="H610" s="24">
        <f t="shared" si="87"/>
        <v>5.31</v>
      </c>
      <c r="I610" s="46">
        <v>6.27</v>
      </c>
      <c r="J610" s="24">
        <f t="shared" si="92"/>
        <v>-0.96</v>
      </c>
      <c r="K610" s="48">
        <f t="shared" si="88"/>
        <v>9.4821428571428577</v>
      </c>
      <c r="L610" s="48"/>
      <c r="M610" s="44">
        <f t="shared" si="89"/>
        <v>0</v>
      </c>
      <c r="N610" s="24" t="e">
        <v>#VALUE!</v>
      </c>
      <c r="O610" s="24" t="e">
        <v>#VALUE!</v>
      </c>
      <c r="P610" s="24" t="e">
        <v>#VALUE!</v>
      </c>
      <c r="Q610" s="24" t="e">
        <f t="shared" si="84"/>
        <v>#VALUE!</v>
      </c>
      <c r="R610" s="24" t="e">
        <f t="shared" si="85"/>
        <v>#VALUE!</v>
      </c>
      <c r="S610" s="24" t="e">
        <f t="shared" si="83"/>
        <v>#VALUE!</v>
      </c>
      <c r="T610" s="24" t="e">
        <f t="shared" si="86"/>
        <v>#VALUE!</v>
      </c>
      <c r="U610" s="8">
        <f t="shared" si="90"/>
        <v>1</v>
      </c>
      <c r="V610" s="8">
        <f t="shared" si="91"/>
        <v>1900</v>
      </c>
      <c r="W610" s="24">
        <v>1.1969409090909091</v>
      </c>
    </row>
    <row r="611" spans="1:23">
      <c r="A611" s="44"/>
      <c r="B611" s="24"/>
      <c r="C611" s="24"/>
      <c r="D611" s="24"/>
      <c r="E611" s="24">
        <f t="shared" si="93"/>
        <v>0</v>
      </c>
      <c r="F611" s="24">
        <f t="shared" si="94"/>
        <v>0</v>
      </c>
      <c r="G611" s="47">
        <v>5.91</v>
      </c>
      <c r="H611" s="24">
        <f t="shared" si="87"/>
        <v>5.91</v>
      </c>
      <c r="I611" s="46">
        <v>7.08</v>
      </c>
      <c r="J611" s="24">
        <f t="shared" si="92"/>
        <v>-1.17</v>
      </c>
      <c r="K611" s="48">
        <f>G611/56*100</f>
        <v>10.553571428571429</v>
      </c>
      <c r="L611" s="48"/>
      <c r="M611" s="44">
        <f t="shared" si="89"/>
        <v>0</v>
      </c>
      <c r="N611" s="24" t="e">
        <v>#VALUE!</v>
      </c>
      <c r="O611" s="24" t="e">
        <v>#VALUE!</v>
      </c>
      <c r="P611" s="24" t="e">
        <v>#VALUE!</v>
      </c>
      <c r="Q611" s="24" t="e">
        <f t="shared" si="84"/>
        <v>#VALUE!</v>
      </c>
      <c r="R611" s="24" t="e">
        <f t="shared" si="85"/>
        <v>#VALUE!</v>
      </c>
      <c r="S611" s="24" t="e">
        <f t="shared" ref="S611:S678" si="95">P611/39.3679/W611</f>
        <v>#VALUE!</v>
      </c>
      <c r="T611" s="24" t="e">
        <f t="shared" si="86"/>
        <v>#VALUE!</v>
      </c>
      <c r="U611" s="8">
        <f t="shared" si="90"/>
        <v>1</v>
      </c>
      <c r="V611" s="8">
        <f t="shared" si="91"/>
        <v>1900</v>
      </c>
      <c r="W611" s="24">
        <v>1.214652380952381</v>
      </c>
    </row>
    <row r="612" spans="1:23">
      <c r="A612" s="44"/>
      <c r="B612" s="24"/>
      <c r="C612" s="24"/>
      <c r="D612" s="24"/>
      <c r="E612" s="24">
        <f t="shared" si="93"/>
        <v>0</v>
      </c>
      <c r="F612" s="24">
        <f t="shared" si="94"/>
        <v>0</v>
      </c>
      <c r="G612" s="47">
        <v>6</v>
      </c>
      <c r="H612" s="24">
        <f t="shared" si="87"/>
        <v>6</v>
      </c>
      <c r="I612" s="46">
        <v>6.81</v>
      </c>
      <c r="J612" s="24">
        <f t="shared" si="92"/>
        <v>-0.80999999999999961</v>
      </c>
      <c r="K612" s="48">
        <f t="shared" si="88"/>
        <v>10.714285714285714</v>
      </c>
      <c r="L612" s="48"/>
      <c r="M612" s="44">
        <f t="shared" si="89"/>
        <v>0</v>
      </c>
      <c r="N612" s="24" t="e">
        <v>#VALUE!</v>
      </c>
      <c r="O612" s="24" t="e">
        <v>#VALUE!</v>
      </c>
      <c r="P612" s="24" t="e">
        <v>#VALUE!</v>
      </c>
      <c r="Q612" s="24" t="e">
        <f t="shared" ref="Q612:Q649" si="96">N612-P612</f>
        <v>#VALUE!</v>
      </c>
      <c r="R612" s="24" t="e">
        <f t="shared" ref="R612:R651" si="97">O612-P612</f>
        <v>#VALUE!</v>
      </c>
      <c r="S612" s="24" t="e">
        <f t="shared" si="95"/>
        <v>#VALUE!</v>
      </c>
      <c r="T612" s="24" t="e">
        <f t="shared" ref="T612:T655" si="98">S612-D612</f>
        <v>#VALUE!</v>
      </c>
      <c r="U612" s="8">
        <f t="shared" si="90"/>
        <v>1</v>
      </c>
      <c r="V612" s="8">
        <f t="shared" si="91"/>
        <v>1900</v>
      </c>
      <c r="W612" s="24">
        <v>1.2038136363636367</v>
      </c>
    </row>
    <row r="613" spans="1:23">
      <c r="A613" s="44"/>
      <c r="B613" s="24"/>
      <c r="C613" s="24"/>
      <c r="D613" s="24"/>
      <c r="E613" s="24">
        <f t="shared" si="93"/>
        <v>0</v>
      </c>
      <c r="F613" s="24">
        <f t="shared" si="94"/>
        <v>0</v>
      </c>
      <c r="G613" s="47">
        <v>6.12</v>
      </c>
      <c r="H613" s="24">
        <f t="shared" si="87"/>
        <v>6.12</v>
      </c>
      <c r="I613" s="46">
        <v>6.49</v>
      </c>
      <c r="J613" s="24">
        <f t="shared" si="92"/>
        <v>-0.37000000000000011</v>
      </c>
      <c r="K613" s="48">
        <f t="shared" si="88"/>
        <v>10.928571428571429</v>
      </c>
      <c r="L613" s="48"/>
      <c r="M613" s="44">
        <f t="shared" si="89"/>
        <v>0</v>
      </c>
      <c r="N613" s="24" t="e">
        <v>#VALUE!</v>
      </c>
      <c r="O613" s="24" t="e">
        <v>#VALUE!</v>
      </c>
      <c r="P613" s="24" t="e">
        <v>#VALUE!</v>
      </c>
      <c r="Q613" s="24" t="e">
        <f t="shared" si="96"/>
        <v>#VALUE!</v>
      </c>
      <c r="R613" s="24" t="e">
        <f t="shared" si="97"/>
        <v>#VALUE!</v>
      </c>
      <c r="S613" s="24" t="e">
        <f t="shared" si="95"/>
        <v>#VALUE!</v>
      </c>
      <c r="T613" s="24" t="e">
        <f t="shared" si="98"/>
        <v>#VALUE!</v>
      </c>
      <c r="U613" s="8">
        <f t="shared" si="90"/>
        <v>1</v>
      </c>
      <c r="V613" s="8">
        <f t="shared" si="91"/>
        <v>1900</v>
      </c>
      <c r="W613" s="24">
        <v>1.1822954545454547</v>
      </c>
    </row>
    <row r="614" spans="1:23">
      <c r="A614" s="44"/>
      <c r="B614" s="24"/>
      <c r="C614" s="24"/>
      <c r="D614" s="24"/>
      <c r="E614" s="24">
        <f t="shared" si="93"/>
        <v>0</v>
      </c>
      <c r="F614" s="24">
        <f t="shared" si="94"/>
        <v>0</v>
      </c>
      <c r="G614" s="47">
        <v>6.32</v>
      </c>
      <c r="H614" s="24">
        <f t="shared" si="87"/>
        <v>6.32</v>
      </c>
      <c r="I614" s="46">
        <v>6.43</v>
      </c>
      <c r="J614" s="24">
        <f t="shared" si="92"/>
        <v>-0.10999999999999943</v>
      </c>
      <c r="K614" s="48">
        <f t="shared" si="88"/>
        <v>11.285714285714286</v>
      </c>
      <c r="L614" s="48"/>
      <c r="M614" s="44">
        <f t="shared" si="89"/>
        <v>0</v>
      </c>
      <c r="N614" s="24" t="e">
        <v>#VALUE!</v>
      </c>
      <c r="O614" s="24" t="e">
        <v>#VALUE!</v>
      </c>
      <c r="P614" s="24" t="e">
        <v>#VALUE!</v>
      </c>
      <c r="Q614" s="24" t="e">
        <f t="shared" si="96"/>
        <v>#VALUE!</v>
      </c>
      <c r="R614" s="24" t="e">
        <f t="shared" si="97"/>
        <v>#VALUE!</v>
      </c>
      <c r="S614" s="24" t="e">
        <f t="shared" si="95"/>
        <v>#VALUE!</v>
      </c>
      <c r="T614" s="24" t="e">
        <f t="shared" si="98"/>
        <v>#VALUE!</v>
      </c>
      <c r="U614" s="8">
        <f t="shared" si="90"/>
        <v>1</v>
      </c>
      <c r="V614" s="8">
        <f t="shared" si="91"/>
        <v>1900</v>
      </c>
      <c r="W614" s="24">
        <v>1.1765454545454546</v>
      </c>
    </row>
    <row r="615" spans="1:23">
      <c r="A615" s="44"/>
      <c r="B615" s="24"/>
      <c r="C615" s="24"/>
      <c r="D615" s="24"/>
      <c r="E615" s="24">
        <f t="shared" si="93"/>
        <v>0</v>
      </c>
      <c r="F615" s="24">
        <f t="shared" si="94"/>
        <v>0</v>
      </c>
      <c r="G615" s="47">
        <v>5.47</v>
      </c>
      <c r="H615" s="24">
        <f t="shared" si="87"/>
        <v>5.47</v>
      </c>
      <c r="I615" s="46">
        <v>5.35</v>
      </c>
      <c r="J615" s="24">
        <f t="shared" si="92"/>
        <v>0.12000000000000011</v>
      </c>
      <c r="K615" s="48">
        <f t="shared" si="88"/>
        <v>9.7678571428571423</v>
      </c>
      <c r="L615" s="48"/>
      <c r="M615" s="44">
        <f t="shared" si="89"/>
        <v>0</v>
      </c>
      <c r="N615" s="24" t="e">
        <v>#VALUE!</v>
      </c>
      <c r="O615" s="24" t="e">
        <v>#VALUE!</v>
      </c>
      <c r="P615" s="24" t="e">
        <v>#VALUE!</v>
      </c>
      <c r="Q615" s="24" t="e">
        <f t="shared" si="96"/>
        <v>#VALUE!</v>
      </c>
      <c r="R615" s="24" t="e">
        <f t="shared" si="97"/>
        <v>#VALUE!</v>
      </c>
      <c r="S615" s="24" t="e">
        <f t="shared" si="95"/>
        <v>#VALUE!</v>
      </c>
      <c r="T615" s="24" t="e">
        <f t="shared" si="98"/>
        <v>#VALUE!</v>
      </c>
      <c r="U615" s="8">
        <f t="shared" si="90"/>
        <v>1</v>
      </c>
      <c r="V615" s="8">
        <f t="shared" si="91"/>
        <v>1900</v>
      </c>
      <c r="W615" s="24">
        <v>1.1763636363636363</v>
      </c>
    </row>
    <row r="616" spans="1:23">
      <c r="A616" s="44"/>
      <c r="B616" s="24"/>
      <c r="C616" s="24"/>
      <c r="D616" s="24"/>
      <c r="E616" s="24">
        <f t="shared" si="93"/>
        <v>0</v>
      </c>
      <c r="F616" s="24">
        <f t="shared" si="94"/>
        <v>0</v>
      </c>
      <c r="G616" s="47">
        <v>5.0199999999999996</v>
      </c>
      <c r="H616" s="24">
        <f t="shared" si="87"/>
        <v>5.0199999999999996</v>
      </c>
      <c r="I616" s="46">
        <v>5.37</v>
      </c>
      <c r="J616" s="24">
        <f t="shared" si="92"/>
        <v>-0.35000000000000053</v>
      </c>
      <c r="K616" s="48">
        <f t="shared" si="88"/>
        <v>8.9642857142857135</v>
      </c>
      <c r="L616" s="48"/>
      <c r="M616" s="44">
        <f t="shared" si="89"/>
        <v>0</v>
      </c>
      <c r="N616" s="24" t="e">
        <v>#VALUE!</v>
      </c>
      <c r="O616" s="24" t="e">
        <v>#VALUE!</v>
      </c>
      <c r="P616" s="24" t="e">
        <v>#VALUE!</v>
      </c>
      <c r="Q616" s="24" t="e">
        <f t="shared" si="96"/>
        <v>#VALUE!</v>
      </c>
      <c r="R616" s="24" t="e">
        <f t="shared" si="97"/>
        <v>#VALUE!</v>
      </c>
      <c r="S616" s="24" t="e">
        <f t="shared" si="95"/>
        <v>#VALUE!</v>
      </c>
      <c r="T616" s="24" t="e">
        <f t="shared" si="98"/>
        <v>#VALUE!</v>
      </c>
      <c r="U616" s="8">
        <f t="shared" si="90"/>
        <v>1</v>
      </c>
      <c r="V616" s="8">
        <f t="shared" si="91"/>
        <v>1900</v>
      </c>
      <c r="W616" s="24">
        <v>1.1597666666666666</v>
      </c>
    </row>
    <row r="617" spans="1:23">
      <c r="A617" s="44"/>
      <c r="B617" s="24"/>
      <c r="C617" s="24"/>
      <c r="D617" s="24"/>
      <c r="E617" s="24">
        <f t="shared" si="93"/>
        <v>0</v>
      </c>
      <c r="F617" s="24">
        <f t="shared" si="94"/>
        <v>0</v>
      </c>
      <c r="G617" s="47">
        <v>5.27</v>
      </c>
      <c r="H617" s="24">
        <f t="shared" si="87"/>
        <v>5.27</v>
      </c>
      <c r="I617" s="46">
        <v>5.8</v>
      </c>
      <c r="J617" s="24">
        <f t="shared" si="92"/>
        <v>-0.53000000000000025</v>
      </c>
      <c r="K617" s="48">
        <f t="shared" si="88"/>
        <v>9.4107142857142847</v>
      </c>
      <c r="L617" s="48"/>
      <c r="M617" s="44">
        <f t="shared" si="89"/>
        <v>0</v>
      </c>
      <c r="N617" s="24" t="e">
        <v>#VALUE!</v>
      </c>
      <c r="O617" s="24" t="e">
        <v>#VALUE!</v>
      </c>
      <c r="P617" s="24" t="e">
        <v>#VALUE!</v>
      </c>
      <c r="Q617" s="24" t="e">
        <f t="shared" si="96"/>
        <v>#VALUE!</v>
      </c>
      <c r="R617" s="24" t="e">
        <f t="shared" si="97"/>
        <v>#VALUE!</v>
      </c>
      <c r="S617" s="24" t="e">
        <f t="shared" si="95"/>
        <v>#VALUE!</v>
      </c>
      <c r="T617" s="24" t="e">
        <f t="shared" si="98"/>
        <v>#VALUE!</v>
      </c>
      <c r="U617" s="8">
        <f t="shared" si="90"/>
        <v>1</v>
      </c>
      <c r="V617" s="8">
        <f t="shared" si="91"/>
        <v>1900</v>
      </c>
      <c r="W617" s="24">
        <v>1.1407045454545455</v>
      </c>
    </row>
    <row r="618" spans="1:23">
      <c r="A618" s="44"/>
      <c r="B618" s="24"/>
      <c r="C618" s="24"/>
      <c r="D618" s="24"/>
      <c r="E618" s="24">
        <f t="shared" si="93"/>
        <v>0</v>
      </c>
      <c r="F618" s="24">
        <f t="shared" si="94"/>
        <v>0</v>
      </c>
      <c r="G618" s="47">
        <v>5.47</v>
      </c>
      <c r="H618" s="24">
        <f t="shared" si="87"/>
        <v>5.47</v>
      </c>
      <c r="I618" s="46">
        <v>6.03</v>
      </c>
      <c r="J618" s="24">
        <f t="shared" si="92"/>
        <v>-0.5600000000000005</v>
      </c>
      <c r="K618" s="48">
        <f t="shared" si="88"/>
        <v>9.7678571428571423</v>
      </c>
      <c r="L618" s="48"/>
      <c r="M618" s="44">
        <f t="shared" si="89"/>
        <v>0</v>
      </c>
      <c r="N618" s="24" t="e">
        <v>#VALUE!</v>
      </c>
      <c r="O618" s="24" t="e">
        <v>#VALUE!</v>
      </c>
      <c r="P618" s="24" t="e">
        <v>#VALUE!</v>
      </c>
      <c r="Q618" s="24" t="e">
        <f t="shared" si="96"/>
        <v>#VALUE!</v>
      </c>
      <c r="R618" s="24" t="e">
        <f t="shared" si="97"/>
        <v>#VALUE!</v>
      </c>
      <c r="S618" s="24" t="e">
        <f t="shared" si="95"/>
        <v>#VALUE!</v>
      </c>
      <c r="T618" s="24" t="e">
        <f t="shared" si="98"/>
        <v>#VALUE!</v>
      </c>
      <c r="U618" s="8">
        <f t="shared" si="90"/>
        <v>1</v>
      </c>
      <c r="V618" s="8">
        <f t="shared" si="91"/>
        <v>1900</v>
      </c>
      <c r="W618" s="24">
        <v>1.130504347826087</v>
      </c>
    </row>
    <row r="619" spans="1:23">
      <c r="A619" s="44"/>
      <c r="B619" s="24"/>
      <c r="C619" s="24"/>
      <c r="D619" s="24"/>
      <c r="E619" s="24">
        <f t="shared" si="93"/>
        <v>0</v>
      </c>
      <c r="F619" s="24">
        <f t="shared" si="94"/>
        <v>0</v>
      </c>
      <c r="G619" s="47">
        <v>5.57</v>
      </c>
      <c r="H619" s="24">
        <f t="shared" si="87"/>
        <v>5.57</v>
      </c>
      <c r="I619" s="46">
        <v>6.16</v>
      </c>
      <c r="J619" s="24">
        <f t="shared" si="92"/>
        <v>-0.58999999999999986</v>
      </c>
      <c r="K619" s="48">
        <f t="shared" si="88"/>
        <v>9.9464285714285712</v>
      </c>
      <c r="L619" s="48"/>
      <c r="M619" s="44">
        <f t="shared" si="89"/>
        <v>0</v>
      </c>
      <c r="N619" s="24" t="e">
        <v>#VALUE!</v>
      </c>
      <c r="O619" s="24" t="e">
        <v>#VALUE!</v>
      </c>
      <c r="P619" s="24" t="e">
        <v>#VALUE!</v>
      </c>
      <c r="Q619" s="24" t="e">
        <f t="shared" si="96"/>
        <v>#VALUE!</v>
      </c>
      <c r="R619" s="24" t="e">
        <f t="shared" si="97"/>
        <v>#VALUE!</v>
      </c>
      <c r="S619" s="24" t="e">
        <f t="shared" si="95"/>
        <v>#VALUE!</v>
      </c>
      <c r="T619" s="24" t="e">
        <f t="shared" si="98"/>
        <v>#VALUE!</v>
      </c>
      <c r="U619" s="8">
        <f t="shared" si="90"/>
        <v>1</v>
      </c>
      <c r="V619" s="8">
        <f t="shared" si="91"/>
        <v>1900</v>
      </c>
      <c r="W619" s="24">
        <v>1.1316190476190475</v>
      </c>
    </row>
    <row r="620" spans="1:23">
      <c r="A620" s="44"/>
      <c r="B620" s="24"/>
      <c r="C620" s="24"/>
      <c r="D620" s="24"/>
      <c r="E620" s="24">
        <f t="shared" si="93"/>
        <v>0</v>
      </c>
      <c r="F620" s="24">
        <f t="shared" si="94"/>
        <v>0</v>
      </c>
      <c r="G620" s="47">
        <v>6.1</v>
      </c>
      <c r="H620" s="24">
        <f t="shared" si="87"/>
        <v>6.1</v>
      </c>
      <c r="I620" s="46">
        <v>6.54</v>
      </c>
      <c r="J620" s="24">
        <f t="shared" si="92"/>
        <v>-0.44000000000000039</v>
      </c>
      <c r="K620" s="48">
        <f t="shared" si="88"/>
        <v>10.892857142857142</v>
      </c>
      <c r="L620" s="48"/>
      <c r="M620" s="44">
        <f t="shared" si="89"/>
        <v>0</v>
      </c>
      <c r="N620" s="24" t="e">
        <v>#VALUE!</v>
      </c>
      <c r="O620" s="24" t="e">
        <v>#VALUE!</v>
      </c>
      <c r="P620" s="24" t="e">
        <v>#VALUE!</v>
      </c>
      <c r="Q620" s="24" t="e">
        <f t="shared" si="96"/>
        <v>#VALUE!</v>
      </c>
      <c r="R620" s="24" t="e">
        <f t="shared" si="97"/>
        <v>#VALUE!</v>
      </c>
      <c r="S620" s="24" t="e">
        <f t="shared" si="95"/>
        <v>#VALUE!</v>
      </c>
      <c r="T620" s="24" t="e">
        <f t="shared" si="98"/>
        <v>#VALUE!</v>
      </c>
      <c r="U620" s="8">
        <f t="shared" si="90"/>
        <v>1</v>
      </c>
      <c r="V620" s="8">
        <f t="shared" si="91"/>
        <v>1900</v>
      </c>
      <c r="W620" s="24">
        <v>1.1342299999999998</v>
      </c>
    </row>
    <row r="621" spans="1:23">
      <c r="A621" s="44"/>
      <c r="B621" s="24"/>
      <c r="C621" s="24"/>
      <c r="D621" s="24"/>
      <c r="E621" s="24">
        <f t="shared" si="93"/>
        <v>0</v>
      </c>
      <c r="F621" s="24">
        <f t="shared" si="94"/>
        <v>0</v>
      </c>
      <c r="G621" s="47">
        <v>6.56</v>
      </c>
      <c r="H621" s="24">
        <f t="shared" si="87"/>
        <v>6.56</v>
      </c>
      <c r="I621" s="46">
        <v>7.46</v>
      </c>
      <c r="J621" s="24">
        <f t="shared" si="92"/>
        <v>-0.90000000000000036</v>
      </c>
      <c r="K621" s="48">
        <f t="shared" si="88"/>
        <v>11.714285714285714</v>
      </c>
      <c r="L621" s="48"/>
      <c r="M621" s="44">
        <f t="shared" si="89"/>
        <v>0</v>
      </c>
      <c r="N621" s="24" t="e">
        <v>#VALUE!</v>
      </c>
      <c r="O621" s="24" t="e">
        <v>#VALUE!</v>
      </c>
      <c r="P621" s="24" t="e">
        <v>#VALUE!</v>
      </c>
      <c r="Q621" s="24" t="e">
        <f t="shared" si="96"/>
        <v>#VALUE!</v>
      </c>
      <c r="R621" s="24" t="e">
        <f t="shared" si="97"/>
        <v>#VALUE!</v>
      </c>
      <c r="S621" s="24" t="e">
        <f t="shared" si="95"/>
        <v>#VALUE!</v>
      </c>
      <c r="T621" s="24" t="e">
        <f t="shared" si="98"/>
        <v>#VALUE!</v>
      </c>
      <c r="U621" s="8">
        <f t="shared" si="90"/>
        <v>1</v>
      </c>
      <c r="V621" s="8">
        <f t="shared" si="91"/>
        <v>1900</v>
      </c>
      <c r="W621" s="24">
        <v>1.1014217391304346</v>
      </c>
    </row>
    <row r="622" spans="1:23">
      <c r="A622" s="44"/>
      <c r="B622" s="24"/>
      <c r="C622" s="24"/>
      <c r="D622" s="24"/>
      <c r="E622" s="24">
        <f t="shared" si="93"/>
        <v>0</v>
      </c>
      <c r="F622" s="24">
        <f t="shared" si="94"/>
        <v>0</v>
      </c>
      <c r="G622" s="47">
        <v>7.08</v>
      </c>
      <c r="H622" s="24">
        <f t="shared" si="87"/>
        <v>7.08</v>
      </c>
      <c r="I622" s="46">
        <v>7.93</v>
      </c>
      <c r="J622" s="24">
        <f t="shared" si="92"/>
        <v>-0.84999999999999964</v>
      </c>
      <c r="K622" s="48">
        <f t="shared" si="88"/>
        <v>12.642857142857142</v>
      </c>
      <c r="L622" s="48"/>
      <c r="M622" s="44">
        <f t="shared" si="89"/>
        <v>0</v>
      </c>
      <c r="N622" s="24" t="e">
        <v>#VALUE!</v>
      </c>
      <c r="O622" s="24" t="e">
        <v>#VALUE!</v>
      </c>
      <c r="P622" s="24" t="e">
        <v>#VALUE!</v>
      </c>
      <c r="Q622" s="24" t="e">
        <f t="shared" si="96"/>
        <v>#VALUE!</v>
      </c>
      <c r="R622" s="24" t="e">
        <f t="shared" si="97"/>
        <v>#VALUE!</v>
      </c>
      <c r="S622" s="24" t="e">
        <f t="shared" si="95"/>
        <v>#VALUE!</v>
      </c>
      <c r="T622" s="24" t="e">
        <f t="shared" si="98"/>
        <v>#VALUE!</v>
      </c>
      <c r="U622" s="8">
        <f t="shared" si="90"/>
        <v>1</v>
      </c>
      <c r="V622" s="8">
        <f t="shared" si="91"/>
        <v>1900</v>
      </c>
      <c r="W622" s="24">
        <v>1.0799190476190477</v>
      </c>
    </row>
    <row r="623" spans="1:23">
      <c r="A623" s="44"/>
      <c r="B623" s="24"/>
      <c r="C623" s="24"/>
      <c r="D623" s="24"/>
      <c r="E623" s="24">
        <f t="shared" si="93"/>
        <v>0</v>
      </c>
      <c r="F623" s="24">
        <f t="shared" si="94"/>
        <v>0</v>
      </c>
      <c r="G623" s="47">
        <v>7.26</v>
      </c>
      <c r="H623" s="24">
        <f t="shared" si="87"/>
        <v>7.26</v>
      </c>
      <c r="I623" s="46">
        <v>8.0399999999999991</v>
      </c>
      <c r="J623" s="24">
        <f t="shared" si="92"/>
        <v>-0.77999999999999936</v>
      </c>
      <c r="K623" s="48">
        <f t="shared" si="88"/>
        <v>12.964285714285714</v>
      </c>
      <c r="L623" s="48"/>
      <c r="M623" s="44">
        <f t="shared" si="89"/>
        <v>0</v>
      </c>
      <c r="N623" s="24" t="e">
        <v>#VALUE!</v>
      </c>
      <c r="O623" s="24" t="e">
        <v>#VALUE!</v>
      </c>
      <c r="P623" s="24" t="e">
        <v>#VALUE!</v>
      </c>
      <c r="Q623" s="24" t="e">
        <f t="shared" si="96"/>
        <v>#VALUE!</v>
      </c>
      <c r="R623" s="24" t="e">
        <f t="shared" si="97"/>
        <v>#VALUE!</v>
      </c>
      <c r="S623" s="24" t="e">
        <f t="shared" si="95"/>
        <v>#VALUE!</v>
      </c>
      <c r="T623" s="24" t="e">
        <f t="shared" si="98"/>
        <v>#VALUE!</v>
      </c>
      <c r="U623" s="8">
        <f t="shared" si="90"/>
        <v>1</v>
      </c>
      <c r="V623" s="8">
        <f t="shared" si="91"/>
        <v>1900</v>
      </c>
      <c r="W623" s="24">
        <v>1.058059090909091</v>
      </c>
    </row>
    <row r="624" spans="1:23">
      <c r="A624" s="44"/>
      <c r="B624" s="24"/>
      <c r="C624" s="24"/>
      <c r="D624" s="24"/>
      <c r="E624" s="24">
        <f t="shared" si="93"/>
        <v>0</v>
      </c>
      <c r="F624" s="24">
        <f t="shared" si="94"/>
        <v>0</v>
      </c>
      <c r="G624" s="47">
        <v>7.37</v>
      </c>
      <c r="H624" s="24">
        <f t="shared" si="87"/>
        <v>7.37</v>
      </c>
      <c r="I624" s="46">
        <v>7.95</v>
      </c>
      <c r="J624" s="24">
        <f t="shared" si="92"/>
        <v>-0.58000000000000007</v>
      </c>
      <c r="K624" s="48">
        <f t="shared" si="88"/>
        <v>13.160714285714286</v>
      </c>
      <c r="L624" s="48"/>
      <c r="M624" s="44">
        <f t="shared" si="89"/>
        <v>0</v>
      </c>
      <c r="N624" s="24" t="e">
        <v>#VALUE!</v>
      </c>
      <c r="O624" s="24" t="e">
        <v>#VALUE!</v>
      </c>
      <c r="P624" s="24" t="e">
        <v>#VALUE!</v>
      </c>
      <c r="Q624" s="24" t="e">
        <f t="shared" si="96"/>
        <v>#VALUE!</v>
      </c>
      <c r="R624" s="24" t="e">
        <f t="shared" si="97"/>
        <v>#VALUE!</v>
      </c>
      <c r="S624" s="24" t="e">
        <f t="shared" si="95"/>
        <v>#VALUE!</v>
      </c>
      <c r="T624" s="24" t="e">
        <f t="shared" si="98"/>
        <v>#VALUE!</v>
      </c>
      <c r="U624" s="8">
        <f t="shared" si="90"/>
        <v>1</v>
      </c>
      <c r="V624" s="8">
        <f t="shared" si="91"/>
        <v>1900</v>
      </c>
      <c r="W624" s="24">
        <v>1.0561500000000001</v>
      </c>
    </row>
    <row r="625" spans="1:23">
      <c r="A625" s="44"/>
      <c r="B625" s="24"/>
      <c r="C625" s="24"/>
      <c r="D625" s="24"/>
      <c r="E625" s="24">
        <f t="shared" si="93"/>
        <v>0</v>
      </c>
      <c r="F625" s="24">
        <f t="shared" si="94"/>
        <v>0</v>
      </c>
      <c r="G625" s="47">
        <v>7.25</v>
      </c>
      <c r="H625" s="24">
        <f t="shared" si="87"/>
        <v>7.25</v>
      </c>
      <c r="I625" s="46">
        <v>7.09</v>
      </c>
      <c r="J625" s="24">
        <f t="shared" si="92"/>
        <v>0.16000000000000014</v>
      </c>
      <c r="K625" s="48">
        <f t="shared" si="88"/>
        <v>12.946428571428573</v>
      </c>
      <c r="L625" s="48"/>
      <c r="M625" s="44">
        <f t="shared" si="89"/>
        <v>0</v>
      </c>
      <c r="N625" s="24" t="e">
        <v>#VALUE!</v>
      </c>
      <c r="O625" s="24" t="e">
        <v>#VALUE!</v>
      </c>
      <c r="P625" s="24" t="e">
        <v>#VALUE!</v>
      </c>
      <c r="Q625" s="24" t="e">
        <f t="shared" si="96"/>
        <v>#VALUE!</v>
      </c>
      <c r="R625" s="24" t="e">
        <f t="shared" si="97"/>
        <v>#VALUE!</v>
      </c>
      <c r="S625" s="24" t="e">
        <f t="shared" si="95"/>
        <v>#VALUE!</v>
      </c>
      <c r="T625" s="24" t="e">
        <f t="shared" si="98"/>
        <v>#VALUE!</v>
      </c>
      <c r="U625" s="8">
        <f t="shared" si="90"/>
        <v>1</v>
      </c>
      <c r="V625" s="8">
        <f t="shared" si="91"/>
        <v>1900</v>
      </c>
      <c r="W625" s="24">
        <v>1.0181238095238092</v>
      </c>
    </row>
    <row r="626" spans="1:23">
      <c r="A626" s="44"/>
      <c r="B626" s="24"/>
      <c r="C626" s="24"/>
      <c r="D626" s="24"/>
      <c r="E626" s="24">
        <f t="shared" si="93"/>
        <v>0</v>
      </c>
      <c r="F626" s="24">
        <f t="shared" si="94"/>
        <v>0</v>
      </c>
      <c r="G626" s="47">
        <v>7.24</v>
      </c>
      <c r="H626" s="24">
        <f t="shared" si="87"/>
        <v>7.24</v>
      </c>
      <c r="I626" s="46">
        <v>6.87</v>
      </c>
      <c r="J626" s="24">
        <f t="shared" si="92"/>
        <v>0.37000000000000011</v>
      </c>
      <c r="K626" s="48">
        <f t="shared" si="88"/>
        <v>12.928571428571429</v>
      </c>
      <c r="L626" s="48"/>
      <c r="M626" s="44">
        <f t="shared" si="89"/>
        <v>0</v>
      </c>
      <c r="N626" s="24" t="e">
        <v>#VALUE!</v>
      </c>
      <c r="O626" s="24" t="e">
        <v>#VALUE!</v>
      </c>
      <c r="P626" s="24" t="e">
        <v>#VALUE!</v>
      </c>
      <c r="Q626" s="24" t="e">
        <f t="shared" si="96"/>
        <v>#VALUE!</v>
      </c>
      <c r="R626" s="24" t="e">
        <f t="shared" si="97"/>
        <v>#VALUE!</v>
      </c>
      <c r="S626" s="24" t="e">
        <f t="shared" si="95"/>
        <v>#VALUE!</v>
      </c>
      <c r="T626" s="24" t="e">
        <f t="shared" si="98"/>
        <v>#VALUE!</v>
      </c>
      <c r="U626" s="8">
        <f t="shared" si="90"/>
        <v>1</v>
      </c>
      <c r="V626" s="8">
        <f t="shared" si="91"/>
        <v>1900</v>
      </c>
      <c r="W626" s="24">
        <v>1.0121521739130437</v>
      </c>
    </row>
    <row r="627" spans="1:23">
      <c r="A627" s="44"/>
      <c r="B627" s="24"/>
      <c r="C627" s="24"/>
      <c r="D627" s="24"/>
      <c r="E627" s="24">
        <f t="shared" si="93"/>
        <v>0</v>
      </c>
      <c r="F627" s="24">
        <f t="shared" si="94"/>
        <v>0</v>
      </c>
      <c r="G627" s="47">
        <v>7.09</v>
      </c>
      <c r="H627" s="24">
        <f t="shared" si="87"/>
        <v>7.09</v>
      </c>
      <c r="I627" s="46">
        <v>6.98</v>
      </c>
      <c r="J627" s="24">
        <f t="shared" si="92"/>
        <v>0.10999999999999943</v>
      </c>
      <c r="K627" s="48">
        <f t="shared" si="88"/>
        <v>12.660714285714286</v>
      </c>
      <c r="L627" s="48"/>
      <c r="M627" s="44">
        <f t="shared" si="89"/>
        <v>0</v>
      </c>
      <c r="N627" s="24" t="e">
        <v>#VALUE!</v>
      </c>
      <c r="O627" s="24" t="e">
        <v>#VALUE!</v>
      </c>
      <c r="P627" s="24" t="e">
        <v>#VALUE!</v>
      </c>
      <c r="Q627" s="24" t="e">
        <f t="shared" si="96"/>
        <v>#VALUE!</v>
      </c>
      <c r="R627" s="24" t="e">
        <f t="shared" si="97"/>
        <v>#VALUE!</v>
      </c>
      <c r="S627" s="24" t="e">
        <f t="shared" si="95"/>
        <v>#VALUE!</v>
      </c>
      <c r="T627" s="24" t="e">
        <f t="shared" si="98"/>
        <v>#VALUE!</v>
      </c>
      <c r="U627" s="8">
        <f t="shared" si="90"/>
        <v>1</v>
      </c>
      <c r="V627" s="8">
        <f t="shared" si="91"/>
        <v>1900</v>
      </c>
      <c r="W627" s="24">
        <v>0.98970454545454556</v>
      </c>
    </row>
    <row r="628" spans="1:23">
      <c r="A628" s="44"/>
      <c r="B628" s="24"/>
      <c r="C628" s="24"/>
      <c r="D628" s="24"/>
      <c r="E628" s="24">
        <f t="shared" si="93"/>
        <v>0</v>
      </c>
      <c r="F628" s="24">
        <f t="shared" si="94"/>
        <v>0</v>
      </c>
      <c r="G628" s="47">
        <v>6.5</v>
      </c>
      <c r="H628" s="24">
        <f t="shared" si="87"/>
        <v>6.5</v>
      </c>
      <c r="I628" s="46">
        <v>6.79</v>
      </c>
      <c r="J628" s="24">
        <f t="shared" si="92"/>
        <v>-0.29000000000000004</v>
      </c>
      <c r="K628" s="48">
        <f t="shared" si="88"/>
        <v>11.607142857142858</v>
      </c>
      <c r="L628" s="48"/>
      <c r="M628" s="44">
        <f t="shared" si="89"/>
        <v>0</v>
      </c>
      <c r="N628" s="24" t="e">
        <v>#VALUE!</v>
      </c>
      <c r="O628" s="24" t="e">
        <v>#VALUE!</v>
      </c>
      <c r="P628" s="24" t="e">
        <v>#VALUE!</v>
      </c>
      <c r="Q628" s="24" t="e">
        <f t="shared" si="96"/>
        <v>#VALUE!</v>
      </c>
      <c r="R628" s="24" t="e">
        <f t="shared" si="97"/>
        <v>#VALUE!</v>
      </c>
      <c r="S628" s="24" t="e">
        <f t="shared" si="95"/>
        <v>#VALUE!</v>
      </c>
      <c r="T628" s="24" t="e">
        <f t="shared" si="98"/>
        <v>#VALUE!</v>
      </c>
      <c r="U628" s="8">
        <f t="shared" si="90"/>
        <v>1</v>
      </c>
      <c r="V628" s="8">
        <f t="shared" si="91"/>
        <v>1900</v>
      </c>
      <c r="W628" s="24">
        <v>0.98401904761904768</v>
      </c>
    </row>
    <row r="629" spans="1:23">
      <c r="A629" s="44"/>
      <c r="B629" s="24"/>
      <c r="C629" s="24"/>
      <c r="D629" s="24"/>
      <c r="E629" s="24">
        <f t="shared" si="93"/>
        <v>0</v>
      </c>
      <c r="F629" s="24">
        <f t="shared" si="94"/>
        <v>0</v>
      </c>
      <c r="G629" s="47">
        <v>6.49</v>
      </c>
      <c r="H629" s="24">
        <f t="shared" si="87"/>
        <v>6.49</v>
      </c>
      <c r="I629" s="46">
        <v>6.71</v>
      </c>
      <c r="J629" s="24">
        <f t="shared" si="92"/>
        <v>-0.21999999999999975</v>
      </c>
      <c r="K629" s="48">
        <f t="shared" si="88"/>
        <v>11.589285714285715</v>
      </c>
      <c r="L629" s="48"/>
      <c r="M629" s="44">
        <f t="shared" si="89"/>
        <v>0</v>
      </c>
      <c r="N629" s="24" t="e">
        <v>#VALUE!</v>
      </c>
      <c r="O629" s="24" t="e">
        <v>#VALUE!</v>
      </c>
      <c r="P629" s="24" t="e">
        <v>#VALUE!</v>
      </c>
      <c r="Q629" s="24" t="e">
        <f t="shared" si="96"/>
        <v>#VALUE!</v>
      </c>
      <c r="R629" s="24" t="e">
        <f t="shared" si="97"/>
        <v>#VALUE!</v>
      </c>
      <c r="S629" s="24" t="e">
        <f t="shared" si="95"/>
        <v>#VALUE!</v>
      </c>
      <c r="T629" s="24" t="e">
        <f t="shared" si="98"/>
        <v>#VALUE!</v>
      </c>
      <c r="U629" s="8">
        <f t="shared" si="90"/>
        <v>1</v>
      </c>
      <c r="V629" s="8">
        <f t="shared" si="91"/>
        <v>1900</v>
      </c>
      <c r="W629" s="24">
        <v>1.0210136363636364</v>
      </c>
    </row>
    <row r="630" spans="1:23">
      <c r="A630" s="44"/>
      <c r="B630" s="24"/>
      <c r="C630" s="24"/>
      <c r="D630" s="24"/>
      <c r="E630" s="24">
        <f t="shared" si="93"/>
        <v>0</v>
      </c>
      <c r="F630" s="24">
        <f t="shared" si="94"/>
        <v>0</v>
      </c>
      <c r="G630" s="47">
        <v>6.58</v>
      </c>
      <c r="H630" s="24">
        <f t="shared" si="87"/>
        <v>6.58</v>
      </c>
      <c r="I630" s="46">
        <v>6.64</v>
      </c>
      <c r="J630" s="24">
        <f t="shared" si="92"/>
        <v>-5.9999999999999609E-2</v>
      </c>
      <c r="K630" s="48">
        <f t="shared" si="88"/>
        <v>11.75</v>
      </c>
      <c r="L630" s="48"/>
      <c r="M630" s="44">
        <f t="shared" si="89"/>
        <v>0</v>
      </c>
      <c r="N630" s="24" t="e">
        <v>#VALUE!</v>
      </c>
      <c r="O630" s="24" t="e">
        <v>#VALUE!</v>
      </c>
      <c r="P630" s="24" t="e">
        <v>#VALUE!</v>
      </c>
      <c r="Q630" s="24" t="e">
        <f t="shared" si="96"/>
        <v>#VALUE!</v>
      </c>
      <c r="R630" s="24" t="e">
        <f t="shared" si="97"/>
        <v>#VALUE!</v>
      </c>
      <c r="S630" s="24" t="e">
        <f t="shared" si="95"/>
        <v>#VALUE!</v>
      </c>
      <c r="T630" s="24" t="e">
        <f t="shared" si="98"/>
        <v>#VALUE!</v>
      </c>
      <c r="U630" s="8">
        <f t="shared" si="90"/>
        <v>1</v>
      </c>
      <c r="V630" s="8">
        <f t="shared" si="91"/>
        <v>1900</v>
      </c>
      <c r="W630" s="24">
        <v>1.0587666666666666</v>
      </c>
    </row>
    <row r="631" spans="1:23">
      <c r="A631" s="44"/>
      <c r="B631" s="24"/>
      <c r="C631" s="24"/>
      <c r="D631" s="24"/>
      <c r="E631" s="24">
        <f t="shared" si="93"/>
        <v>0</v>
      </c>
      <c r="F631" s="24">
        <f t="shared" si="94"/>
        <v>0</v>
      </c>
      <c r="G631" s="47">
        <v>6.64</v>
      </c>
      <c r="H631" s="24">
        <f t="shared" ref="H631:H649" si="99">G631-D631</f>
        <v>6.64</v>
      </c>
      <c r="I631" s="46">
        <v>6.78</v>
      </c>
      <c r="J631" s="24">
        <f t="shared" si="92"/>
        <v>-0.14000000000000057</v>
      </c>
      <c r="K631" s="48">
        <f t="shared" si="88"/>
        <v>11.857142857142856</v>
      </c>
      <c r="L631" s="48"/>
      <c r="M631" s="44">
        <f t="shared" si="89"/>
        <v>0</v>
      </c>
      <c r="N631" s="24" t="e">
        <v>#VALUE!</v>
      </c>
      <c r="O631" s="24" t="e">
        <v>#VALUE!</v>
      </c>
      <c r="P631" s="24" t="e">
        <v>#VALUE!</v>
      </c>
      <c r="Q631" s="24" t="e">
        <f t="shared" si="96"/>
        <v>#VALUE!</v>
      </c>
      <c r="R631" s="24" t="e">
        <f t="shared" si="97"/>
        <v>#VALUE!</v>
      </c>
      <c r="S631" s="24" t="e">
        <f t="shared" si="95"/>
        <v>#VALUE!</v>
      </c>
      <c r="T631" s="24" t="e">
        <f t="shared" si="98"/>
        <v>#VALUE!</v>
      </c>
      <c r="U631" s="8">
        <f t="shared" si="90"/>
        <v>1</v>
      </c>
      <c r="V631" s="8">
        <f t="shared" si="91"/>
        <v>1900</v>
      </c>
      <c r="W631" s="24">
        <v>1.077590909090909</v>
      </c>
    </row>
    <row r="632" spans="1:23">
      <c r="A632" s="44"/>
      <c r="B632" s="24"/>
      <c r="C632" s="24"/>
      <c r="D632" s="24"/>
      <c r="E632" s="24">
        <f t="shared" si="93"/>
        <v>0</v>
      </c>
      <c r="F632" s="24">
        <f t="shared" si="94"/>
        <v>0</v>
      </c>
      <c r="G632" s="47">
        <v>6.8</v>
      </c>
      <c r="H632" s="24">
        <f t="shared" si="99"/>
        <v>6.8</v>
      </c>
      <c r="I632" s="46">
        <v>6.82</v>
      </c>
      <c r="J632" s="24">
        <f t="shared" si="92"/>
        <v>-2.0000000000000462E-2</v>
      </c>
      <c r="K632" s="48">
        <f t="shared" si="88"/>
        <v>12.142857142857142</v>
      </c>
      <c r="L632" s="48"/>
      <c r="M632" s="44">
        <f t="shared" si="89"/>
        <v>0</v>
      </c>
      <c r="N632" s="24" t="e">
        <v>#VALUE!</v>
      </c>
      <c r="O632" s="24" t="e">
        <v>#VALUE!</v>
      </c>
      <c r="P632" s="24" t="e">
        <v>#VALUE!</v>
      </c>
      <c r="Q632" s="24" t="e">
        <f t="shared" si="96"/>
        <v>#VALUE!</v>
      </c>
      <c r="R632" s="24" t="e">
        <f t="shared" si="97"/>
        <v>#VALUE!</v>
      </c>
      <c r="S632" s="24" t="e">
        <f t="shared" si="95"/>
        <v>#VALUE!</v>
      </c>
      <c r="T632" s="24" t="e">
        <f t="shared" si="98"/>
        <v>#VALUE!</v>
      </c>
      <c r="U632" s="8">
        <f t="shared" si="90"/>
        <v>1</v>
      </c>
      <c r="V632" s="8">
        <f t="shared" si="91"/>
        <v>1900</v>
      </c>
      <c r="W632" s="24">
        <v>1.0701199999999997</v>
      </c>
    </row>
    <row r="633" spans="1:23">
      <c r="A633" s="44"/>
      <c r="B633" s="24"/>
      <c r="C633" s="24"/>
      <c r="D633" s="24"/>
      <c r="E633" s="24">
        <f t="shared" si="93"/>
        <v>0</v>
      </c>
      <c r="F633" s="24">
        <f t="shared" si="94"/>
        <v>0</v>
      </c>
      <c r="G633" s="47">
        <v>6.67</v>
      </c>
      <c r="H633" s="24">
        <f t="shared" si="99"/>
        <v>6.67</v>
      </c>
      <c r="I633" s="46">
        <v>6.49</v>
      </c>
      <c r="J633" s="24">
        <f t="shared" si="92"/>
        <v>0.17999999999999972</v>
      </c>
      <c r="K633" s="48">
        <f t="shared" si="88"/>
        <v>11.910714285714285</v>
      </c>
      <c r="L633" s="48"/>
      <c r="M633" s="44">
        <f t="shared" si="89"/>
        <v>0</v>
      </c>
      <c r="N633" s="24" t="e">
        <v>#VALUE!</v>
      </c>
      <c r="O633" s="24" t="e">
        <v>#VALUE!</v>
      </c>
      <c r="P633" s="24" t="e">
        <v>#VALUE!</v>
      </c>
      <c r="Q633" s="24" t="e">
        <f t="shared" si="96"/>
        <v>#VALUE!</v>
      </c>
      <c r="R633" s="24" t="e">
        <f t="shared" si="97"/>
        <v>#VALUE!</v>
      </c>
      <c r="S633" s="24" t="e">
        <f t="shared" si="95"/>
        <v>#VALUE!</v>
      </c>
      <c r="T633" s="24" t="e">
        <f t="shared" si="98"/>
        <v>#VALUE!</v>
      </c>
      <c r="U633" s="8">
        <f t="shared" si="90"/>
        <v>1</v>
      </c>
      <c r="V633" s="8">
        <f t="shared" si="91"/>
        <v>1900</v>
      </c>
      <c r="W633" s="24">
        <v>1.0710304347826085</v>
      </c>
    </row>
    <row r="634" spans="1:23">
      <c r="A634" s="44"/>
      <c r="B634" s="24"/>
      <c r="C634" s="24"/>
      <c r="D634" s="24"/>
      <c r="E634" s="24">
        <f t="shared" si="93"/>
        <v>0</v>
      </c>
      <c r="F634" s="24">
        <f t="shared" si="94"/>
        <v>0</v>
      </c>
      <c r="G634" s="47">
        <v>6.7</v>
      </c>
      <c r="H634" s="24">
        <f t="shared" si="99"/>
        <v>6.7</v>
      </c>
      <c r="I634" s="46">
        <v>6.66</v>
      </c>
      <c r="J634" s="24">
        <f t="shared" si="92"/>
        <v>4.0000000000000036E-2</v>
      </c>
      <c r="K634" s="48">
        <f t="shared" si="88"/>
        <v>11.964285714285715</v>
      </c>
      <c r="L634" s="48"/>
      <c r="M634" s="44">
        <f t="shared" si="89"/>
        <v>0</v>
      </c>
      <c r="N634" s="24" t="e">
        <v>#VALUE!</v>
      </c>
      <c r="O634" s="24" t="e">
        <v>#VALUE!</v>
      </c>
      <c r="P634" s="24" t="e">
        <v>#VALUE!</v>
      </c>
      <c r="Q634" s="24" t="e">
        <f t="shared" si="96"/>
        <v>#VALUE!</v>
      </c>
      <c r="R634" s="24" t="e">
        <f t="shared" si="97"/>
        <v>#VALUE!</v>
      </c>
      <c r="S634" s="24" t="e">
        <f t="shared" si="95"/>
        <v>#VALUE!</v>
      </c>
      <c r="T634" s="24" t="e">
        <f t="shared" si="98"/>
        <v>#VALUE!</v>
      </c>
      <c r="U634" s="8">
        <f t="shared" si="90"/>
        <v>1</v>
      </c>
      <c r="V634" s="8">
        <f t="shared" si="91"/>
        <v>1900</v>
      </c>
      <c r="W634" s="24">
        <v>1.0963699999999998</v>
      </c>
    </row>
    <row r="635" spans="1:23">
      <c r="A635" s="44"/>
      <c r="B635" s="24"/>
      <c r="C635" s="24"/>
      <c r="D635" s="24"/>
      <c r="E635" s="24">
        <f t="shared" si="93"/>
        <v>0</v>
      </c>
      <c r="F635" s="24">
        <f t="shared" si="94"/>
        <v>0</v>
      </c>
      <c r="G635" s="47">
        <v>6.54</v>
      </c>
      <c r="H635" s="24">
        <f t="shared" si="99"/>
        <v>6.54</v>
      </c>
      <c r="I635" s="46">
        <v>6.25</v>
      </c>
      <c r="J635" s="24">
        <f t="shared" si="92"/>
        <v>0.29000000000000004</v>
      </c>
      <c r="K635" s="48">
        <f t="shared" si="88"/>
        <v>11.678571428571429</v>
      </c>
      <c r="L635" s="48"/>
      <c r="M635" s="44">
        <f t="shared" si="89"/>
        <v>0</v>
      </c>
      <c r="N635" s="24" t="e">
        <v>#VALUE!</v>
      </c>
      <c r="O635" s="24" t="e">
        <v>#VALUE!</v>
      </c>
      <c r="P635" s="24" t="e">
        <v>#VALUE!</v>
      </c>
      <c r="Q635" s="24" t="e">
        <f t="shared" si="96"/>
        <v>#VALUE!</v>
      </c>
      <c r="R635" s="24" t="e">
        <f t="shared" si="97"/>
        <v>#VALUE!</v>
      </c>
      <c r="S635" s="24" t="e">
        <f t="shared" si="95"/>
        <v>#VALUE!</v>
      </c>
      <c r="T635" s="24" t="e">
        <f t="shared" si="98"/>
        <v>#VALUE!</v>
      </c>
      <c r="U635" s="8">
        <f t="shared" si="90"/>
        <v>1</v>
      </c>
      <c r="V635" s="8">
        <f t="shared" si="91"/>
        <v>1900</v>
      </c>
      <c r="W635" s="24">
        <v>1.0868227272727273</v>
      </c>
    </row>
    <row r="636" spans="1:23">
      <c r="A636" s="44"/>
      <c r="B636" s="24"/>
      <c r="C636" s="24"/>
      <c r="D636" s="24"/>
      <c r="E636" s="24">
        <f t="shared" si="93"/>
        <v>0</v>
      </c>
      <c r="F636" s="24">
        <f t="shared" si="94"/>
        <v>0</v>
      </c>
      <c r="G636" s="47">
        <v>6.49</v>
      </c>
      <c r="H636" s="24">
        <f t="shared" si="99"/>
        <v>6.49</v>
      </c>
      <c r="I636" s="46">
        <v>6.41</v>
      </c>
      <c r="J636" s="24">
        <f t="shared" si="92"/>
        <v>8.0000000000000071E-2</v>
      </c>
      <c r="K636" s="48">
        <f t="shared" si="88"/>
        <v>11.589285714285715</v>
      </c>
      <c r="L636" s="48"/>
      <c r="M636" s="44">
        <f t="shared" si="89"/>
        <v>0</v>
      </c>
      <c r="N636" s="24" t="e">
        <v>#VALUE!</v>
      </c>
      <c r="O636" s="24" t="e">
        <v>#VALUE!</v>
      </c>
      <c r="P636" s="24" t="e">
        <v>#VALUE!</v>
      </c>
      <c r="Q636" s="24" t="e">
        <f t="shared" si="96"/>
        <v>#VALUE!</v>
      </c>
      <c r="R636" s="24" t="e">
        <f t="shared" si="97"/>
        <v>#VALUE!</v>
      </c>
      <c r="S636" s="24" t="e">
        <f t="shared" si="95"/>
        <v>#VALUE!</v>
      </c>
      <c r="T636" s="24" t="e">
        <f t="shared" si="98"/>
        <v>#VALUE!</v>
      </c>
      <c r="U636" s="8">
        <f t="shared" si="90"/>
        <v>1</v>
      </c>
      <c r="V636" s="8">
        <f t="shared" si="91"/>
        <v>1900</v>
      </c>
      <c r="W636" s="24">
        <v>1.0843954545454546</v>
      </c>
    </row>
    <row r="637" spans="1:23">
      <c r="A637" s="44"/>
      <c r="B637" s="24"/>
      <c r="C637" s="24"/>
      <c r="D637" s="24"/>
      <c r="E637" s="24">
        <f t="shared" si="93"/>
        <v>0</v>
      </c>
      <c r="F637" s="24">
        <f t="shared" si="94"/>
        <v>0</v>
      </c>
      <c r="G637" s="47">
        <v>6.22</v>
      </c>
      <c r="H637" s="24">
        <f t="shared" si="99"/>
        <v>6.22</v>
      </c>
      <c r="I637" s="46">
        <v>5.78</v>
      </c>
      <c r="J637" s="24">
        <f t="shared" si="92"/>
        <v>0.4399999999999995</v>
      </c>
      <c r="K637" s="48">
        <f t="shared" si="88"/>
        <v>11.107142857142858</v>
      </c>
      <c r="L637" s="48"/>
      <c r="M637" s="44">
        <f t="shared" si="89"/>
        <v>0</v>
      </c>
      <c r="N637" s="24" t="e">
        <v>#VALUE!</v>
      </c>
      <c r="O637" s="24" t="e">
        <v>#VALUE!</v>
      </c>
      <c r="P637" s="24" t="e">
        <v>#VALUE!</v>
      </c>
      <c r="Q637" s="24" t="e">
        <f t="shared" si="96"/>
        <v>#VALUE!</v>
      </c>
      <c r="R637" s="24" t="e">
        <f t="shared" si="97"/>
        <v>#VALUE!</v>
      </c>
      <c r="S637" s="24" t="e">
        <f t="shared" si="95"/>
        <v>#VALUE!</v>
      </c>
      <c r="T637" s="24" t="e">
        <f t="shared" si="98"/>
        <v>#VALUE!</v>
      </c>
      <c r="U637" s="8">
        <f t="shared" si="90"/>
        <v>1</v>
      </c>
      <c r="V637" s="8">
        <f t="shared" si="91"/>
        <v>1900</v>
      </c>
      <c r="W637" s="24">
        <v>1.1064400000000001</v>
      </c>
    </row>
    <row r="638" spans="1:23">
      <c r="A638" s="44"/>
      <c r="B638" s="24"/>
      <c r="C638" s="24"/>
      <c r="D638" s="24"/>
      <c r="E638" s="24">
        <f t="shared" si="93"/>
        <v>0</v>
      </c>
      <c r="F638" s="24">
        <f t="shared" si="94"/>
        <v>0</v>
      </c>
      <c r="G638" s="47">
        <v>5.73</v>
      </c>
      <c r="H638" s="24">
        <f t="shared" si="99"/>
        <v>5.73</v>
      </c>
      <c r="I638" s="46">
        <v>5.25</v>
      </c>
      <c r="J638" s="24">
        <f t="shared" si="92"/>
        <v>0.48000000000000043</v>
      </c>
      <c r="K638" s="48">
        <f t="shared" si="88"/>
        <v>10.232142857142858</v>
      </c>
      <c r="L638" s="48"/>
      <c r="M638" s="44">
        <f t="shared" si="89"/>
        <v>0</v>
      </c>
      <c r="N638" s="24" t="e">
        <v>#VALUE!</v>
      </c>
      <c r="O638" s="24" t="e">
        <v>#VALUE!</v>
      </c>
      <c r="P638" s="24" t="e">
        <v>#VALUE!</v>
      </c>
      <c r="Q638" s="24" t="e">
        <f t="shared" si="96"/>
        <v>#VALUE!</v>
      </c>
      <c r="R638" s="24" t="e">
        <f t="shared" si="97"/>
        <v>#VALUE!</v>
      </c>
      <c r="S638" s="24" t="e">
        <f t="shared" si="95"/>
        <v>#VALUE!</v>
      </c>
      <c r="T638" s="24" t="e">
        <f t="shared" si="98"/>
        <v>#VALUE!</v>
      </c>
      <c r="U638" s="8">
        <f t="shared" si="90"/>
        <v>1</v>
      </c>
      <c r="V638" s="8">
        <f t="shared" si="91"/>
        <v>1900</v>
      </c>
      <c r="W638" s="24">
        <v>1.0904521739130435</v>
      </c>
    </row>
    <row r="639" spans="1:23">
      <c r="A639" s="44"/>
      <c r="B639" s="24"/>
      <c r="C639" s="24"/>
      <c r="D639" s="24"/>
      <c r="E639" s="24">
        <f t="shared" si="93"/>
        <v>0</v>
      </c>
      <c r="F639" s="24">
        <f t="shared" si="94"/>
        <v>0</v>
      </c>
      <c r="G639" s="47">
        <v>5.21</v>
      </c>
      <c r="H639" s="24">
        <f t="shared" si="99"/>
        <v>5.21</v>
      </c>
      <c r="I639" s="46">
        <v>4.75</v>
      </c>
      <c r="J639" s="24">
        <f t="shared" si="92"/>
        <v>0.45999999999999996</v>
      </c>
      <c r="K639" s="48">
        <f t="shared" si="88"/>
        <v>9.3035714285714288</v>
      </c>
      <c r="L639" s="48"/>
      <c r="M639" s="44">
        <f t="shared" si="89"/>
        <v>0</v>
      </c>
      <c r="N639" s="24" t="e">
        <v>#VALUE!</v>
      </c>
      <c r="O639" s="24" t="e">
        <v>#VALUE!</v>
      </c>
      <c r="P639" s="24" t="e">
        <v>#VALUE!</v>
      </c>
      <c r="Q639" s="24" t="e">
        <f t="shared" si="96"/>
        <v>#VALUE!</v>
      </c>
      <c r="R639" s="24" t="e">
        <f t="shared" si="97"/>
        <v>#VALUE!</v>
      </c>
      <c r="S639" s="24" t="e">
        <f t="shared" si="95"/>
        <v>#VALUE!</v>
      </c>
      <c r="T639" s="24" t="e">
        <f t="shared" si="98"/>
        <v>#VALUE!</v>
      </c>
      <c r="U639" s="8">
        <f t="shared" si="90"/>
        <v>1</v>
      </c>
      <c r="V639" s="8">
        <f t="shared" si="91"/>
        <v>1900</v>
      </c>
      <c r="W639" s="24">
        <v>1.066335</v>
      </c>
    </row>
    <row r="640" spans="1:23">
      <c r="A640" s="44"/>
      <c r="B640" s="24"/>
      <c r="C640" s="24"/>
      <c r="D640" s="24"/>
      <c r="E640" s="24">
        <f t="shared" si="93"/>
        <v>0</v>
      </c>
      <c r="F640" s="24">
        <f t="shared" si="94"/>
        <v>0</v>
      </c>
      <c r="G640" s="47">
        <v>4.93</v>
      </c>
      <c r="H640" s="24">
        <f t="shared" si="99"/>
        <v>4.93</v>
      </c>
      <c r="I640" s="46">
        <v>4.75</v>
      </c>
      <c r="J640" s="24">
        <f t="shared" si="92"/>
        <v>0.17999999999999972</v>
      </c>
      <c r="K640" s="48">
        <f t="shared" ref="K640:K678" si="100">G640/56*100</f>
        <v>8.8035714285714288</v>
      </c>
      <c r="L640" s="48"/>
      <c r="M640" s="44">
        <f t="shared" si="89"/>
        <v>0</v>
      </c>
      <c r="N640" s="24" t="e">
        <v>#VALUE!</v>
      </c>
      <c r="O640" s="24" t="e">
        <v>#VALUE!</v>
      </c>
      <c r="P640" s="24" t="e">
        <v>#VALUE!</v>
      </c>
      <c r="Q640" s="24" t="e">
        <f t="shared" si="96"/>
        <v>#VALUE!</v>
      </c>
      <c r="R640" s="24" t="e">
        <f t="shared" si="97"/>
        <v>#VALUE!</v>
      </c>
      <c r="S640" s="24" t="e">
        <f t="shared" si="95"/>
        <v>#VALUE!</v>
      </c>
      <c r="T640" s="24" t="e">
        <f t="shared" si="98"/>
        <v>#VALUE!</v>
      </c>
      <c r="U640" s="8">
        <f t="shared" si="90"/>
        <v>1</v>
      </c>
      <c r="V640" s="8">
        <f t="shared" si="91"/>
        <v>1900</v>
      </c>
      <c r="W640" s="24">
        <v>1.0562272727272728</v>
      </c>
    </row>
    <row r="641" spans="1:32">
      <c r="A641" s="44"/>
      <c r="B641" s="24"/>
      <c r="C641" s="24"/>
      <c r="D641" s="24"/>
      <c r="E641" s="24">
        <f t="shared" si="93"/>
        <v>0</v>
      </c>
      <c r="F641" s="24">
        <f t="shared" si="94"/>
        <v>0</v>
      </c>
      <c r="G641" s="47">
        <v>4.66</v>
      </c>
      <c r="H641" s="24">
        <f t="shared" si="99"/>
        <v>4.66</v>
      </c>
      <c r="I641" s="46">
        <v>4.62</v>
      </c>
      <c r="J641" s="24">
        <f t="shared" si="92"/>
        <v>4.0000000000000036E-2</v>
      </c>
      <c r="K641" s="48">
        <f t="shared" si="100"/>
        <v>8.3214285714285712</v>
      </c>
      <c r="L641" s="48"/>
      <c r="M641" s="44">
        <f t="shared" si="89"/>
        <v>0</v>
      </c>
      <c r="N641" s="24" t="e">
        <v>#VALUE!</v>
      </c>
      <c r="O641" s="24" t="e">
        <v>#VALUE!</v>
      </c>
      <c r="P641" s="24" t="e">
        <v>#VALUE!</v>
      </c>
      <c r="Q641" s="24" t="e">
        <f t="shared" si="96"/>
        <v>#VALUE!</v>
      </c>
      <c r="R641" s="24" t="e">
        <f t="shared" si="97"/>
        <v>#VALUE!</v>
      </c>
      <c r="S641" s="24" t="e">
        <f t="shared" si="95"/>
        <v>#VALUE!</v>
      </c>
      <c r="T641" s="24" t="e">
        <f t="shared" si="98"/>
        <v>#VALUE!</v>
      </c>
      <c r="U641" s="8">
        <f t="shared" si="90"/>
        <v>1</v>
      </c>
      <c r="V641" s="8">
        <f t="shared" si="91"/>
        <v>1900</v>
      </c>
      <c r="W641" s="24">
        <v>1.0811142857142859</v>
      </c>
    </row>
    <row r="642" spans="1:32">
      <c r="A642" s="44"/>
      <c r="B642" s="24"/>
      <c r="C642" s="24"/>
      <c r="D642" s="24"/>
      <c r="E642" s="24">
        <f t="shared" si="93"/>
        <v>0</v>
      </c>
      <c r="F642" s="24">
        <f t="shared" si="94"/>
        <v>0</v>
      </c>
      <c r="G642" s="47">
        <v>4.8</v>
      </c>
      <c r="H642" s="24">
        <f t="shared" si="99"/>
        <v>4.8</v>
      </c>
      <c r="I642" s="46">
        <v>4.62</v>
      </c>
      <c r="J642" s="24">
        <f t="shared" si="92"/>
        <v>0.17999999999999972</v>
      </c>
      <c r="K642" s="48">
        <f t="shared" si="100"/>
        <v>8.5714285714285712</v>
      </c>
      <c r="L642" s="48"/>
      <c r="M642" s="44">
        <f t="shared" si="89"/>
        <v>0</v>
      </c>
      <c r="N642" s="24" t="e">
        <v>#VALUE!</v>
      </c>
      <c r="O642" s="24" t="e">
        <v>#VALUE!</v>
      </c>
      <c r="P642" s="24" t="e">
        <v>#VALUE!</v>
      </c>
      <c r="Q642" s="24" t="e">
        <f t="shared" si="96"/>
        <v>#VALUE!</v>
      </c>
      <c r="R642" s="24" t="e">
        <f t="shared" si="97"/>
        <v>#VALUE!</v>
      </c>
      <c r="S642" s="24" t="e">
        <f t="shared" si="95"/>
        <v>#VALUE!</v>
      </c>
      <c r="T642" s="24" t="e">
        <f t="shared" si="98"/>
        <v>#VALUE!</v>
      </c>
      <c r="U642" s="8">
        <f t="shared" si="90"/>
        <v>1</v>
      </c>
      <c r="V642" s="8">
        <f t="shared" si="91"/>
        <v>1900</v>
      </c>
      <c r="W642" s="24">
        <v>1.091633333333333</v>
      </c>
    </row>
    <row r="643" spans="1:32">
      <c r="A643" s="44"/>
      <c r="B643" s="24"/>
      <c r="C643" s="24"/>
      <c r="D643" s="24"/>
      <c r="E643" s="24">
        <f t="shared" si="93"/>
        <v>0</v>
      </c>
      <c r="F643" s="24">
        <f t="shared" si="94"/>
        <v>0</v>
      </c>
      <c r="G643" s="24">
        <v>4.74</v>
      </c>
      <c r="H643" s="24">
        <f t="shared" si="99"/>
        <v>4.74</v>
      </c>
      <c r="I643" s="46">
        <v>4.46</v>
      </c>
      <c r="J643" s="24">
        <f t="shared" si="92"/>
        <v>0.28000000000000025</v>
      </c>
      <c r="K643" s="48">
        <f t="shared" si="100"/>
        <v>8.4642857142857153</v>
      </c>
      <c r="L643" s="48"/>
      <c r="M643" s="44">
        <f t="shared" ref="M643:M678" si="101">A643</f>
        <v>0</v>
      </c>
      <c r="N643" s="24" t="e">
        <v>#VALUE!</v>
      </c>
      <c r="O643" s="24" t="e">
        <v>#VALUE!</v>
      </c>
      <c r="P643" s="24" t="e">
        <v>#VALUE!</v>
      </c>
      <c r="Q643" s="24" t="e">
        <f t="shared" si="96"/>
        <v>#VALUE!</v>
      </c>
      <c r="R643" s="24" t="e">
        <f t="shared" si="97"/>
        <v>#VALUE!</v>
      </c>
      <c r="S643" s="24" t="e">
        <f t="shared" si="95"/>
        <v>#VALUE!</v>
      </c>
      <c r="T643" s="24" t="e">
        <f t="shared" si="98"/>
        <v>#VALUE!</v>
      </c>
      <c r="U643" s="8">
        <f t="shared" ref="U643:U677" si="102">MONTH(M643)</f>
        <v>1</v>
      </c>
      <c r="V643" s="8">
        <f t="shared" ref="V643:V678" si="103">YEAR(M643)</f>
        <v>1900</v>
      </c>
      <c r="W643" s="24">
        <v>1.0899909090909092</v>
      </c>
    </row>
    <row r="644" spans="1:32">
      <c r="A644" s="44"/>
      <c r="B644" s="24"/>
      <c r="C644" s="24"/>
      <c r="D644" s="24"/>
      <c r="E644" s="24">
        <f t="shared" si="93"/>
        <v>0</v>
      </c>
      <c r="F644" s="24">
        <f t="shared" si="94"/>
        <v>0</v>
      </c>
      <c r="G644" s="24">
        <v>4.3600000000000003</v>
      </c>
      <c r="H644" s="24">
        <f t="shared" si="99"/>
        <v>4.3600000000000003</v>
      </c>
      <c r="I644" s="46">
        <v>4.22</v>
      </c>
      <c r="J644" s="24">
        <f t="shared" ref="J644:J648" si="104">G644-I644</f>
        <v>0.14000000000000057</v>
      </c>
      <c r="K644" s="48">
        <f t="shared" si="100"/>
        <v>7.7857142857142865</v>
      </c>
      <c r="L644" s="48"/>
      <c r="M644" s="44">
        <f t="shared" si="101"/>
        <v>0</v>
      </c>
      <c r="N644" s="24" t="e">
        <v>#VALUE!</v>
      </c>
      <c r="O644" s="24" t="e">
        <v>#VALUE!</v>
      </c>
      <c r="P644" s="24" t="e">
        <v>#VALUE!</v>
      </c>
      <c r="Q644" s="24" t="e">
        <f t="shared" si="96"/>
        <v>#VALUE!</v>
      </c>
      <c r="R644" s="24" t="e">
        <f t="shared" si="97"/>
        <v>#VALUE!</v>
      </c>
      <c r="S644" s="24" t="e">
        <f t="shared" si="95"/>
        <v>#VALUE!</v>
      </c>
      <c r="T644" s="24" t="e">
        <f t="shared" si="98"/>
        <v>#VALUE!</v>
      </c>
      <c r="U644" s="8">
        <f t="shared" si="102"/>
        <v>1</v>
      </c>
      <c r="V644" s="8">
        <f t="shared" si="103"/>
        <v>1900</v>
      </c>
      <c r="W644" s="24">
        <v>1.0790380952380954</v>
      </c>
    </row>
    <row r="645" spans="1:32">
      <c r="A645" s="44"/>
      <c r="B645" s="24"/>
      <c r="C645" s="24"/>
      <c r="D645" s="24"/>
      <c r="E645" s="24">
        <f t="shared" si="93"/>
        <v>0</v>
      </c>
      <c r="F645" s="24">
        <f t="shared" si="94"/>
        <v>0</v>
      </c>
      <c r="G645" s="24">
        <v>4.3600000000000003</v>
      </c>
      <c r="H645" s="24">
        <f t="shared" si="99"/>
        <v>4.3600000000000003</v>
      </c>
      <c r="I645" s="46">
        <v>4.25</v>
      </c>
      <c r="J645" s="24">
        <f t="shared" si="104"/>
        <v>0.11000000000000032</v>
      </c>
      <c r="K645" s="48">
        <f t="shared" si="100"/>
        <v>7.7857142857142865</v>
      </c>
      <c r="L645" s="48"/>
      <c r="M645" s="44">
        <f t="shared" si="101"/>
        <v>0</v>
      </c>
      <c r="N645" s="24" t="e">
        <v>#VALUE!</v>
      </c>
      <c r="O645" s="24" t="e">
        <v>#VALUE!</v>
      </c>
      <c r="P645" s="24" t="e">
        <v>#VALUE!</v>
      </c>
      <c r="Q645" s="24" t="e">
        <f t="shared" si="96"/>
        <v>#VALUE!</v>
      </c>
      <c r="R645" s="24" t="e">
        <f t="shared" si="97"/>
        <v>#VALUE!</v>
      </c>
      <c r="S645" s="24" t="e">
        <f t="shared" si="95"/>
        <v>#VALUE!</v>
      </c>
      <c r="T645" s="24" t="e">
        <f t="shared" si="98"/>
        <v>#VALUE!</v>
      </c>
      <c r="U645" s="8">
        <f t="shared" si="102"/>
        <v>1</v>
      </c>
      <c r="V645" s="8">
        <f t="shared" si="103"/>
        <v>1900</v>
      </c>
      <c r="W645" s="24">
        <v>1.0870523809523807</v>
      </c>
    </row>
    <row r="646" spans="1:32">
      <c r="A646" s="44"/>
      <c r="B646" s="24"/>
      <c r="C646" s="24"/>
      <c r="D646" s="24"/>
      <c r="E646" s="24">
        <f t="shared" si="93"/>
        <v>0</v>
      </c>
      <c r="F646" s="24">
        <f t="shared" si="94"/>
        <v>0</v>
      </c>
      <c r="G646" s="24">
        <v>4.3899999999999997</v>
      </c>
      <c r="H646" s="24">
        <f t="shared" si="99"/>
        <v>4.3899999999999997</v>
      </c>
      <c r="I646" s="46">
        <v>4.3</v>
      </c>
      <c r="J646" s="24">
        <f t="shared" si="104"/>
        <v>8.9999999999999858E-2</v>
      </c>
      <c r="K646" s="48">
        <f t="shared" si="100"/>
        <v>7.8392857142857135</v>
      </c>
      <c r="L646" s="48"/>
      <c r="M646" s="44">
        <f t="shared" si="101"/>
        <v>0</v>
      </c>
      <c r="N646" s="24" t="e">
        <v>#VALUE!</v>
      </c>
      <c r="O646" s="24" t="e">
        <v>#VALUE!</v>
      </c>
      <c r="P646" s="24" t="e">
        <v>#VALUE!</v>
      </c>
      <c r="Q646" s="24" t="e">
        <f t="shared" si="96"/>
        <v>#VALUE!</v>
      </c>
      <c r="R646" s="24" t="e">
        <f t="shared" si="97"/>
        <v>#VALUE!</v>
      </c>
      <c r="S646" s="24" t="e">
        <f t="shared" si="95"/>
        <v>#VALUE!</v>
      </c>
      <c r="T646" s="24" t="e">
        <f t="shared" si="98"/>
        <v>#VALUE!</v>
      </c>
      <c r="U646" s="8">
        <f t="shared" si="102"/>
        <v>1</v>
      </c>
      <c r="V646" s="8">
        <f t="shared" si="103"/>
        <v>1900</v>
      </c>
      <c r="W646" s="24">
        <v>1.0722681818181818</v>
      </c>
    </row>
    <row r="647" spans="1:32">
      <c r="A647" s="44"/>
      <c r="B647" s="24"/>
      <c r="C647" s="24"/>
      <c r="D647" s="24"/>
      <c r="E647" s="24">
        <f t="shared" si="93"/>
        <v>0</v>
      </c>
      <c r="F647" s="24">
        <f t="shared" si="94"/>
        <v>0</v>
      </c>
      <c r="G647" s="24">
        <v>4.51</v>
      </c>
      <c r="H647" s="24">
        <f t="shared" si="99"/>
        <v>4.51</v>
      </c>
      <c r="I647" s="46">
        <v>4.5199999999999996</v>
      </c>
      <c r="J647" s="24">
        <f t="shared" si="104"/>
        <v>-9.9999999999997868E-3</v>
      </c>
      <c r="K647" s="48">
        <f t="shared" si="100"/>
        <v>8.0535714285714288</v>
      </c>
      <c r="L647" s="48"/>
      <c r="M647" s="44">
        <f t="shared" si="101"/>
        <v>0</v>
      </c>
      <c r="N647" s="24" t="e">
        <v>#VALUE!</v>
      </c>
      <c r="O647" s="24" t="e">
        <v>#VALUE!</v>
      </c>
      <c r="P647" s="24" t="e">
        <v>#VALUE!</v>
      </c>
      <c r="Q647" s="24" t="e">
        <f t="shared" si="96"/>
        <v>#VALUE!</v>
      </c>
      <c r="R647" s="24" t="e">
        <f t="shared" si="97"/>
        <v>#VALUE!</v>
      </c>
      <c r="S647" s="24" t="e">
        <f t="shared" si="95"/>
        <v>#VALUE!</v>
      </c>
      <c r="T647" s="24" t="e">
        <f t="shared" si="98"/>
        <v>#VALUE!</v>
      </c>
      <c r="U647" s="8">
        <f t="shared" si="102"/>
        <v>1</v>
      </c>
      <c r="V647" s="8">
        <f t="shared" si="103"/>
        <v>1900</v>
      </c>
      <c r="W647" s="24">
        <v>1.0808869565217389</v>
      </c>
    </row>
    <row r="648" spans="1:32">
      <c r="A648" s="44"/>
      <c r="B648" s="24"/>
      <c r="C648" s="24"/>
      <c r="D648" s="24"/>
      <c r="E648" s="24">
        <f t="shared" si="93"/>
        <v>0</v>
      </c>
      <c r="F648" s="24">
        <f t="shared" si="94"/>
        <v>0</v>
      </c>
      <c r="G648" s="24">
        <v>4.4800000000000004</v>
      </c>
      <c r="H648" s="24">
        <f t="shared" si="99"/>
        <v>4.4800000000000004</v>
      </c>
      <c r="I648" s="46">
        <v>4.4000000000000004</v>
      </c>
      <c r="J648" s="24">
        <f t="shared" si="104"/>
        <v>8.0000000000000071E-2</v>
      </c>
      <c r="K648" s="48">
        <f t="shared" si="100"/>
        <v>8</v>
      </c>
      <c r="L648" s="48"/>
      <c r="M648" s="44">
        <f t="shared" si="101"/>
        <v>0</v>
      </c>
      <c r="N648" s="24" t="e">
        <v>#VALUE!</v>
      </c>
      <c r="O648" s="24" t="e">
        <v>#VALUE!</v>
      </c>
      <c r="P648" s="24" t="e">
        <v>#VALUE!</v>
      </c>
      <c r="Q648" s="24" t="e">
        <f t="shared" si="96"/>
        <v>#VALUE!</v>
      </c>
      <c r="R648" s="24" t="e">
        <f t="shared" si="97"/>
        <v>#VALUE!</v>
      </c>
      <c r="S648" s="24" t="e">
        <f t="shared" si="95"/>
        <v>#VALUE!</v>
      </c>
      <c r="T648" s="24" t="e">
        <f t="shared" si="98"/>
        <v>#VALUE!</v>
      </c>
      <c r="U648" s="8">
        <f t="shared" si="102"/>
        <v>1</v>
      </c>
      <c r="V648" s="8">
        <f t="shared" si="103"/>
        <v>1900</v>
      </c>
      <c r="W648" s="24">
        <v>1.07612</v>
      </c>
    </row>
    <row r="649" spans="1:32">
      <c r="A649" s="44"/>
      <c r="B649" s="24"/>
      <c r="C649" s="24"/>
      <c r="D649" s="24"/>
      <c r="E649" s="24">
        <f t="shared" si="93"/>
        <v>0</v>
      </c>
      <c r="F649" s="24">
        <f t="shared" si="94"/>
        <v>0</v>
      </c>
      <c r="G649" s="51">
        <v>4.24</v>
      </c>
      <c r="H649" s="24">
        <f t="shared" si="99"/>
        <v>4.24</v>
      </c>
      <c r="K649" s="48">
        <f t="shared" si="100"/>
        <v>7.5714285714285721</v>
      </c>
      <c r="L649" s="48"/>
      <c r="M649" s="44">
        <f t="shared" si="101"/>
        <v>0</v>
      </c>
      <c r="N649" s="24" t="e">
        <v>#VALUE!</v>
      </c>
      <c r="O649" s="24" t="e">
        <v>#VALUE!</v>
      </c>
      <c r="P649" s="24" t="e">
        <v>#VALUE!</v>
      </c>
      <c r="Q649" s="24" t="e">
        <f t="shared" si="96"/>
        <v>#VALUE!</v>
      </c>
      <c r="R649" s="24" t="e">
        <f t="shared" si="97"/>
        <v>#VALUE!</v>
      </c>
      <c r="S649" s="24" t="e">
        <f t="shared" si="95"/>
        <v>#VALUE!</v>
      </c>
      <c r="T649" s="24" t="e">
        <f t="shared" si="98"/>
        <v>#VALUE!</v>
      </c>
      <c r="U649" s="8">
        <f t="shared" si="102"/>
        <v>1</v>
      </c>
      <c r="V649" s="8">
        <f t="shared" si="103"/>
        <v>1900</v>
      </c>
      <c r="W649" s="24">
        <v>1.08436</v>
      </c>
    </row>
    <row r="650" spans="1:32">
      <c r="A650" s="44"/>
      <c r="B650" s="24"/>
      <c r="C650" s="24"/>
      <c r="D650" s="24"/>
      <c r="E650" s="24">
        <f t="shared" si="93"/>
        <v>0</v>
      </c>
      <c r="F650" s="24">
        <f t="shared" si="94"/>
        <v>0</v>
      </c>
      <c r="G650" s="52">
        <f>D650+H650</f>
        <v>4.0659999999999998</v>
      </c>
      <c r="H650" s="24">
        <f>AVERAGE(H638,H626,H614,H602,H590,H578,H566,H554,H542,H530)-0.25</f>
        <v>4.0659999999999998</v>
      </c>
      <c r="K650" s="48">
        <f t="shared" si="100"/>
        <v>7.2607142857142852</v>
      </c>
      <c r="L650" s="48"/>
      <c r="M650" s="44">
        <f t="shared" si="101"/>
        <v>0</v>
      </c>
      <c r="N650" s="24" t="e">
        <v>#VALUE!</v>
      </c>
      <c r="O650" s="24" t="e">
        <v>#VALUE!</v>
      </c>
      <c r="P650" s="24" t="e">
        <v>#VALUE!</v>
      </c>
      <c r="Q650" s="24" t="e">
        <f>N650-P650</f>
        <v>#VALUE!</v>
      </c>
      <c r="R650" s="24" t="e">
        <f t="shared" si="97"/>
        <v>#VALUE!</v>
      </c>
      <c r="S650" s="24" t="e">
        <f t="shared" si="95"/>
        <v>#VALUE!</v>
      </c>
      <c r="T650" s="24" t="e">
        <f t="shared" si="98"/>
        <v>#VALUE!</v>
      </c>
      <c r="U650" s="8">
        <f t="shared" si="102"/>
        <v>1</v>
      </c>
      <c r="V650" s="8">
        <f t="shared" si="103"/>
        <v>1900</v>
      </c>
      <c r="W650" s="24">
        <v>1.08436</v>
      </c>
    </row>
    <row r="651" spans="1:32">
      <c r="A651" s="44"/>
      <c r="B651" s="24"/>
      <c r="C651" s="24"/>
      <c r="D651" s="24"/>
      <c r="E651" s="24">
        <f t="shared" ref="E651:E678" si="105">B651-D651</f>
        <v>0</v>
      </c>
      <c r="F651" s="24">
        <f t="shared" ref="F651:F678" si="106">C651-D651</f>
        <v>0</v>
      </c>
      <c r="G651" s="52">
        <f t="shared" ref="G651:G678" si="107">D651+H651</f>
        <v>4.133</v>
      </c>
      <c r="H651" s="24">
        <f t="shared" ref="H651" si="108">AVERAGE(H639,H627,H615,H603,H591,H579,H567,H555,H543,H531)</f>
        <v>4.133</v>
      </c>
      <c r="K651" s="48">
        <f>G651/56*100</f>
        <v>7.3803571428571431</v>
      </c>
      <c r="L651" s="48"/>
      <c r="M651" s="44">
        <f t="shared" si="101"/>
        <v>0</v>
      </c>
      <c r="N651" s="24" t="e">
        <v>#VALUE!</v>
      </c>
      <c r="O651" s="24" t="e">
        <v>#VALUE!</v>
      </c>
      <c r="P651" s="24" t="e">
        <v>#VALUE!</v>
      </c>
      <c r="Q651" s="24" t="e">
        <f>N651-P651</f>
        <v>#VALUE!</v>
      </c>
      <c r="R651" s="24" t="e">
        <f t="shared" si="97"/>
        <v>#VALUE!</v>
      </c>
      <c r="S651" s="24" t="e">
        <f t="shared" si="95"/>
        <v>#VALUE!</v>
      </c>
      <c r="T651" s="24" t="e">
        <f t="shared" si="98"/>
        <v>#VALUE!</v>
      </c>
      <c r="U651" s="8">
        <f t="shared" si="102"/>
        <v>1</v>
      </c>
      <c r="V651" s="8">
        <f t="shared" si="103"/>
        <v>1900</v>
      </c>
      <c r="W651" s="8">
        <v>1.08</v>
      </c>
    </row>
    <row r="652" spans="1:32">
      <c r="A652" s="44"/>
      <c r="B652" s="24"/>
      <c r="C652" s="24"/>
      <c r="D652" s="24"/>
      <c r="E652" s="24">
        <f t="shared" si="105"/>
        <v>0</v>
      </c>
      <c r="F652" s="24">
        <f t="shared" si="106"/>
        <v>0</v>
      </c>
      <c r="G652" s="52">
        <f t="shared" si="107"/>
        <v>4.2510000000000003</v>
      </c>
      <c r="H652" s="24">
        <f t="shared" ref="H652:H660" si="109">AVERAGE(H640,H628,H616,H604,H592,H580,H568,H556,H544,H532)+0.2</f>
        <v>4.2510000000000003</v>
      </c>
      <c r="K652" s="48">
        <f t="shared" si="100"/>
        <v>7.5910714285714294</v>
      </c>
      <c r="L652" s="48"/>
      <c r="M652" s="44">
        <f t="shared" si="101"/>
        <v>0</v>
      </c>
      <c r="N652" s="24">
        <v>216.25</v>
      </c>
      <c r="O652" s="24">
        <v>198.25</v>
      </c>
      <c r="P652" s="24">
        <v>211.58695652173913</v>
      </c>
      <c r="Q652" s="24">
        <f>N652-P652</f>
        <v>4.6630434782608745</v>
      </c>
      <c r="R652" s="24">
        <f>O652-P652</f>
        <v>-13.336956521739125</v>
      </c>
      <c r="S652" s="24">
        <f t="shared" si="95"/>
        <v>4.9764871540325979</v>
      </c>
      <c r="T652" s="24">
        <f t="shared" si="98"/>
        <v>4.9764871540325979</v>
      </c>
      <c r="U652" s="8">
        <f t="shared" si="102"/>
        <v>1</v>
      </c>
      <c r="V652" s="8">
        <f t="shared" si="103"/>
        <v>1900</v>
      </c>
      <c r="W652" s="8">
        <v>1.08</v>
      </c>
    </row>
    <row r="653" spans="1:32">
      <c r="A653" s="44"/>
      <c r="B653" s="24"/>
      <c r="C653" s="24"/>
      <c r="D653" s="24"/>
      <c r="E653" s="24">
        <f t="shared" si="105"/>
        <v>0</v>
      </c>
      <c r="F653" s="24">
        <f t="shared" si="106"/>
        <v>0</v>
      </c>
      <c r="G653" s="52">
        <f t="shared" si="107"/>
        <v>4.2789999999999999</v>
      </c>
      <c r="H653" s="24">
        <f t="shared" si="109"/>
        <v>4.2789999999999999</v>
      </c>
      <c r="K653" s="48">
        <f t="shared" si="100"/>
        <v>7.6410714285714292</v>
      </c>
      <c r="L653" s="48"/>
      <c r="M653" s="44">
        <f t="shared" si="101"/>
        <v>0</v>
      </c>
      <c r="N653" s="24">
        <v>212.25</v>
      </c>
      <c r="O653" s="24">
        <v>195</v>
      </c>
      <c r="P653" s="24">
        <v>207.99</v>
      </c>
      <c r="Q653" s="24">
        <f t="shared" ref="Q653:Q655" si="110">N653-P653</f>
        <v>4.2599999999999909</v>
      </c>
      <c r="R653" s="24">
        <f t="shared" ref="R653:R655" si="111">O653-P653</f>
        <v>-12.990000000000009</v>
      </c>
      <c r="S653" s="24">
        <f t="shared" si="95"/>
        <v>4.8918873837144812</v>
      </c>
      <c r="T653" s="24">
        <f t="shared" si="98"/>
        <v>4.8918873837144812</v>
      </c>
      <c r="U653" s="8">
        <f t="shared" si="102"/>
        <v>1</v>
      </c>
      <c r="V653" s="8">
        <f t="shared" si="103"/>
        <v>1900</v>
      </c>
      <c r="W653" s="8">
        <v>1.08</v>
      </c>
    </row>
    <row r="654" spans="1:32">
      <c r="A654" s="44"/>
      <c r="B654" s="24"/>
      <c r="C654" s="24"/>
      <c r="D654" s="24"/>
      <c r="E654" s="24">
        <f t="shared" si="105"/>
        <v>0</v>
      </c>
      <c r="F654" s="24">
        <f t="shared" si="106"/>
        <v>0</v>
      </c>
      <c r="G654" s="52">
        <f t="shared" si="107"/>
        <v>4.399</v>
      </c>
      <c r="H654" s="24">
        <f t="shared" si="109"/>
        <v>4.399</v>
      </c>
      <c r="K654" s="48">
        <f t="shared" si="100"/>
        <v>7.8553571428571427</v>
      </c>
      <c r="L654" s="48"/>
      <c r="M654" s="44">
        <f t="shared" si="101"/>
        <v>0</v>
      </c>
      <c r="N654" s="24">
        <v>209.75</v>
      </c>
      <c r="O654" s="24">
        <v>203</v>
      </c>
      <c r="P654" s="24">
        <v>206.65</v>
      </c>
      <c r="Q654" s="24">
        <f t="shared" si="110"/>
        <v>3.0999999999999943</v>
      </c>
      <c r="R654" s="24">
        <f t="shared" si="111"/>
        <v>-3.6500000000000057</v>
      </c>
      <c r="S654" s="24">
        <f t="shared" si="95"/>
        <v>4.8603708247732946</v>
      </c>
      <c r="T654" s="24">
        <f t="shared" si="98"/>
        <v>4.8603708247732946</v>
      </c>
      <c r="U654" s="8">
        <f t="shared" si="102"/>
        <v>1</v>
      </c>
      <c r="V654" s="8">
        <f t="shared" si="103"/>
        <v>1900</v>
      </c>
      <c r="W654" s="8">
        <v>1.08</v>
      </c>
    </row>
    <row r="655" spans="1:32">
      <c r="A655" s="44"/>
      <c r="B655" s="24"/>
      <c r="C655" s="24"/>
      <c r="D655" s="24"/>
      <c r="E655" s="24">
        <f t="shared" si="105"/>
        <v>0</v>
      </c>
      <c r="F655" s="24">
        <f t="shared" si="106"/>
        <v>0</v>
      </c>
      <c r="G655" s="52">
        <f t="shared" si="107"/>
        <v>4.4499999999999993</v>
      </c>
      <c r="H655" s="24">
        <f t="shared" si="109"/>
        <v>4.4499999999999993</v>
      </c>
      <c r="K655" s="48">
        <f t="shared" si="100"/>
        <v>7.9464285714285694</v>
      </c>
      <c r="L655" s="48"/>
      <c r="M655" s="44">
        <f t="shared" si="101"/>
        <v>0</v>
      </c>
      <c r="N655" s="24">
        <v>217</v>
      </c>
      <c r="O655" s="24">
        <v>209.75</v>
      </c>
      <c r="P655" s="24">
        <v>213.75</v>
      </c>
      <c r="Q655" s="24">
        <f t="shared" si="110"/>
        <v>3.25</v>
      </c>
      <c r="R655" s="24">
        <f t="shared" si="111"/>
        <v>-4</v>
      </c>
      <c r="S655" s="24">
        <f t="shared" si="95"/>
        <v>5.0273615475213731</v>
      </c>
      <c r="T655" s="24">
        <f t="shared" si="98"/>
        <v>5.0273615475213731</v>
      </c>
      <c r="U655" s="8">
        <f t="shared" si="102"/>
        <v>1</v>
      </c>
      <c r="V655" s="8">
        <f t="shared" si="103"/>
        <v>1900</v>
      </c>
      <c r="W655" s="8">
        <v>1.08</v>
      </c>
    </row>
    <row r="656" spans="1:32">
      <c r="A656" s="44"/>
      <c r="B656" s="24"/>
      <c r="C656" s="24"/>
      <c r="D656" s="24"/>
      <c r="E656" s="24">
        <f t="shared" si="105"/>
        <v>0</v>
      </c>
      <c r="F656" s="24">
        <f t="shared" si="106"/>
        <v>0</v>
      </c>
      <c r="G656" s="52">
        <f t="shared" si="107"/>
        <v>4.5490000000000004</v>
      </c>
      <c r="H656" s="24">
        <f t="shared" si="109"/>
        <v>4.5490000000000004</v>
      </c>
      <c r="K656" s="48">
        <f t="shared" si="100"/>
        <v>8.1232142857142868</v>
      </c>
      <c r="L656" s="48"/>
      <c r="M656" s="44">
        <f t="shared" si="101"/>
        <v>0</v>
      </c>
      <c r="N656" s="24">
        <v>230.98</v>
      </c>
      <c r="O656" s="24">
        <v>221.66</v>
      </c>
      <c r="P656" s="24">
        <v>225.15549999999999</v>
      </c>
      <c r="Q656" s="24" t="e">
        <f>AVERAGE(Q644,Q632,Q620,Q608,Q596,Q584,Q572,Q560,Q548,Q536)+5</f>
        <v>#VALUE!</v>
      </c>
      <c r="R656" s="24" t="e">
        <f>AVERAGE(R644,R632,R620,R608,R596,R584,R572,R560,R548,R536)</f>
        <v>#VALUE!</v>
      </c>
      <c r="S656" s="24">
        <f t="shared" si="95"/>
        <v>5.2956168557330923</v>
      </c>
      <c r="T656" s="24">
        <f>S656-D656</f>
        <v>5.2956168557330923</v>
      </c>
      <c r="U656" s="8">
        <f t="shared" si="102"/>
        <v>1</v>
      </c>
      <c r="V656" s="8">
        <f t="shared" si="103"/>
        <v>1900</v>
      </c>
      <c r="W656" s="8">
        <v>1.08</v>
      </c>
      <c r="Z656" s="8" t="s">
        <v>20</v>
      </c>
      <c r="AA656" s="8" t="s">
        <v>42</v>
      </c>
      <c r="AD656" s="8" t="s">
        <v>23</v>
      </c>
      <c r="AE656" s="8" t="s">
        <v>20</v>
      </c>
      <c r="AF656" s="8" t="s">
        <v>42</v>
      </c>
    </row>
    <row r="657" spans="1:32">
      <c r="A657" s="44"/>
      <c r="B657" s="24"/>
      <c r="C657" s="24"/>
      <c r="D657" s="24"/>
      <c r="E657" s="24">
        <f t="shared" si="105"/>
        <v>0</v>
      </c>
      <c r="F657" s="24">
        <f t="shared" si="106"/>
        <v>0</v>
      </c>
      <c r="G657" s="52">
        <f t="shared" si="107"/>
        <v>4.5880000000000001</v>
      </c>
      <c r="H657" s="24">
        <f t="shared" si="109"/>
        <v>4.5880000000000001</v>
      </c>
      <c r="K657" s="48">
        <f t="shared" si="100"/>
        <v>8.1928571428571431</v>
      </c>
      <c r="L657" s="48"/>
      <c r="M657" s="44">
        <f t="shared" si="101"/>
        <v>0</v>
      </c>
      <c r="N657" s="24">
        <v>216.75</v>
      </c>
      <c r="O657" s="24">
        <v>181.75</v>
      </c>
      <c r="P657" s="24">
        <v>211.04761904761904</v>
      </c>
      <c r="Q657" s="24" t="e">
        <f>AVERAGE(Q645,Q633,Q621,Q609,Q597,Q585,Q573,Q561,Q549,Q537)+5</f>
        <v>#VALUE!</v>
      </c>
      <c r="R657" s="24" t="e">
        <f>AVERAGE(R645,R633,R621,R609,R597,R585,R573,R561,R549,R537)</f>
        <v>#VALUE!</v>
      </c>
      <c r="S657" s="24">
        <f t="shared" si="95"/>
        <v>4.9638020336652122</v>
      </c>
      <c r="T657" s="24">
        <f>S657-D657</f>
        <v>4.9638020336652122</v>
      </c>
      <c r="U657" s="8">
        <f t="shared" si="102"/>
        <v>1</v>
      </c>
      <c r="V657" s="8">
        <f t="shared" si="103"/>
        <v>1900</v>
      </c>
      <c r="W657" s="8">
        <v>1.08</v>
      </c>
      <c r="X657" s="21" t="e" vm="1">
        <f t="array" ref="X657:Y737">[1]!'@ch5[INTERVAL:DAILY,COMPRESSION:1,SORT:ASC,NDATE:1/10/2024,FDATE:1/11/2025,VERSION:1]?DATE,CLOSE'</f>
        <v>#REF!</v>
      </c>
      <c r="Y657" s="8" t="e" vm="1">
        <v>#REF!</v>
      </c>
      <c r="Z657" s="8" t="e" vm="2">
        <f>MONTH(X657)</f>
        <v>#VALUE!</v>
      </c>
      <c r="AA657" s="8" t="e" vm="2">
        <f>YEAR(X657)</f>
        <v>#VALUE!</v>
      </c>
      <c r="AC657" s="21">
        <v>45536</v>
      </c>
      <c r="AD657" s="8" t="e">
        <f>AVERAGEIFS(Y657:Y737,Z657:Z737,AE657,AA657:AA737,AF657)/100</f>
        <v>#DIV/0!</v>
      </c>
      <c r="AE657" s="8">
        <v>10</v>
      </c>
      <c r="AF657" s="8">
        <f>YEAR(AC657)</f>
        <v>2024</v>
      </c>
    </row>
    <row r="658" spans="1:32">
      <c r="A658" s="44"/>
      <c r="B658" s="24"/>
      <c r="C658" s="24"/>
      <c r="D658" s="24"/>
      <c r="E658" s="24">
        <f t="shared" si="105"/>
        <v>0</v>
      </c>
      <c r="F658" s="24">
        <f t="shared" si="106"/>
        <v>0</v>
      </c>
      <c r="G658" s="52">
        <f t="shared" si="107"/>
        <v>4.6490000000000009</v>
      </c>
      <c r="H658" s="24">
        <f t="shared" si="109"/>
        <v>4.6490000000000009</v>
      </c>
      <c r="K658" s="48">
        <f t="shared" si="100"/>
        <v>8.3017857142857157</v>
      </c>
      <c r="L658" s="48"/>
      <c r="M658" s="44">
        <f t="shared" si="101"/>
        <v>0</v>
      </c>
      <c r="N658" s="24">
        <v>213</v>
      </c>
      <c r="O658" s="24">
        <v>199.5</v>
      </c>
      <c r="P658" s="24">
        <v>206.45</v>
      </c>
      <c r="Q658" s="24" t="e">
        <f>AVERAGE(Q646,Q634,Q622,Q610,Q598,Q586,Q574,Q562,Q550,Q538)+5</f>
        <v>#VALUE!</v>
      </c>
      <c r="R658" s="24" t="e">
        <f>AVERAGE(R646,R634,R622,R610,R598,R586,R574,R562,R550,R538)</f>
        <v>#VALUE!</v>
      </c>
      <c r="S658" s="24">
        <f t="shared" si="95"/>
        <v>4.8556668607522218</v>
      </c>
      <c r="T658" s="24">
        <f>S658-D658</f>
        <v>4.8556668607522218</v>
      </c>
      <c r="U658" s="8">
        <f t="shared" si="102"/>
        <v>1</v>
      </c>
      <c r="V658" s="8">
        <f t="shared" si="103"/>
        <v>1900</v>
      </c>
      <c r="W658" s="8">
        <v>1.08</v>
      </c>
      <c r="X658" s="21" t="e" vm="1">
        <v>#REF!</v>
      </c>
      <c r="Y658" s="8" t="e" vm="1">
        <v>#REF!</v>
      </c>
      <c r="Z658" s="8" t="e" vm="2">
        <f t="shared" ref="Z658:Z721" si="112">MONTH(X658)</f>
        <v>#VALUE!</v>
      </c>
      <c r="AA658" s="8" t="e" vm="2">
        <f t="shared" ref="AA658:AA721" si="113">YEAR(X658)</f>
        <v>#VALUE!</v>
      </c>
      <c r="AC658" s="21">
        <v>45444</v>
      </c>
      <c r="AD658" s="8" t="e">
        <f>AVERAGEIFS(Y657:Y737,Z657:Z737,AE658,AA657:AA737,AF658)/100</f>
        <v>#DIV/0!</v>
      </c>
      <c r="AE658" s="8">
        <f>MONTH(AC658)</f>
        <v>6</v>
      </c>
      <c r="AF658" s="8">
        <f>YEAR(AC658)</f>
        <v>2024</v>
      </c>
    </row>
    <row r="659" spans="1:32">
      <c r="A659" s="44"/>
      <c r="B659" s="53"/>
      <c r="C659" s="53"/>
      <c r="D659" s="53"/>
      <c r="E659" s="24">
        <f t="shared" si="105"/>
        <v>0</v>
      </c>
      <c r="F659" s="24">
        <f t="shared" si="106"/>
        <v>0</v>
      </c>
      <c r="G659" s="53">
        <f t="shared" si="107"/>
        <v>4.7430000000000012</v>
      </c>
      <c r="H659" s="53">
        <f t="shared" si="109"/>
        <v>4.7430000000000012</v>
      </c>
      <c r="K659" s="48">
        <f t="shared" si="100"/>
        <v>8.4696428571428584</v>
      </c>
      <c r="L659" s="48"/>
      <c r="M659" s="44">
        <f t="shared" si="101"/>
        <v>0</v>
      </c>
      <c r="N659" s="54" t="e">
        <f>P659+Q659</f>
        <v>#VALUE!</v>
      </c>
      <c r="O659" s="54" t="e">
        <f>P659+R659</f>
        <v>#VALUE!</v>
      </c>
      <c r="P659" s="54" t="e">
        <f>P658+AVERAGE(P647-P646,P635-P634,P623-P622,P611-P610,P599-P598,P587-P586,P575-P574,P563-P562,P551-P550,P539-P538)-9</f>
        <v>#VALUE!</v>
      </c>
      <c r="Q659" s="50" t="e">
        <f>AVERAGE(Q647,Q635,Q623,Q611,Q599,Q587,Q575,Q563,Q551,Q539)-8</f>
        <v>#VALUE!</v>
      </c>
      <c r="R659" s="50" t="e">
        <f>AVERAGE(R647,R635,R623,R611,R599,R587,R575,R563,R551,R539)+10</f>
        <v>#VALUE!</v>
      </c>
      <c r="S659" s="24" t="e">
        <f t="shared" si="95"/>
        <v>#VALUE!</v>
      </c>
      <c r="T659" s="24" t="e">
        <f t="shared" ref="T659:T678" si="114">S659-D659</f>
        <v>#VALUE!</v>
      </c>
      <c r="U659" s="8">
        <f t="shared" si="102"/>
        <v>1</v>
      </c>
      <c r="V659" s="8">
        <f t="shared" si="103"/>
        <v>1900</v>
      </c>
      <c r="W659" s="8">
        <v>1.08</v>
      </c>
      <c r="X659" s="21" t="e" vm="1">
        <v>#REF!</v>
      </c>
      <c r="Y659" s="8" t="e" vm="1">
        <v>#REF!</v>
      </c>
      <c r="Z659" s="8" t="e" vm="2">
        <f t="shared" si="112"/>
        <v>#VALUE!</v>
      </c>
      <c r="AA659" s="8" t="e" vm="2">
        <f t="shared" si="113"/>
        <v>#VALUE!</v>
      </c>
      <c r="AC659" s="21">
        <v>45474</v>
      </c>
      <c r="AD659" s="8" t="e">
        <f>AVERAGEIFS(Y657:Y737,Z657:Z737,AE659,AA657:AA737,AF659)/100</f>
        <v>#DIV/0!</v>
      </c>
      <c r="AE659" s="8">
        <f>MONTH(AC659)</f>
        <v>7</v>
      </c>
      <c r="AF659" s="8">
        <f>YEAR(AC659)</f>
        <v>2024</v>
      </c>
    </row>
    <row r="660" spans="1:32">
      <c r="A660" s="44"/>
      <c r="B660" s="53"/>
      <c r="C660" s="53"/>
      <c r="D660" s="53"/>
      <c r="E660" s="24">
        <f t="shared" si="105"/>
        <v>0</v>
      </c>
      <c r="F660" s="24">
        <f t="shared" si="106"/>
        <v>0</v>
      </c>
      <c r="G660" s="53">
        <f t="shared" si="107"/>
        <v>4.7980000000000009</v>
      </c>
      <c r="H660" s="53">
        <f t="shared" si="109"/>
        <v>4.7980000000000009</v>
      </c>
      <c r="K660" s="48">
        <f t="shared" si="100"/>
        <v>8.5678571428571448</v>
      </c>
      <c r="L660" s="48"/>
      <c r="M660" s="44">
        <f t="shared" si="101"/>
        <v>0</v>
      </c>
      <c r="N660" s="54" t="e">
        <f>P660+Q660</f>
        <v>#VALUE!</v>
      </c>
      <c r="O660" s="54" t="e">
        <f t="shared" ref="O660:O678" si="115">P660+R660</f>
        <v>#VALUE!</v>
      </c>
      <c r="P660" s="54" t="e">
        <f t="shared" ref="P660:P678" si="116">P659+AVERAGE(P648-P647,P636-P635,P624-P623,P612-P611,P600-P599,P588-P587,P576-P575,P564-P563,P552-P551,P540-P539)</f>
        <v>#VALUE!</v>
      </c>
      <c r="Q660" s="50" t="e">
        <f>AVERAGE(Q648,Q636,Q624,Q612,Q600,Q588,Q576,Q564,Q552,Q540)-6</f>
        <v>#VALUE!</v>
      </c>
      <c r="R660" s="50" t="e">
        <f t="shared" ref="Q660:R675" si="117">AVERAGE(R648,R636,R624,R612,R600,R588,R576,R564,R552,R540)</f>
        <v>#VALUE!</v>
      </c>
      <c r="S660" s="24" t="e">
        <f t="shared" si="95"/>
        <v>#VALUE!</v>
      </c>
      <c r="T660" s="24" t="e">
        <f t="shared" si="114"/>
        <v>#VALUE!</v>
      </c>
      <c r="U660" s="8">
        <f t="shared" si="102"/>
        <v>1</v>
      </c>
      <c r="V660" s="8">
        <f t="shared" si="103"/>
        <v>1900</v>
      </c>
      <c r="W660" s="8">
        <v>1.08</v>
      </c>
      <c r="X660" s="21" t="e" vm="1">
        <v>#REF!</v>
      </c>
      <c r="Y660" s="8" t="e" vm="1">
        <v>#REF!</v>
      </c>
      <c r="Z660" s="8" t="e" vm="2">
        <f t="shared" si="112"/>
        <v>#VALUE!</v>
      </c>
      <c r="AA660" s="8" t="e" vm="2">
        <f t="shared" si="113"/>
        <v>#VALUE!</v>
      </c>
    </row>
    <row r="661" spans="1:32">
      <c r="A661" s="44"/>
      <c r="B661" s="53"/>
      <c r="C661" s="53"/>
      <c r="D661" s="53"/>
      <c r="E661" s="24">
        <f t="shared" si="105"/>
        <v>0</v>
      </c>
      <c r="F661" s="24">
        <f t="shared" si="106"/>
        <v>0</v>
      </c>
      <c r="G661" s="53">
        <f t="shared" si="107"/>
        <v>4.4310000000000009</v>
      </c>
      <c r="H661" s="53">
        <f>AVERAGE(H649,H637,H625,H613,H601,H589,H577,H565,H553,H541)-0.1</f>
        <v>4.4310000000000009</v>
      </c>
      <c r="K661" s="48">
        <f t="shared" si="100"/>
        <v>7.9125000000000014</v>
      </c>
      <c r="L661" s="48"/>
      <c r="M661" s="44">
        <f t="shared" si="101"/>
        <v>0</v>
      </c>
      <c r="N661" s="54" t="e">
        <f t="shared" ref="N661:N678" si="118">P661+Q661</f>
        <v>#VALUE!</v>
      </c>
      <c r="O661" s="54" t="e">
        <f t="shared" si="115"/>
        <v>#VALUE!</v>
      </c>
      <c r="P661" s="54" t="e">
        <f t="shared" si="116"/>
        <v>#VALUE!</v>
      </c>
      <c r="Q661" s="50" t="e">
        <f>AVERAGE(Q649,Q637,Q625,Q613,Q601,Q589,Q577,Q565,Q553,Q541)-4</f>
        <v>#VALUE!</v>
      </c>
      <c r="R661" s="50" t="e">
        <f t="shared" si="117"/>
        <v>#VALUE!</v>
      </c>
      <c r="S661" s="24" t="e">
        <f>P661/39.3679/W661</f>
        <v>#VALUE!</v>
      </c>
      <c r="T661" s="24" t="e">
        <f t="shared" si="114"/>
        <v>#VALUE!</v>
      </c>
      <c r="U661" s="8">
        <f t="shared" si="102"/>
        <v>1</v>
      </c>
      <c r="V661" s="8">
        <f t="shared" si="103"/>
        <v>1900</v>
      </c>
      <c r="W661" s="8">
        <v>1.08</v>
      </c>
      <c r="X661" s="21" t="e" vm="1">
        <v>#REF!</v>
      </c>
      <c r="Y661" s="8" t="e" vm="1">
        <v>#REF!</v>
      </c>
      <c r="Z661" s="8" t="e" vm="2">
        <f t="shared" si="112"/>
        <v>#VALUE!</v>
      </c>
      <c r="AA661" s="8" t="e" vm="2">
        <f t="shared" si="113"/>
        <v>#VALUE!</v>
      </c>
      <c r="AD661" s="8" t="s">
        <v>44</v>
      </c>
    </row>
    <row r="662" spans="1:32">
      <c r="A662" s="44"/>
      <c r="B662" s="54"/>
      <c r="C662" s="54"/>
      <c r="D662" s="54"/>
      <c r="E662" s="24">
        <f t="shared" si="105"/>
        <v>0</v>
      </c>
      <c r="F662" s="24">
        <f t="shared" si="106"/>
        <v>0</v>
      </c>
      <c r="G662" s="50">
        <f t="shared" si="107"/>
        <v>4.2135999999999996</v>
      </c>
      <c r="H662" s="50">
        <f>AVERAGE(H650,H638,H626,H614,H602,H590,H578,H566,H554,H542)-0.15</f>
        <v>4.2135999999999996</v>
      </c>
      <c r="K662" s="48">
        <f t="shared" si="100"/>
        <v>7.524285714285714</v>
      </c>
      <c r="L662" s="48"/>
      <c r="M662" s="44">
        <f t="shared" si="101"/>
        <v>0</v>
      </c>
      <c r="N662" s="54" t="e">
        <f t="shared" si="118"/>
        <v>#VALUE!</v>
      </c>
      <c r="O662" s="54" t="e">
        <f>P662+R662</f>
        <v>#VALUE!</v>
      </c>
      <c r="P662" s="54" t="e">
        <f t="shared" si="116"/>
        <v>#VALUE!</v>
      </c>
      <c r="Q662" s="50" t="e">
        <f>AVERAGE(Q650,Q638,Q626,Q614,Q602,Q590,Q578,Q566,Q554,Q542)-2</f>
        <v>#VALUE!</v>
      </c>
      <c r="R662" s="50" t="e">
        <f t="shared" si="117"/>
        <v>#VALUE!</v>
      </c>
      <c r="S662" s="24" t="e">
        <f t="shared" si="95"/>
        <v>#VALUE!</v>
      </c>
      <c r="T662" s="24" t="e">
        <f>S662-D662</f>
        <v>#VALUE!</v>
      </c>
      <c r="U662" s="8">
        <f t="shared" si="102"/>
        <v>1</v>
      </c>
      <c r="V662" s="8">
        <f t="shared" si="103"/>
        <v>1900</v>
      </c>
      <c r="W662" s="8">
        <v>1.08</v>
      </c>
      <c r="X662" s="21" t="e" vm="1">
        <v>#REF!</v>
      </c>
      <c r="Y662" s="8" t="e" vm="1">
        <v>#REF!</v>
      </c>
      <c r="Z662" s="8" t="e" vm="2">
        <f t="shared" si="112"/>
        <v>#VALUE!</v>
      </c>
      <c r="AA662" s="8" t="e" vm="2">
        <f t="shared" si="113"/>
        <v>#VALUE!</v>
      </c>
      <c r="AC662" s="21">
        <f>AC657</f>
        <v>45536</v>
      </c>
      <c r="AD662" s="8">
        <f>_xlfn.MAXIFS(Y657:Y737,Z657:Z737,AE662,AA657:AA737,AF662)/100</f>
        <v>0</v>
      </c>
      <c r="AE662" s="8">
        <v>10</v>
      </c>
      <c r="AF662" s="8">
        <f>YEAR(AC662)</f>
        <v>2024</v>
      </c>
    </row>
    <row r="663" spans="1:32">
      <c r="A663" s="44"/>
      <c r="B663" s="54"/>
      <c r="C663" s="54"/>
      <c r="D663" s="54"/>
      <c r="E663" s="24">
        <f t="shared" si="105"/>
        <v>0</v>
      </c>
      <c r="F663" s="24">
        <f t="shared" si="106"/>
        <v>0</v>
      </c>
      <c r="G663" s="50">
        <f t="shared" si="107"/>
        <v>4.2302999999999997</v>
      </c>
      <c r="H663" s="50">
        <f t="shared" ref="H663:H678" si="119">AVERAGE(H651,H639,H627,H615,H603,H591,H579,H567,H555,H543)</f>
        <v>4.2302999999999997</v>
      </c>
      <c r="K663" s="48">
        <f t="shared" si="100"/>
        <v>7.5541071428571431</v>
      </c>
      <c r="L663" s="48"/>
      <c r="M663" s="44">
        <f t="shared" si="101"/>
        <v>0</v>
      </c>
      <c r="N663" s="54" t="e">
        <f t="shared" si="118"/>
        <v>#VALUE!</v>
      </c>
      <c r="O663" s="54" t="e">
        <f t="shared" si="115"/>
        <v>#VALUE!</v>
      </c>
      <c r="P663" s="54" t="e">
        <f t="shared" si="116"/>
        <v>#VALUE!</v>
      </c>
      <c r="Q663" s="50" t="e">
        <f>AVERAGE(Q651,Q639,Q627,Q615,Q603,Q591,Q579,Q567,Q555,Q543)-1</f>
        <v>#VALUE!</v>
      </c>
      <c r="R663" s="50" t="e">
        <f t="shared" si="117"/>
        <v>#VALUE!</v>
      </c>
      <c r="S663" s="24" t="e">
        <f t="shared" si="95"/>
        <v>#VALUE!</v>
      </c>
      <c r="T663" s="24" t="e">
        <f t="shared" si="114"/>
        <v>#VALUE!</v>
      </c>
      <c r="U663" s="8">
        <f t="shared" si="102"/>
        <v>1</v>
      </c>
      <c r="V663" s="8">
        <f t="shared" si="103"/>
        <v>1900</v>
      </c>
      <c r="W663" s="8">
        <v>1.08</v>
      </c>
      <c r="X663" s="21" t="e" vm="1">
        <v>#REF!</v>
      </c>
      <c r="Y663" s="8" t="e" vm="1">
        <v>#REF!</v>
      </c>
      <c r="Z663" s="8" t="e" vm="2">
        <f t="shared" si="112"/>
        <v>#VALUE!</v>
      </c>
      <c r="AA663" s="8" t="e" vm="2">
        <f t="shared" si="113"/>
        <v>#VALUE!</v>
      </c>
      <c r="AC663" s="21">
        <f t="shared" ref="AC663:AC664" si="120">AC658</f>
        <v>45444</v>
      </c>
      <c r="AD663" s="8">
        <f>_xlfn.MAXIFS(Y656:Y737,Z656:Z737,AE663,AA656:AA737,AF663)/100</f>
        <v>0</v>
      </c>
      <c r="AE663" s="8">
        <f>MONTH(AC663)</f>
        <v>6</v>
      </c>
      <c r="AF663" s="8">
        <f>YEAR(AC663)</f>
        <v>2024</v>
      </c>
    </row>
    <row r="664" spans="1:32">
      <c r="A664" s="44"/>
      <c r="B664" s="54"/>
      <c r="C664" s="54"/>
      <c r="D664" s="54"/>
      <c r="E664" s="24">
        <f t="shared" si="105"/>
        <v>0</v>
      </c>
      <c r="F664" s="24">
        <f t="shared" si="106"/>
        <v>0</v>
      </c>
      <c r="G664" s="50">
        <f t="shared" si="107"/>
        <v>4.1671000000000005</v>
      </c>
      <c r="H664" s="50">
        <f t="shared" si="119"/>
        <v>4.1671000000000005</v>
      </c>
      <c r="K664" s="48">
        <f t="shared" si="100"/>
        <v>7.441250000000001</v>
      </c>
      <c r="L664" s="48"/>
      <c r="M664" s="44">
        <f t="shared" si="101"/>
        <v>0</v>
      </c>
      <c r="N664" s="54" t="e">
        <f t="shared" si="118"/>
        <v>#VALUE!</v>
      </c>
      <c r="O664" s="54" t="e">
        <f t="shared" si="115"/>
        <v>#VALUE!</v>
      </c>
      <c r="P664" s="54" t="e">
        <f t="shared" si="116"/>
        <v>#VALUE!</v>
      </c>
      <c r="Q664" s="50" t="e">
        <f>AVERAGE(Q652,Q640,Q628,Q616,Q604,Q592,Q580,Q568,Q556,Q544)-3</f>
        <v>#VALUE!</v>
      </c>
      <c r="R664" s="50" t="e">
        <f t="shared" si="117"/>
        <v>#VALUE!</v>
      </c>
      <c r="S664" s="24" t="e">
        <f t="shared" si="95"/>
        <v>#VALUE!</v>
      </c>
      <c r="T664" s="24" t="e">
        <f t="shared" si="114"/>
        <v>#VALUE!</v>
      </c>
      <c r="U664" s="8">
        <f t="shared" si="102"/>
        <v>1</v>
      </c>
      <c r="V664" s="8">
        <f t="shared" si="103"/>
        <v>1900</v>
      </c>
      <c r="W664" s="8">
        <v>1.08</v>
      </c>
      <c r="X664" s="21" t="e" vm="1">
        <v>#REF!</v>
      </c>
      <c r="Y664" s="8" t="e" vm="1">
        <v>#REF!</v>
      </c>
      <c r="Z664" s="8" t="e" vm="2">
        <f t="shared" si="112"/>
        <v>#VALUE!</v>
      </c>
      <c r="AA664" s="8" t="e" vm="2">
        <f t="shared" si="113"/>
        <v>#VALUE!</v>
      </c>
      <c r="AC664" s="21">
        <f t="shared" si="120"/>
        <v>45474</v>
      </c>
      <c r="AD664" s="8">
        <f>_xlfn.MAXIFS(Y656:Y737,Z656:Z737,AE664,AA656:AA737,AF664)/100</f>
        <v>0</v>
      </c>
      <c r="AE664" s="8">
        <f>MONTH(AC664)</f>
        <v>7</v>
      </c>
      <c r="AF664" s="8">
        <f>YEAR(AC664)</f>
        <v>2024</v>
      </c>
    </row>
    <row r="665" spans="1:32">
      <c r="A665" s="44"/>
      <c r="B665" s="54"/>
      <c r="C665" s="54"/>
      <c r="D665" s="54"/>
      <c r="E665" s="24">
        <f t="shared" si="105"/>
        <v>0</v>
      </c>
      <c r="F665" s="24">
        <f t="shared" si="106"/>
        <v>0</v>
      </c>
      <c r="G665" s="50">
        <f t="shared" si="107"/>
        <v>4.1618999999999993</v>
      </c>
      <c r="H665" s="50">
        <f t="shared" si="119"/>
        <v>4.1618999999999993</v>
      </c>
      <c r="K665" s="48">
        <f t="shared" si="100"/>
        <v>7.4319642857142849</v>
      </c>
      <c r="L665" s="48"/>
      <c r="M665" s="44">
        <f t="shared" si="101"/>
        <v>0</v>
      </c>
      <c r="N665" s="54" t="e">
        <f t="shared" si="118"/>
        <v>#VALUE!</v>
      </c>
      <c r="O665" s="54" t="e">
        <f t="shared" si="115"/>
        <v>#VALUE!</v>
      </c>
      <c r="P665" s="54" t="e">
        <f>P664+AVERAGE(P653-P652,P641-P640,P629-P628,P617-P616,P605-P604,P593-P592,P581-P580,P569-P568,P557-P556,P545-P544)</f>
        <v>#VALUE!</v>
      </c>
      <c r="Q665" s="50" t="e">
        <f>AVERAGE(Q653,Q641,Q629,Q617,Q605,Q593,Q581,Q569,Q557,Q545)-3</f>
        <v>#VALUE!</v>
      </c>
      <c r="R665" s="50" t="e">
        <f t="shared" si="117"/>
        <v>#VALUE!</v>
      </c>
      <c r="S665" s="24" t="e">
        <f t="shared" si="95"/>
        <v>#VALUE!</v>
      </c>
      <c r="T665" s="24" t="e">
        <f t="shared" si="114"/>
        <v>#VALUE!</v>
      </c>
      <c r="U665" s="8">
        <f t="shared" si="102"/>
        <v>1</v>
      </c>
      <c r="V665" s="8">
        <f t="shared" si="103"/>
        <v>1900</v>
      </c>
      <c r="W665" s="8">
        <v>1.08</v>
      </c>
      <c r="X665" s="21" t="e" vm="1">
        <v>#REF!</v>
      </c>
      <c r="Y665" s="8" t="e" vm="1">
        <v>#REF!</v>
      </c>
      <c r="Z665" s="8" t="e" vm="2">
        <f t="shared" si="112"/>
        <v>#VALUE!</v>
      </c>
      <c r="AA665" s="8" t="e" vm="2">
        <f t="shared" si="113"/>
        <v>#VALUE!</v>
      </c>
    </row>
    <row r="666" spans="1:32">
      <c r="A666" s="44"/>
      <c r="B666" s="54"/>
      <c r="C666" s="54"/>
      <c r="D666" s="54"/>
      <c r="E666" s="24">
        <f t="shared" si="105"/>
        <v>0</v>
      </c>
      <c r="F666" s="24">
        <f t="shared" si="106"/>
        <v>0</v>
      </c>
      <c r="G666" s="50">
        <f t="shared" si="107"/>
        <v>4.2639000000000005</v>
      </c>
      <c r="H666" s="50">
        <f t="shared" si="119"/>
        <v>4.2639000000000005</v>
      </c>
      <c r="K666" s="48">
        <f t="shared" si="100"/>
        <v>7.6141071428571436</v>
      </c>
      <c r="L666" s="48"/>
      <c r="M666" s="44">
        <f t="shared" si="101"/>
        <v>0</v>
      </c>
      <c r="N666" s="54" t="e">
        <f t="shared" si="118"/>
        <v>#VALUE!</v>
      </c>
      <c r="O666" s="54" t="e">
        <f t="shared" si="115"/>
        <v>#VALUE!</v>
      </c>
      <c r="P666" s="54" t="e">
        <f>P665+AVERAGE(P654-P653,P642-P641,P630-P629,P618-P617,P606-P605,P594-P593,P582-P581,P570-P569,P558-P557,P546-P545)</f>
        <v>#VALUE!</v>
      </c>
      <c r="Q666" s="50" t="e">
        <f>AVERAGE(Q654,Q642,Q630,Q618,Q606,Q594,Q582,Q570,Q558,Q546)-5</f>
        <v>#VALUE!</v>
      </c>
      <c r="R666" s="50" t="e">
        <f t="shared" si="117"/>
        <v>#VALUE!</v>
      </c>
      <c r="S666" s="24" t="e">
        <f t="shared" si="95"/>
        <v>#VALUE!</v>
      </c>
      <c r="T666" s="24" t="e">
        <f t="shared" si="114"/>
        <v>#VALUE!</v>
      </c>
      <c r="U666" s="8">
        <f t="shared" si="102"/>
        <v>1</v>
      </c>
      <c r="V666" s="8">
        <f t="shared" si="103"/>
        <v>1900</v>
      </c>
      <c r="W666" s="8">
        <v>1.08</v>
      </c>
      <c r="X666" s="21" t="e" vm="1">
        <v>#REF!</v>
      </c>
      <c r="Y666" s="8" t="e" vm="1">
        <v>#REF!</v>
      </c>
      <c r="Z666" s="8" t="e" vm="2">
        <f t="shared" si="112"/>
        <v>#VALUE!</v>
      </c>
      <c r="AA666" s="8" t="e" vm="2">
        <f t="shared" si="113"/>
        <v>#VALUE!</v>
      </c>
    </row>
    <row r="667" spans="1:32">
      <c r="A667" s="44"/>
      <c r="B667" s="50"/>
      <c r="C667" s="50"/>
      <c r="D667" s="50"/>
      <c r="E667" s="24">
        <f t="shared" si="105"/>
        <v>0</v>
      </c>
      <c r="F667" s="24">
        <f t="shared" si="106"/>
        <v>0</v>
      </c>
      <c r="G667" s="50">
        <f t="shared" si="107"/>
        <v>4.3280000000000003</v>
      </c>
      <c r="H667" s="50">
        <f t="shared" si="119"/>
        <v>4.3280000000000003</v>
      </c>
      <c r="K667" s="48">
        <f t="shared" si="100"/>
        <v>7.7285714285714295</v>
      </c>
      <c r="L667" s="48"/>
      <c r="M667" s="44">
        <f t="shared" si="101"/>
        <v>0</v>
      </c>
      <c r="N667" s="50" t="e">
        <f t="shared" si="118"/>
        <v>#VALUE!</v>
      </c>
      <c r="O667" s="50" t="e">
        <f t="shared" si="115"/>
        <v>#VALUE!</v>
      </c>
      <c r="P667" s="54" t="e">
        <f t="shared" si="116"/>
        <v>#VALUE!</v>
      </c>
      <c r="Q667" s="50" t="e">
        <f>AVERAGE(Q655,Q643,Q631,Q619,Q607,Q595,Q583,Q571,Q559,Q547)-5</f>
        <v>#VALUE!</v>
      </c>
      <c r="R667" s="50" t="e">
        <f t="shared" si="117"/>
        <v>#VALUE!</v>
      </c>
      <c r="S667" s="24" t="e">
        <f t="shared" si="95"/>
        <v>#VALUE!</v>
      </c>
      <c r="T667" s="24" t="e">
        <f t="shared" si="114"/>
        <v>#VALUE!</v>
      </c>
      <c r="U667" s="8">
        <f t="shared" si="102"/>
        <v>1</v>
      </c>
      <c r="V667" s="8">
        <f t="shared" si="103"/>
        <v>1900</v>
      </c>
      <c r="W667" s="8">
        <v>1.08</v>
      </c>
      <c r="X667" s="21" t="e" vm="1">
        <v>#REF!</v>
      </c>
      <c r="Y667" s="8" t="e" vm="1">
        <v>#REF!</v>
      </c>
      <c r="Z667" s="8" t="e" vm="2">
        <f t="shared" si="112"/>
        <v>#VALUE!</v>
      </c>
      <c r="AA667" s="8" t="e" vm="2">
        <f t="shared" si="113"/>
        <v>#VALUE!</v>
      </c>
      <c r="AD667" s="8" t="s">
        <v>45</v>
      </c>
    </row>
    <row r="668" spans="1:32">
      <c r="A668" s="44"/>
      <c r="B668" s="50"/>
      <c r="C668" s="50"/>
      <c r="D668" s="50"/>
      <c r="E668" s="24">
        <f t="shared" si="105"/>
        <v>0</v>
      </c>
      <c r="F668" s="24">
        <f t="shared" si="106"/>
        <v>0</v>
      </c>
      <c r="G668" s="50">
        <f t="shared" si="107"/>
        <v>4.4389000000000003</v>
      </c>
      <c r="H668" s="50">
        <f t="shared" si="119"/>
        <v>4.4389000000000003</v>
      </c>
      <c r="K668" s="48">
        <f t="shared" si="100"/>
        <v>7.9266071428571436</v>
      </c>
      <c r="L668" s="48"/>
      <c r="M668" s="44">
        <f t="shared" si="101"/>
        <v>0</v>
      </c>
      <c r="N668" s="50" t="e">
        <f t="shared" si="118"/>
        <v>#VALUE!</v>
      </c>
      <c r="O668" s="50" t="e">
        <f t="shared" si="115"/>
        <v>#VALUE!</v>
      </c>
      <c r="P668" s="54" t="e">
        <f>P667+AVERAGE(P656-P655,P644-P643,P632-P631,P620-P619,P608-P607,P596-P595,P584-P583,P572-P571,P560-P559,P548-P547)</f>
        <v>#VALUE!</v>
      </c>
      <c r="Q668" s="50" t="e">
        <f>AVERAGE(Q656,Q644,Q632,Q620,Q608,Q596,Q584,Q572,Q560,Q548)-5</f>
        <v>#VALUE!</v>
      </c>
      <c r="R668" s="50" t="e">
        <f t="shared" si="117"/>
        <v>#VALUE!</v>
      </c>
      <c r="S668" s="24" t="e">
        <f t="shared" si="95"/>
        <v>#VALUE!</v>
      </c>
      <c r="T668" s="24" t="e">
        <f t="shared" si="114"/>
        <v>#VALUE!</v>
      </c>
      <c r="U668" s="8">
        <f t="shared" si="102"/>
        <v>1</v>
      </c>
      <c r="V668" s="8">
        <f t="shared" si="103"/>
        <v>1900</v>
      </c>
      <c r="W668" s="8">
        <v>1.08</v>
      </c>
      <c r="X668" s="21" t="e" vm="1">
        <v>#REF!</v>
      </c>
      <c r="Y668" s="8" t="e" vm="1">
        <v>#REF!</v>
      </c>
      <c r="Z668" s="8" t="e" vm="2">
        <f t="shared" si="112"/>
        <v>#VALUE!</v>
      </c>
      <c r="AA668" s="8" t="e" vm="2">
        <f t="shared" si="113"/>
        <v>#VALUE!</v>
      </c>
      <c r="AC668" s="21">
        <f>AC657</f>
        <v>45536</v>
      </c>
      <c r="AD668" s="8">
        <f>_xlfn.MINIFS(Y657:Y737,Z657:Z737,AE668,AA657:AA737,AF668)/100</f>
        <v>0</v>
      </c>
      <c r="AE668" s="8">
        <v>10</v>
      </c>
      <c r="AF668" s="8">
        <f>YEAR(AC668)</f>
        <v>2024</v>
      </c>
    </row>
    <row r="669" spans="1:32">
      <c r="A669" s="44"/>
      <c r="B669" s="50"/>
      <c r="C669" s="50"/>
      <c r="D669" s="50"/>
      <c r="E669" s="24">
        <f t="shared" si="105"/>
        <v>0</v>
      </c>
      <c r="F669" s="24">
        <f t="shared" si="106"/>
        <v>0</v>
      </c>
      <c r="G669" s="50">
        <f t="shared" si="107"/>
        <v>4.4808000000000003</v>
      </c>
      <c r="H669" s="50">
        <f t="shared" si="119"/>
        <v>4.4808000000000003</v>
      </c>
      <c r="K669" s="48">
        <f t="shared" si="100"/>
        <v>8.0014285714285727</v>
      </c>
      <c r="L669" s="48"/>
      <c r="M669" s="44">
        <f t="shared" si="101"/>
        <v>0</v>
      </c>
      <c r="N669" s="50" t="e">
        <f t="shared" si="118"/>
        <v>#VALUE!</v>
      </c>
      <c r="O669" s="50" t="e">
        <f t="shared" si="115"/>
        <v>#VALUE!</v>
      </c>
      <c r="P669" s="54" t="e">
        <f t="shared" si="116"/>
        <v>#VALUE!</v>
      </c>
      <c r="Q669" s="50" t="e">
        <f>AVERAGE(Q657,Q645,Q633,Q621,Q609,Q597,Q585,Q573,Q561,Q549)-10</f>
        <v>#VALUE!</v>
      </c>
      <c r="R669" s="50" t="e">
        <f t="shared" si="117"/>
        <v>#VALUE!</v>
      </c>
      <c r="S669" s="24" t="e">
        <f t="shared" si="95"/>
        <v>#VALUE!</v>
      </c>
      <c r="T669" s="24" t="e">
        <f t="shared" si="114"/>
        <v>#VALUE!</v>
      </c>
      <c r="U669" s="8">
        <f t="shared" si="102"/>
        <v>1</v>
      </c>
      <c r="V669" s="8">
        <f t="shared" si="103"/>
        <v>1900</v>
      </c>
      <c r="W669" s="8">
        <v>1.08</v>
      </c>
      <c r="X669" s="21" t="e" vm="1">
        <v>#REF!</v>
      </c>
      <c r="Y669" s="8" t="e" vm="1">
        <v>#REF!</v>
      </c>
      <c r="Z669" s="8" t="e" vm="2">
        <f t="shared" si="112"/>
        <v>#VALUE!</v>
      </c>
      <c r="AA669" s="8" t="e" vm="2">
        <f t="shared" si="113"/>
        <v>#VALUE!</v>
      </c>
      <c r="AC669" s="21">
        <f t="shared" ref="AC669:AC670" si="121">AC658</f>
        <v>45444</v>
      </c>
      <c r="AD669" s="8">
        <f>_xlfn.MINIFS(Y656:Y737,Z656:Z737,AE669,AA656:AA737,AF669)/100</f>
        <v>0</v>
      </c>
      <c r="AE669" s="8">
        <f>MONTH(AC669)</f>
        <v>6</v>
      </c>
      <c r="AF669" s="8">
        <f>YEAR(AC669)</f>
        <v>2024</v>
      </c>
    </row>
    <row r="670" spans="1:32">
      <c r="A670" s="44"/>
      <c r="B670" s="50"/>
      <c r="C670" s="50"/>
      <c r="D670" s="50"/>
      <c r="E670" s="24">
        <f t="shared" si="105"/>
        <v>0</v>
      </c>
      <c r="F670" s="24">
        <f t="shared" si="106"/>
        <v>0</v>
      </c>
      <c r="G670" s="50">
        <f t="shared" si="107"/>
        <v>4.5548999999999991</v>
      </c>
      <c r="H670" s="50">
        <f t="shared" si="119"/>
        <v>4.5548999999999991</v>
      </c>
      <c r="K670" s="48">
        <f t="shared" si="100"/>
        <v>8.1337499999999974</v>
      </c>
      <c r="L670" s="48"/>
      <c r="M670" s="44">
        <f t="shared" si="101"/>
        <v>0</v>
      </c>
      <c r="N670" s="50" t="e">
        <f t="shared" si="118"/>
        <v>#VALUE!</v>
      </c>
      <c r="O670" s="50" t="e">
        <f t="shared" si="115"/>
        <v>#VALUE!</v>
      </c>
      <c r="P670" s="54" t="e">
        <f t="shared" si="116"/>
        <v>#VALUE!</v>
      </c>
      <c r="Q670" s="50" t="e">
        <f t="shared" si="117"/>
        <v>#VALUE!</v>
      </c>
      <c r="R670" s="50" t="e">
        <f t="shared" si="117"/>
        <v>#VALUE!</v>
      </c>
      <c r="S670" s="24" t="e">
        <f t="shared" si="95"/>
        <v>#VALUE!</v>
      </c>
      <c r="T670" s="24" t="e">
        <f t="shared" si="114"/>
        <v>#VALUE!</v>
      </c>
      <c r="U670" s="8">
        <f t="shared" si="102"/>
        <v>1</v>
      </c>
      <c r="V670" s="8">
        <f t="shared" si="103"/>
        <v>1900</v>
      </c>
      <c r="W670" s="8">
        <v>1.08</v>
      </c>
      <c r="X670" s="21" t="e" vm="1">
        <v>#REF!</v>
      </c>
      <c r="Y670" s="8" t="e" vm="1">
        <v>#REF!</v>
      </c>
      <c r="Z670" s="8" t="e" vm="2">
        <f t="shared" si="112"/>
        <v>#VALUE!</v>
      </c>
      <c r="AA670" s="8" t="e" vm="2">
        <f t="shared" si="113"/>
        <v>#VALUE!</v>
      </c>
      <c r="AC670" s="21">
        <f t="shared" si="121"/>
        <v>45474</v>
      </c>
      <c r="AD670" s="8">
        <f>_xlfn.MINIFS(Y656:Y737,Z656:Z737,AE670,AA656:AA737,AF670)/100</f>
        <v>0</v>
      </c>
      <c r="AE670" s="8">
        <f>MONTH(AC670)</f>
        <v>7</v>
      </c>
      <c r="AF670" s="8">
        <f>YEAR(AC670)</f>
        <v>2024</v>
      </c>
    </row>
    <row r="671" spans="1:32">
      <c r="A671" s="44"/>
      <c r="B671" s="50"/>
      <c r="C671" s="50"/>
      <c r="D671" s="50"/>
      <c r="E671" s="24">
        <f t="shared" si="105"/>
        <v>0</v>
      </c>
      <c r="F671" s="24">
        <f t="shared" si="106"/>
        <v>0</v>
      </c>
      <c r="G671" s="50">
        <f t="shared" si="107"/>
        <v>4.6683000000000003</v>
      </c>
      <c r="H671" s="50">
        <f t="shared" si="119"/>
        <v>4.6683000000000003</v>
      </c>
      <c r="K671" s="48">
        <f t="shared" si="100"/>
        <v>8.3362499999999997</v>
      </c>
      <c r="L671" s="48"/>
      <c r="M671" s="44">
        <f t="shared" si="101"/>
        <v>0</v>
      </c>
      <c r="N671" s="50" t="e">
        <f t="shared" si="118"/>
        <v>#VALUE!</v>
      </c>
      <c r="O671" s="50" t="e">
        <f t="shared" si="115"/>
        <v>#VALUE!</v>
      </c>
      <c r="P671" s="54" t="e">
        <f t="shared" si="116"/>
        <v>#VALUE!</v>
      </c>
      <c r="Q671" s="50" t="e">
        <f t="shared" si="117"/>
        <v>#VALUE!</v>
      </c>
      <c r="R671" s="50" t="e">
        <f t="shared" si="117"/>
        <v>#VALUE!</v>
      </c>
      <c r="S671" s="24" t="e">
        <f t="shared" si="95"/>
        <v>#VALUE!</v>
      </c>
      <c r="T671" s="24" t="e">
        <f t="shared" si="114"/>
        <v>#VALUE!</v>
      </c>
      <c r="U671" s="8">
        <f t="shared" si="102"/>
        <v>1</v>
      </c>
      <c r="V671" s="8">
        <f t="shared" si="103"/>
        <v>1900</v>
      </c>
      <c r="W671" s="8">
        <v>1.08</v>
      </c>
      <c r="X671" s="21" t="e" vm="1">
        <v>#REF!</v>
      </c>
      <c r="Y671" s="8" t="e" vm="1">
        <v>#REF!</v>
      </c>
      <c r="Z671" s="8" t="e" vm="2">
        <f t="shared" si="112"/>
        <v>#VALUE!</v>
      </c>
      <c r="AA671" s="8" t="e" vm="2">
        <f t="shared" si="113"/>
        <v>#VALUE!</v>
      </c>
    </row>
    <row r="672" spans="1:32">
      <c r="A672" s="44"/>
      <c r="B672" s="50"/>
      <c r="C672" s="50"/>
      <c r="D672" s="50"/>
      <c r="E672" s="24">
        <f t="shared" si="105"/>
        <v>0</v>
      </c>
      <c r="F672" s="24">
        <f t="shared" si="106"/>
        <v>0</v>
      </c>
      <c r="G672" s="50">
        <f t="shared" si="107"/>
        <v>4.7257999999999996</v>
      </c>
      <c r="H672" s="50">
        <f t="shared" si="119"/>
        <v>4.7257999999999996</v>
      </c>
      <c r="K672" s="48">
        <f t="shared" si="100"/>
        <v>8.4389285714285709</v>
      </c>
      <c r="L672" s="48"/>
      <c r="M672" s="44">
        <f t="shared" si="101"/>
        <v>0</v>
      </c>
      <c r="N672" s="50" t="e">
        <f t="shared" si="118"/>
        <v>#VALUE!</v>
      </c>
      <c r="O672" s="50" t="e">
        <f t="shared" si="115"/>
        <v>#VALUE!</v>
      </c>
      <c r="P672" s="54" t="e">
        <f t="shared" si="116"/>
        <v>#VALUE!</v>
      </c>
      <c r="Q672" s="50" t="e">
        <f t="shared" si="117"/>
        <v>#VALUE!</v>
      </c>
      <c r="R672" s="50" t="e">
        <f t="shared" si="117"/>
        <v>#VALUE!</v>
      </c>
      <c r="S672" s="24" t="e">
        <f t="shared" si="95"/>
        <v>#VALUE!</v>
      </c>
      <c r="T672" s="24" t="e">
        <f t="shared" si="114"/>
        <v>#VALUE!</v>
      </c>
      <c r="U672" s="8">
        <f t="shared" si="102"/>
        <v>1</v>
      </c>
      <c r="V672" s="8">
        <f t="shared" si="103"/>
        <v>1900</v>
      </c>
      <c r="W672" s="8">
        <v>1.08</v>
      </c>
      <c r="X672" s="21" t="e" vm="1">
        <v>#REF!</v>
      </c>
      <c r="Y672" s="8" t="e" vm="1">
        <v>#REF!</v>
      </c>
      <c r="Z672" s="8" t="e" vm="2">
        <f t="shared" si="112"/>
        <v>#VALUE!</v>
      </c>
      <c r="AA672" s="8" t="e" vm="2">
        <f t="shared" si="113"/>
        <v>#VALUE!</v>
      </c>
    </row>
    <row r="673" spans="1:34">
      <c r="A673" s="44"/>
      <c r="B673" s="50"/>
      <c r="C673" s="50"/>
      <c r="D673" s="50"/>
      <c r="E673" s="24">
        <f t="shared" si="105"/>
        <v>0</v>
      </c>
      <c r="F673" s="24">
        <f t="shared" si="106"/>
        <v>0</v>
      </c>
      <c r="G673" s="50">
        <f t="shared" si="107"/>
        <v>4.5891000000000002</v>
      </c>
      <c r="H673" s="50">
        <f t="shared" si="119"/>
        <v>4.5891000000000002</v>
      </c>
      <c r="K673" s="48">
        <f t="shared" si="100"/>
        <v>8.1948214285714283</v>
      </c>
      <c r="L673" s="48"/>
      <c r="M673" s="44">
        <f t="shared" si="101"/>
        <v>0</v>
      </c>
      <c r="N673" s="50" t="e">
        <f t="shared" si="118"/>
        <v>#VALUE!</v>
      </c>
      <c r="O673" s="50" t="e">
        <f t="shared" si="115"/>
        <v>#VALUE!</v>
      </c>
      <c r="P673" s="54" t="e">
        <f t="shared" si="116"/>
        <v>#VALUE!</v>
      </c>
      <c r="Q673" s="50" t="e">
        <f t="shared" si="117"/>
        <v>#VALUE!</v>
      </c>
      <c r="R673" s="50" t="e">
        <f t="shared" si="117"/>
        <v>#VALUE!</v>
      </c>
      <c r="S673" s="24" t="e">
        <f t="shared" si="95"/>
        <v>#VALUE!</v>
      </c>
      <c r="T673" s="24" t="e">
        <f t="shared" si="114"/>
        <v>#VALUE!</v>
      </c>
      <c r="U673" s="8">
        <f t="shared" si="102"/>
        <v>1</v>
      </c>
      <c r="V673" s="8">
        <f t="shared" si="103"/>
        <v>1900</v>
      </c>
      <c r="W673" s="8">
        <v>1.08</v>
      </c>
      <c r="X673" s="21" t="e" vm="1">
        <v>#REF!</v>
      </c>
      <c r="Y673" s="8" t="e" vm="1">
        <v>#REF!</v>
      </c>
      <c r="Z673" s="8" t="e" vm="2">
        <f t="shared" si="112"/>
        <v>#VALUE!</v>
      </c>
      <c r="AA673" s="8" t="e" vm="2">
        <f t="shared" si="113"/>
        <v>#VALUE!</v>
      </c>
    </row>
    <row r="674" spans="1:34">
      <c r="A674" s="44"/>
      <c r="B674" s="50"/>
      <c r="C674" s="50"/>
      <c r="D674" s="50"/>
      <c r="E674" s="24">
        <f t="shared" si="105"/>
        <v>0</v>
      </c>
      <c r="F674" s="24">
        <f t="shared" si="106"/>
        <v>0</v>
      </c>
      <c r="G674" s="50">
        <f t="shared" si="107"/>
        <v>4.4339600000000008</v>
      </c>
      <c r="H674" s="50">
        <f t="shared" si="119"/>
        <v>4.4339600000000008</v>
      </c>
      <c r="K674" s="48">
        <f t="shared" si="100"/>
        <v>7.9177857142857162</v>
      </c>
      <c r="L674" s="48"/>
      <c r="M674" s="44">
        <f t="shared" si="101"/>
        <v>0</v>
      </c>
      <c r="N674" s="50" t="e">
        <f t="shared" si="118"/>
        <v>#VALUE!</v>
      </c>
      <c r="O674" s="50" t="e">
        <f t="shared" si="115"/>
        <v>#VALUE!</v>
      </c>
      <c r="P674" s="54" t="e">
        <f t="shared" si="116"/>
        <v>#VALUE!</v>
      </c>
      <c r="Q674" s="50" t="e">
        <f t="shared" si="117"/>
        <v>#VALUE!</v>
      </c>
      <c r="R674" s="50" t="e">
        <f t="shared" si="117"/>
        <v>#VALUE!</v>
      </c>
      <c r="S674" s="24" t="e">
        <f t="shared" si="95"/>
        <v>#VALUE!</v>
      </c>
      <c r="T674" s="24" t="e">
        <f t="shared" si="114"/>
        <v>#VALUE!</v>
      </c>
      <c r="U674" s="8">
        <f t="shared" si="102"/>
        <v>1</v>
      </c>
      <c r="V674" s="8">
        <f t="shared" si="103"/>
        <v>1900</v>
      </c>
      <c r="W674" s="8">
        <v>1.08</v>
      </c>
      <c r="X674" s="21" t="e" vm="1">
        <v>#REF!</v>
      </c>
      <c r="Y674" s="8" t="e" vm="1">
        <v>#REF!</v>
      </c>
      <c r="Z674" s="8" t="e" vm="2">
        <f t="shared" si="112"/>
        <v>#VALUE!</v>
      </c>
      <c r="AA674" s="8" t="e" vm="2">
        <f t="shared" si="113"/>
        <v>#VALUE!</v>
      </c>
    </row>
    <row r="675" spans="1:34">
      <c r="A675" s="44"/>
      <c r="B675" s="50"/>
      <c r="C675" s="50"/>
      <c r="D675" s="50"/>
      <c r="E675" s="24">
        <f t="shared" si="105"/>
        <v>0</v>
      </c>
      <c r="F675" s="24">
        <f t="shared" si="106"/>
        <v>0</v>
      </c>
      <c r="G675" s="50">
        <f t="shared" si="107"/>
        <v>4.29833</v>
      </c>
      <c r="H675" s="50">
        <f t="shared" si="119"/>
        <v>4.29833</v>
      </c>
      <c r="K675" s="48">
        <f t="shared" si="100"/>
        <v>7.6755892857142864</v>
      </c>
      <c r="L675" s="48"/>
      <c r="M675" s="44">
        <f t="shared" si="101"/>
        <v>0</v>
      </c>
      <c r="N675" s="50" t="e">
        <f t="shared" si="118"/>
        <v>#VALUE!</v>
      </c>
      <c r="O675" s="50" t="e">
        <f t="shared" si="115"/>
        <v>#VALUE!</v>
      </c>
      <c r="P675" s="54" t="e">
        <f t="shared" si="116"/>
        <v>#VALUE!</v>
      </c>
      <c r="Q675" s="50" t="e">
        <f t="shared" si="117"/>
        <v>#VALUE!</v>
      </c>
      <c r="R675" s="50" t="e">
        <f t="shared" si="117"/>
        <v>#VALUE!</v>
      </c>
      <c r="S675" s="24" t="e">
        <f t="shared" si="95"/>
        <v>#VALUE!</v>
      </c>
      <c r="T675" s="24" t="e">
        <f t="shared" si="114"/>
        <v>#VALUE!</v>
      </c>
      <c r="U675" s="8">
        <f t="shared" si="102"/>
        <v>1</v>
      </c>
      <c r="V675" s="8">
        <f t="shared" si="103"/>
        <v>1900</v>
      </c>
      <c r="W675" s="8">
        <v>1.08</v>
      </c>
      <c r="X675" s="21" t="e" vm="1">
        <v>#REF!</v>
      </c>
      <c r="Y675" s="8" t="e" vm="1">
        <v>#REF!</v>
      </c>
      <c r="Z675" s="8" t="e" vm="2">
        <f t="shared" si="112"/>
        <v>#VALUE!</v>
      </c>
      <c r="AA675" s="8" t="e" vm="2">
        <f t="shared" si="113"/>
        <v>#VALUE!</v>
      </c>
      <c r="AC675" s="20"/>
      <c r="AH675" s="8" t="s">
        <v>46</v>
      </c>
    </row>
    <row r="676" spans="1:34">
      <c r="A676" s="44"/>
      <c r="B676" s="50"/>
      <c r="C676" s="50"/>
      <c r="D676" s="50"/>
      <c r="E676" s="24">
        <f t="shared" si="105"/>
        <v>0</v>
      </c>
      <c r="F676" s="24">
        <f t="shared" si="106"/>
        <v>0</v>
      </c>
      <c r="G676" s="50">
        <f t="shared" si="107"/>
        <v>4.2168100000000006</v>
      </c>
      <c r="H676" s="50">
        <f t="shared" si="119"/>
        <v>4.2168100000000006</v>
      </c>
      <c r="K676" s="48">
        <f t="shared" si="100"/>
        <v>7.530017857142858</v>
      </c>
      <c r="L676" s="48"/>
      <c r="M676" s="44">
        <f t="shared" si="101"/>
        <v>0</v>
      </c>
      <c r="N676" s="50" t="e">
        <f t="shared" si="118"/>
        <v>#VALUE!</v>
      </c>
      <c r="O676" s="50" t="e">
        <f t="shared" si="115"/>
        <v>#VALUE!</v>
      </c>
      <c r="P676" s="54" t="e">
        <f t="shared" si="116"/>
        <v>#VALUE!</v>
      </c>
      <c r="Q676" s="50" t="e">
        <f t="shared" ref="Q676:R678" si="122">AVERAGE(Q664,Q652,Q640,Q628,Q616,Q604,Q592,Q580,Q568,Q556)</f>
        <v>#VALUE!</v>
      </c>
      <c r="R676" s="50" t="e">
        <f t="shared" si="122"/>
        <v>#VALUE!</v>
      </c>
      <c r="S676" s="24" t="e">
        <f t="shared" si="95"/>
        <v>#VALUE!</v>
      </c>
      <c r="T676" s="24" t="e">
        <f t="shared" si="114"/>
        <v>#VALUE!</v>
      </c>
      <c r="U676" s="8">
        <f t="shared" si="102"/>
        <v>1</v>
      </c>
      <c r="V676" s="8">
        <f t="shared" si="103"/>
        <v>1900</v>
      </c>
      <c r="W676" s="8">
        <v>1.08</v>
      </c>
      <c r="X676" s="21" t="e" vm="1">
        <v>#REF!</v>
      </c>
      <c r="Y676" s="8" t="e" vm="1">
        <v>#REF!</v>
      </c>
      <c r="Z676" s="8" t="e" vm="2">
        <f t="shared" si="112"/>
        <v>#VALUE!</v>
      </c>
      <c r="AA676" s="8" t="e" vm="2">
        <f t="shared" si="113"/>
        <v>#VALUE!</v>
      </c>
    </row>
    <row r="677" spans="1:34">
      <c r="A677" s="44"/>
      <c r="B677" s="50"/>
      <c r="C677" s="50"/>
      <c r="D677" s="50"/>
      <c r="E677" s="24">
        <f t="shared" si="105"/>
        <v>0</v>
      </c>
      <c r="F677" s="24">
        <f t="shared" si="106"/>
        <v>0</v>
      </c>
      <c r="G677" s="50">
        <f t="shared" si="107"/>
        <v>4.2160899999999994</v>
      </c>
      <c r="H677" s="50">
        <f t="shared" si="119"/>
        <v>4.2160899999999994</v>
      </c>
      <c r="K677" s="48">
        <f t="shared" si="100"/>
        <v>7.5287321428571419</v>
      </c>
      <c r="L677" s="48"/>
      <c r="M677" s="44">
        <f t="shared" si="101"/>
        <v>0</v>
      </c>
      <c r="N677" s="50" t="e">
        <f t="shared" si="118"/>
        <v>#VALUE!</v>
      </c>
      <c r="O677" s="50" t="e">
        <f t="shared" si="115"/>
        <v>#VALUE!</v>
      </c>
      <c r="P677" s="54" t="e">
        <f t="shared" si="116"/>
        <v>#VALUE!</v>
      </c>
      <c r="Q677" s="50" t="e">
        <f t="shared" si="122"/>
        <v>#VALUE!</v>
      </c>
      <c r="R677" s="50" t="e">
        <f t="shared" si="122"/>
        <v>#VALUE!</v>
      </c>
      <c r="S677" s="24" t="e">
        <f t="shared" si="95"/>
        <v>#VALUE!</v>
      </c>
      <c r="T677" s="24" t="e">
        <f t="shared" si="114"/>
        <v>#VALUE!</v>
      </c>
      <c r="U677" s="8">
        <f t="shared" si="102"/>
        <v>1</v>
      </c>
      <c r="V677" s="8">
        <f t="shared" si="103"/>
        <v>1900</v>
      </c>
      <c r="W677" s="8">
        <v>1.08</v>
      </c>
      <c r="X677" s="21" t="e" vm="1">
        <v>#REF!</v>
      </c>
      <c r="Y677" s="8" t="e" vm="1">
        <v>#REF!</v>
      </c>
      <c r="Z677" s="8" t="e" vm="2">
        <f t="shared" si="112"/>
        <v>#VALUE!</v>
      </c>
      <c r="AA677" s="8" t="e" vm="2">
        <f t="shared" si="113"/>
        <v>#VALUE!</v>
      </c>
    </row>
    <row r="678" spans="1:34">
      <c r="A678" s="44"/>
      <c r="B678" s="50"/>
      <c r="C678" s="50"/>
      <c r="D678" s="50"/>
      <c r="E678" s="24">
        <f t="shared" si="105"/>
        <v>0</v>
      </c>
      <c r="F678" s="24">
        <f t="shared" si="106"/>
        <v>0</v>
      </c>
      <c r="G678" s="50">
        <f t="shared" si="107"/>
        <v>4.32829</v>
      </c>
      <c r="H678" s="50">
        <f t="shared" si="119"/>
        <v>4.32829</v>
      </c>
      <c r="K678" s="48">
        <f t="shared" si="100"/>
        <v>7.7290892857142861</v>
      </c>
      <c r="L678" s="48"/>
      <c r="M678" s="44">
        <f t="shared" si="101"/>
        <v>0</v>
      </c>
      <c r="N678" s="50" t="e">
        <f t="shared" si="118"/>
        <v>#VALUE!</v>
      </c>
      <c r="O678" s="50" t="e">
        <f t="shared" si="115"/>
        <v>#VALUE!</v>
      </c>
      <c r="P678" s="54" t="e">
        <f t="shared" si="116"/>
        <v>#VALUE!</v>
      </c>
      <c r="Q678" s="50" t="e">
        <f t="shared" si="122"/>
        <v>#VALUE!</v>
      </c>
      <c r="R678" s="50" t="e">
        <f t="shared" si="122"/>
        <v>#VALUE!</v>
      </c>
      <c r="S678" s="24" t="e">
        <f t="shared" si="95"/>
        <v>#VALUE!</v>
      </c>
      <c r="T678" s="24" t="e">
        <f t="shared" si="114"/>
        <v>#VALUE!</v>
      </c>
      <c r="U678" s="8">
        <f>MONTH(M678)</f>
        <v>1</v>
      </c>
      <c r="V678" s="8">
        <f t="shared" si="103"/>
        <v>1900</v>
      </c>
      <c r="W678" s="8">
        <v>1.08</v>
      </c>
      <c r="X678" s="21" t="e" vm="1">
        <v>#REF!</v>
      </c>
      <c r="Y678" s="8" t="e" vm="1">
        <v>#REF!</v>
      </c>
      <c r="Z678" s="8" t="e" vm="2">
        <f t="shared" si="112"/>
        <v>#VALUE!</v>
      </c>
      <c r="AA678" s="8" t="e" vm="2">
        <f t="shared" si="113"/>
        <v>#VALUE!</v>
      </c>
      <c r="AC678" s="55" t="s">
        <v>47</v>
      </c>
    </row>
    <row r="679" spans="1:34">
      <c r="X679" s="21" t="e" vm="1">
        <v>#REF!</v>
      </c>
      <c r="Y679" s="8" t="e" vm="1">
        <v>#REF!</v>
      </c>
      <c r="Z679" s="8" t="e" vm="2">
        <f t="shared" si="112"/>
        <v>#VALUE!</v>
      </c>
      <c r="AA679" s="8" t="e" vm="2">
        <f t="shared" si="113"/>
        <v>#VALUE!</v>
      </c>
    </row>
    <row r="680" spans="1:34">
      <c r="X680" s="21" t="e" vm="1">
        <v>#REF!</v>
      </c>
      <c r="Y680" s="8" t="e" vm="1">
        <v>#REF!</v>
      </c>
      <c r="Z680" s="8" t="e" vm="2">
        <f t="shared" si="112"/>
        <v>#VALUE!</v>
      </c>
      <c r="AA680" s="8" t="e" vm="2">
        <f t="shared" si="113"/>
        <v>#VALUE!</v>
      </c>
    </row>
    <row r="681" spans="1:34">
      <c r="X681" s="21" t="e" vm="1">
        <v>#REF!</v>
      </c>
      <c r="Y681" s="8" t="e" vm="1">
        <v>#REF!</v>
      </c>
      <c r="Z681" s="8" t="e" vm="2">
        <f t="shared" si="112"/>
        <v>#VALUE!</v>
      </c>
      <c r="AA681" s="8" t="e" vm="2">
        <f t="shared" si="113"/>
        <v>#VALUE!</v>
      </c>
      <c r="AC681" s="55" t="s">
        <v>48</v>
      </c>
    </row>
    <row r="682" spans="1:34">
      <c r="X682" s="21" t="e" vm="1">
        <v>#REF!</v>
      </c>
      <c r="Y682" s="8" t="e" vm="1">
        <v>#REF!</v>
      </c>
      <c r="Z682" s="8" t="e" vm="2">
        <f t="shared" si="112"/>
        <v>#VALUE!</v>
      </c>
      <c r="AA682" s="8" t="e" vm="2">
        <f t="shared" si="113"/>
        <v>#VALUE!</v>
      </c>
    </row>
    <row r="683" spans="1:34">
      <c r="X683" s="21" t="e" vm="1">
        <v>#REF!</v>
      </c>
      <c r="Y683" s="8" t="e" vm="1">
        <v>#REF!</v>
      </c>
      <c r="Z683" s="8" t="e" vm="2">
        <f t="shared" si="112"/>
        <v>#VALUE!</v>
      </c>
      <c r="AA683" s="8" t="e" vm="2">
        <f t="shared" si="113"/>
        <v>#VALUE!</v>
      </c>
    </row>
    <row r="684" spans="1:34">
      <c r="X684" s="21" t="e" vm="1">
        <v>#REF!</v>
      </c>
      <c r="Y684" s="8" t="e" vm="1">
        <v>#REF!</v>
      </c>
      <c r="Z684" s="8" t="e" vm="2">
        <f t="shared" si="112"/>
        <v>#VALUE!</v>
      </c>
      <c r="AA684" s="8" t="e" vm="2">
        <f t="shared" si="113"/>
        <v>#VALUE!</v>
      </c>
    </row>
    <row r="685" spans="1:34">
      <c r="X685" s="21" t="e" vm="1">
        <v>#REF!</v>
      </c>
      <c r="Y685" s="8" t="e" vm="1">
        <v>#REF!</v>
      </c>
      <c r="Z685" s="8" t="e" vm="2">
        <f t="shared" si="112"/>
        <v>#VALUE!</v>
      </c>
      <c r="AA685" s="8" t="e" vm="2">
        <f t="shared" si="113"/>
        <v>#VALUE!</v>
      </c>
    </row>
    <row r="686" spans="1:34">
      <c r="X686" s="21" t="e" vm="1">
        <v>#REF!</v>
      </c>
      <c r="Y686" s="8" t="e" vm="1">
        <v>#REF!</v>
      </c>
      <c r="Z686" s="8" t="e" vm="2">
        <f t="shared" si="112"/>
        <v>#VALUE!</v>
      </c>
      <c r="AA686" s="8" t="e" vm="2">
        <f t="shared" si="113"/>
        <v>#VALUE!</v>
      </c>
    </row>
    <row r="687" spans="1:34">
      <c r="X687" s="21" t="e" vm="1">
        <v>#REF!</v>
      </c>
      <c r="Y687" s="8" t="e" vm="1">
        <v>#REF!</v>
      </c>
      <c r="Z687" s="8" t="e" vm="2">
        <f t="shared" si="112"/>
        <v>#VALUE!</v>
      </c>
      <c r="AA687" s="8" t="e" vm="2">
        <f t="shared" si="113"/>
        <v>#VALUE!</v>
      </c>
    </row>
    <row r="688" spans="1:34">
      <c r="X688" s="21" t="e" vm="1">
        <v>#REF!</v>
      </c>
      <c r="Y688" s="8" t="e" vm="1">
        <v>#REF!</v>
      </c>
      <c r="Z688" s="8" t="e" vm="2">
        <f t="shared" si="112"/>
        <v>#VALUE!</v>
      </c>
      <c r="AA688" s="8" t="e" vm="2">
        <f t="shared" si="113"/>
        <v>#VALUE!</v>
      </c>
    </row>
    <row r="689" spans="24:34">
      <c r="X689" s="21" t="e" vm="1">
        <v>#REF!</v>
      </c>
      <c r="Y689" s="8" t="e" vm="1">
        <v>#REF!</v>
      </c>
      <c r="Z689" s="8" t="e" vm="2">
        <f t="shared" si="112"/>
        <v>#VALUE!</v>
      </c>
      <c r="AA689" s="8" t="e" vm="2">
        <f t="shared" si="113"/>
        <v>#VALUE!</v>
      </c>
    </row>
    <row r="690" spans="24:34">
      <c r="X690" s="21" t="e" vm="1">
        <v>#REF!</v>
      </c>
      <c r="Y690" s="8" t="e" vm="1">
        <v>#REF!</v>
      </c>
      <c r="Z690" s="8" t="e" vm="2">
        <f t="shared" si="112"/>
        <v>#VALUE!</v>
      </c>
      <c r="AA690" s="8" t="e" vm="2">
        <f t="shared" si="113"/>
        <v>#VALUE!</v>
      </c>
    </row>
    <row r="691" spans="24:34">
      <c r="X691" s="21" t="e" vm="1">
        <v>#REF!</v>
      </c>
      <c r="Y691" s="8" t="e" vm="1">
        <v>#REF!</v>
      </c>
      <c r="Z691" s="8" t="e" vm="2">
        <f t="shared" si="112"/>
        <v>#VALUE!</v>
      </c>
      <c r="AA691" s="8" t="e" vm="2">
        <f t="shared" si="113"/>
        <v>#VALUE!</v>
      </c>
      <c r="AC691" s="8">
        <f>D609*100</f>
        <v>0</v>
      </c>
    </row>
    <row r="692" spans="24:34">
      <c r="X692" s="21" t="e" vm="1">
        <v>#REF!</v>
      </c>
      <c r="Y692" s="8" t="e" vm="1">
        <v>#REF!</v>
      </c>
      <c r="Z692" s="8" t="e" vm="2">
        <f t="shared" si="112"/>
        <v>#VALUE!</v>
      </c>
      <c r="AA692" s="8" t="e" vm="2">
        <f t="shared" si="113"/>
        <v>#VALUE!</v>
      </c>
    </row>
    <row r="693" spans="24:34">
      <c r="X693" s="21" t="e" vm="1">
        <v>#REF!</v>
      </c>
      <c r="Y693" s="8" t="e" vm="1">
        <v>#REF!</v>
      </c>
      <c r="Z693" s="8" t="e" vm="2">
        <f t="shared" si="112"/>
        <v>#VALUE!</v>
      </c>
      <c r="AA693" s="8" t="e" vm="2">
        <f t="shared" si="113"/>
        <v>#VALUE!</v>
      </c>
    </row>
    <row r="694" spans="24:34">
      <c r="X694" s="21" t="e" vm="1">
        <v>#REF!</v>
      </c>
      <c r="Y694" s="8" t="e" vm="1">
        <v>#REF!</v>
      </c>
      <c r="Z694" s="8" t="e" vm="2">
        <f t="shared" si="112"/>
        <v>#VALUE!</v>
      </c>
      <c r="AA694" s="8" t="e" vm="2">
        <f t="shared" si="113"/>
        <v>#VALUE!</v>
      </c>
    </row>
    <row r="695" spans="24:34">
      <c r="X695" s="21" t="e" vm="1">
        <v>#REF!</v>
      </c>
      <c r="Y695" s="8" t="e" vm="1">
        <v>#REF!</v>
      </c>
      <c r="Z695" s="8" t="e" vm="2">
        <f t="shared" si="112"/>
        <v>#VALUE!</v>
      </c>
      <c r="AA695" s="8" t="e" vm="2">
        <f t="shared" si="113"/>
        <v>#VALUE!</v>
      </c>
    </row>
    <row r="696" spans="24:34">
      <c r="X696" s="21" t="e" vm="1">
        <v>#REF!</v>
      </c>
      <c r="Y696" s="8" t="e" vm="1">
        <v>#REF!</v>
      </c>
      <c r="Z696" s="8" t="e" vm="2">
        <f t="shared" si="112"/>
        <v>#VALUE!</v>
      </c>
      <c r="AA696" s="8" t="e" vm="2">
        <f t="shared" si="113"/>
        <v>#VALUE!</v>
      </c>
    </row>
    <row r="697" spans="24:34">
      <c r="X697" s="21" t="e" vm="1">
        <v>#REF!</v>
      </c>
      <c r="Y697" s="8" t="e" vm="1">
        <v>#REF!</v>
      </c>
      <c r="Z697" s="8" t="e" vm="2">
        <f t="shared" si="112"/>
        <v>#VALUE!</v>
      </c>
      <c r="AA697" s="8" t="e" vm="2">
        <f t="shared" si="113"/>
        <v>#VALUE!</v>
      </c>
      <c r="AD697" s="8" t="e">
        <v>#REF!</v>
      </c>
      <c r="AE697" s="8" t="e">
        <v>#REF!</v>
      </c>
      <c r="AF697" s="8" t="e">
        <v>#REF!</v>
      </c>
      <c r="AG697" s="8" t="e">
        <v>#REF!</v>
      </c>
      <c r="AH697" s="8" t="e">
        <v>#REF!</v>
      </c>
    </row>
    <row r="698" spans="24:34">
      <c r="X698" s="21" t="e" vm="1">
        <v>#REF!</v>
      </c>
      <c r="Y698" s="8" t="e" vm="1">
        <v>#REF!</v>
      </c>
      <c r="Z698" s="8" t="e" vm="2">
        <f t="shared" si="112"/>
        <v>#VALUE!</v>
      </c>
      <c r="AA698" s="8" t="e" vm="2">
        <f t="shared" si="113"/>
        <v>#VALUE!</v>
      </c>
      <c r="AC698" s="11" t="e">
        <v>#REF!</v>
      </c>
      <c r="AD698" s="48" t="e">
        <v>#REF!</v>
      </c>
      <c r="AE698" s="48" t="e">
        <v>#REF!</v>
      </c>
      <c r="AF698" s="48" t="e">
        <v>#REF!</v>
      </c>
      <c r="AG698" s="48" t="e">
        <v>#REF!</v>
      </c>
      <c r="AH698" s="48" t="e">
        <v>#REF!</v>
      </c>
    </row>
    <row r="699" spans="24:34">
      <c r="X699" s="21" t="e" vm="1">
        <v>#REF!</v>
      </c>
      <c r="Y699" s="8" t="e" vm="1">
        <v>#REF!</v>
      </c>
      <c r="Z699" s="8" t="e" vm="2">
        <f t="shared" si="112"/>
        <v>#VALUE!</v>
      </c>
      <c r="AA699" s="8" t="e" vm="2">
        <f t="shared" si="113"/>
        <v>#VALUE!</v>
      </c>
      <c r="AC699" s="11" t="e">
        <v>#REF!</v>
      </c>
      <c r="AD699" s="48" t="e">
        <v>#REF!</v>
      </c>
      <c r="AE699" s="48" t="e">
        <v>#REF!</v>
      </c>
      <c r="AF699" s="48" t="e">
        <v>#REF!</v>
      </c>
      <c r="AG699" s="48" t="e">
        <v>#REF!</v>
      </c>
      <c r="AH699" s="48" t="e">
        <v>#REF!</v>
      </c>
    </row>
    <row r="700" spans="24:34">
      <c r="X700" s="21" t="e" vm="1">
        <v>#REF!</v>
      </c>
      <c r="Y700" s="8" t="e" vm="1">
        <v>#REF!</v>
      </c>
      <c r="Z700" s="8" t="e" vm="2">
        <f t="shared" si="112"/>
        <v>#VALUE!</v>
      </c>
      <c r="AA700" s="8" t="e" vm="2">
        <f t="shared" si="113"/>
        <v>#VALUE!</v>
      </c>
      <c r="AC700" s="11" t="e">
        <v>#REF!</v>
      </c>
      <c r="AD700" s="48" t="e">
        <v>#REF!</v>
      </c>
      <c r="AE700" s="48" t="e">
        <v>#REF!</v>
      </c>
      <c r="AF700" s="48" t="e">
        <v>#REF!</v>
      </c>
      <c r="AG700" s="48" t="e">
        <v>#REF!</v>
      </c>
      <c r="AH700" s="48" t="e">
        <v>#REF!</v>
      </c>
    </row>
    <row r="701" spans="24:34">
      <c r="X701" s="21" t="e" vm="1">
        <v>#REF!</v>
      </c>
      <c r="Y701" s="8" t="e" vm="1">
        <v>#REF!</v>
      </c>
      <c r="Z701" s="8" t="e" vm="2">
        <f t="shared" si="112"/>
        <v>#VALUE!</v>
      </c>
      <c r="AA701" s="8" t="e" vm="2">
        <f t="shared" si="113"/>
        <v>#VALUE!</v>
      </c>
      <c r="AC701" s="11" t="e">
        <v>#REF!</v>
      </c>
      <c r="AD701" s="48" t="e">
        <v>#REF!</v>
      </c>
      <c r="AE701" s="48" t="e">
        <v>#REF!</v>
      </c>
      <c r="AF701" s="48" t="e">
        <v>#REF!</v>
      </c>
      <c r="AG701" s="48" t="e">
        <v>#REF!</v>
      </c>
      <c r="AH701" s="48" t="e">
        <v>#REF!</v>
      </c>
    </row>
    <row r="702" spans="24:34">
      <c r="X702" s="21" t="e" vm="1">
        <v>#REF!</v>
      </c>
      <c r="Y702" s="8" t="e" vm="1">
        <v>#REF!</v>
      </c>
      <c r="Z702" s="8" t="e" vm="2">
        <f t="shared" si="112"/>
        <v>#VALUE!</v>
      </c>
      <c r="AA702" s="8" t="e" vm="2">
        <f t="shared" si="113"/>
        <v>#VALUE!</v>
      </c>
    </row>
    <row r="703" spans="24:34">
      <c r="X703" s="21" t="e" vm="1">
        <v>#REF!</v>
      </c>
      <c r="Y703" s="8" t="e" vm="1">
        <v>#REF!</v>
      </c>
      <c r="Z703" s="8" t="e" vm="2">
        <f t="shared" si="112"/>
        <v>#VALUE!</v>
      </c>
      <c r="AA703" s="8" t="e" vm="2">
        <f t="shared" si="113"/>
        <v>#VALUE!</v>
      </c>
    </row>
    <row r="704" spans="24:34">
      <c r="X704" s="21" t="e" vm="1">
        <v>#REF!</v>
      </c>
      <c r="Y704" s="8" t="e" vm="1">
        <v>#REF!</v>
      </c>
      <c r="Z704" s="8" t="e" vm="2">
        <f t="shared" si="112"/>
        <v>#VALUE!</v>
      </c>
      <c r="AA704" s="8" t="e" vm="2">
        <f t="shared" si="113"/>
        <v>#VALUE!</v>
      </c>
    </row>
    <row r="705" spans="24:35">
      <c r="X705" s="21" t="e" vm="1">
        <v>#REF!</v>
      </c>
      <c r="Y705" s="8" t="e" vm="1">
        <v>#REF!</v>
      </c>
      <c r="Z705" s="8" t="e" vm="2">
        <f t="shared" si="112"/>
        <v>#VALUE!</v>
      </c>
      <c r="AA705" s="8" t="e" vm="2">
        <f t="shared" si="113"/>
        <v>#VALUE!</v>
      </c>
      <c r="AE705" s="8" t="e">
        <v>#REF!</v>
      </c>
    </row>
    <row r="706" spans="24:35">
      <c r="X706" s="21" t="e" vm="1">
        <v>#REF!</v>
      </c>
      <c r="Y706" s="8" t="e" vm="1">
        <v>#REF!</v>
      </c>
      <c r="Z706" s="8" t="e" vm="2">
        <f t="shared" si="112"/>
        <v>#VALUE!</v>
      </c>
      <c r="AA706" s="8" t="e" vm="2">
        <f t="shared" si="113"/>
        <v>#VALUE!</v>
      </c>
      <c r="AE706" s="8" t="e">
        <v>#REF!</v>
      </c>
      <c r="AF706" s="8" t="e">
        <v>#REF!</v>
      </c>
      <c r="AG706" s="8" t="e">
        <v>#REF!</v>
      </c>
      <c r="AH706" s="8" t="e">
        <v>#REF!</v>
      </c>
      <c r="AI706" s="8" t="e">
        <v>#REF!</v>
      </c>
    </row>
    <row r="707" spans="24:35">
      <c r="X707" s="21" t="e" vm="1">
        <v>#REF!</v>
      </c>
      <c r="Y707" s="8" t="e" vm="1">
        <v>#REF!</v>
      </c>
      <c r="Z707" s="8" t="e" vm="2">
        <f t="shared" si="112"/>
        <v>#VALUE!</v>
      </c>
      <c r="AA707" s="8" t="e" vm="2">
        <f t="shared" si="113"/>
        <v>#VALUE!</v>
      </c>
      <c r="AD707" s="11" t="e">
        <v>#REF!</v>
      </c>
      <c r="AE707" s="48" t="e">
        <v>#REF!</v>
      </c>
      <c r="AF707" s="48" t="e">
        <v>#REF!</v>
      </c>
      <c r="AG707" s="48" t="e">
        <v>#REF!</v>
      </c>
      <c r="AH707" s="48" t="e">
        <v>#REF!</v>
      </c>
      <c r="AI707" s="48" t="e">
        <v>#REF!</v>
      </c>
    </row>
    <row r="708" spans="24:35">
      <c r="X708" s="21" t="e" vm="1">
        <v>#REF!</v>
      </c>
      <c r="Y708" s="8" t="e" vm="1">
        <v>#REF!</v>
      </c>
      <c r="Z708" s="8" t="e" vm="2">
        <f t="shared" si="112"/>
        <v>#VALUE!</v>
      </c>
      <c r="AA708" s="8" t="e" vm="2">
        <f t="shared" si="113"/>
        <v>#VALUE!</v>
      </c>
      <c r="AD708" s="11" t="e">
        <v>#REF!</v>
      </c>
      <c r="AE708" s="48" t="e">
        <v>#REF!</v>
      </c>
      <c r="AF708" s="48" t="e">
        <v>#REF!</v>
      </c>
      <c r="AG708" s="48" t="e">
        <v>#REF!</v>
      </c>
      <c r="AH708" s="48" t="e">
        <v>#REF!</v>
      </c>
      <c r="AI708" s="48" t="e">
        <v>#REF!</v>
      </c>
    </row>
    <row r="709" spans="24:35">
      <c r="X709" s="21" t="e" vm="1">
        <v>#REF!</v>
      </c>
      <c r="Y709" s="8" t="e" vm="1">
        <v>#REF!</v>
      </c>
      <c r="Z709" s="8" t="e" vm="2">
        <f t="shared" si="112"/>
        <v>#VALUE!</v>
      </c>
      <c r="AA709" s="8" t="e" vm="2">
        <f t="shared" si="113"/>
        <v>#VALUE!</v>
      </c>
      <c r="AD709" s="11" t="e">
        <v>#REF!</v>
      </c>
      <c r="AE709" s="48" t="e">
        <v>#REF!</v>
      </c>
      <c r="AF709" s="48" t="e">
        <v>#REF!</v>
      </c>
      <c r="AG709" s="48" t="e">
        <v>#REF!</v>
      </c>
      <c r="AH709" s="48" t="e">
        <v>#REF!</v>
      </c>
      <c r="AI709" s="48" t="e">
        <v>#REF!</v>
      </c>
    </row>
    <row r="710" spans="24:35">
      <c r="X710" s="21" t="e" vm="1">
        <v>#REF!</v>
      </c>
      <c r="Y710" s="8" t="e" vm="1">
        <v>#REF!</v>
      </c>
      <c r="Z710" s="8" t="e" vm="2">
        <f t="shared" si="112"/>
        <v>#VALUE!</v>
      </c>
      <c r="AA710" s="8" t="e" vm="2">
        <f t="shared" si="113"/>
        <v>#VALUE!</v>
      </c>
      <c r="AD710" s="11" t="e">
        <v>#REF!</v>
      </c>
      <c r="AE710" s="48" t="e">
        <v>#REF!</v>
      </c>
      <c r="AF710" s="48" t="e">
        <v>#REF!</v>
      </c>
      <c r="AG710" s="48" t="e">
        <v>#REF!</v>
      </c>
      <c r="AH710" s="48" t="e">
        <v>#REF!</v>
      </c>
      <c r="AI710" s="48" t="e">
        <v>#REF!</v>
      </c>
    </row>
    <row r="711" spans="24:35">
      <c r="X711" s="21" t="e" vm="1">
        <v>#REF!</v>
      </c>
      <c r="Y711" s="8" t="e" vm="1">
        <v>#REF!</v>
      </c>
      <c r="Z711" s="8" t="e" vm="2">
        <f t="shared" si="112"/>
        <v>#VALUE!</v>
      </c>
      <c r="AA711" s="8" t="e" vm="2">
        <f t="shared" si="113"/>
        <v>#VALUE!</v>
      </c>
      <c r="AD711" s="11" t="e">
        <v>#REF!</v>
      </c>
      <c r="AE711" s="48" t="e">
        <v>#REF!</v>
      </c>
      <c r="AF711" s="48" t="e">
        <v>#REF!</v>
      </c>
      <c r="AG711" s="48" t="e">
        <v>#REF!</v>
      </c>
      <c r="AH711" s="48" t="e">
        <v>#REF!</v>
      </c>
      <c r="AI711" s="48" t="e">
        <v>#REF!</v>
      </c>
    </row>
    <row r="712" spans="24:35">
      <c r="X712" s="21" t="e" vm="1">
        <v>#REF!</v>
      </c>
      <c r="Y712" s="8" t="e" vm="1">
        <v>#REF!</v>
      </c>
      <c r="Z712" s="8" t="e" vm="2">
        <f t="shared" si="112"/>
        <v>#VALUE!</v>
      </c>
      <c r="AA712" s="8" t="e" vm="2">
        <f t="shared" si="113"/>
        <v>#VALUE!</v>
      </c>
    </row>
    <row r="713" spans="24:35">
      <c r="X713" s="21" t="e" vm="1">
        <v>#REF!</v>
      </c>
      <c r="Y713" s="8" t="e" vm="1">
        <v>#REF!</v>
      </c>
      <c r="Z713" s="8" t="e" vm="2">
        <f t="shared" si="112"/>
        <v>#VALUE!</v>
      </c>
      <c r="AA713" s="8" t="e" vm="2">
        <f t="shared" si="113"/>
        <v>#VALUE!</v>
      </c>
    </row>
    <row r="714" spans="24:35">
      <c r="X714" s="21" t="e" vm="1">
        <v>#REF!</v>
      </c>
      <c r="Y714" s="8" t="e" vm="1">
        <v>#REF!</v>
      </c>
      <c r="Z714" s="8" t="e" vm="2">
        <f t="shared" si="112"/>
        <v>#VALUE!</v>
      </c>
      <c r="AA714" s="8" t="e" vm="2">
        <f t="shared" si="113"/>
        <v>#VALUE!</v>
      </c>
    </row>
    <row r="715" spans="24:35">
      <c r="X715" s="21" t="e" vm="1">
        <v>#REF!</v>
      </c>
      <c r="Y715" s="8" t="e" vm="1">
        <v>#REF!</v>
      </c>
      <c r="Z715" s="8" t="e" vm="2">
        <f t="shared" si="112"/>
        <v>#VALUE!</v>
      </c>
      <c r="AA715" s="8" t="e" vm="2">
        <f t="shared" si="113"/>
        <v>#VALUE!</v>
      </c>
    </row>
    <row r="716" spans="24:35">
      <c r="X716" s="21" t="e" vm="1">
        <v>#REF!</v>
      </c>
      <c r="Y716" s="8" t="e" vm="1">
        <v>#REF!</v>
      </c>
      <c r="Z716" s="8" t="e" vm="2">
        <f t="shared" si="112"/>
        <v>#VALUE!</v>
      </c>
      <c r="AA716" s="8" t="e" vm="2">
        <f t="shared" si="113"/>
        <v>#VALUE!</v>
      </c>
    </row>
    <row r="717" spans="24:35">
      <c r="X717" s="21" t="e" vm="1">
        <v>#REF!</v>
      </c>
      <c r="Y717" s="8" t="e" vm="1">
        <v>#REF!</v>
      </c>
      <c r="Z717" s="8" t="e" vm="2">
        <f t="shared" si="112"/>
        <v>#VALUE!</v>
      </c>
      <c r="AA717" s="8" t="e" vm="2">
        <f t="shared" si="113"/>
        <v>#VALUE!</v>
      </c>
    </row>
    <row r="718" spans="24:35">
      <c r="X718" s="21" t="e" vm="1">
        <v>#REF!</v>
      </c>
      <c r="Y718" s="8" t="e" vm="1">
        <v>#REF!</v>
      </c>
      <c r="Z718" s="8" t="e" vm="2">
        <f t="shared" si="112"/>
        <v>#VALUE!</v>
      </c>
      <c r="AA718" s="8" t="e" vm="2">
        <f t="shared" si="113"/>
        <v>#VALUE!</v>
      </c>
    </row>
    <row r="719" spans="24:35">
      <c r="X719" s="21" t="e" vm="1">
        <v>#REF!</v>
      </c>
      <c r="Y719" s="8" t="e" vm="1">
        <v>#REF!</v>
      </c>
      <c r="Z719" s="8" t="e" vm="2">
        <f t="shared" si="112"/>
        <v>#VALUE!</v>
      </c>
      <c r="AA719" s="8" t="e" vm="2">
        <f t="shared" si="113"/>
        <v>#VALUE!</v>
      </c>
    </row>
    <row r="720" spans="24:35">
      <c r="X720" s="21" t="e" vm="1">
        <v>#REF!</v>
      </c>
      <c r="Y720" s="8" t="e" vm="1">
        <v>#REF!</v>
      </c>
      <c r="Z720" s="8" t="e" vm="2">
        <f t="shared" si="112"/>
        <v>#VALUE!</v>
      </c>
      <c r="AA720" s="8" t="e" vm="2">
        <f t="shared" si="113"/>
        <v>#VALUE!</v>
      </c>
    </row>
    <row r="721" spans="24:27">
      <c r="X721" s="21" t="e" vm="1">
        <v>#REF!</v>
      </c>
      <c r="Y721" s="8" t="e" vm="1">
        <v>#REF!</v>
      </c>
      <c r="Z721" s="8" t="e" vm="2">
        <f t="shared" si="112"/>
        <v>#VALUE!</v>
      </c>
      <c r="AA721" s="8" t="e" vm="2">
        <f t="shared" si="113"/>
        <v>#VALUE!</v>
      </c>
    </row>
    <row r="722" spans="24:27">
      <c r="X722" s="21" t="e" vm="1">
        <v>#REF!</v>
      </c>
      <c r="Y722" s="8" t="e" vm="1">
        <v>#REF!</v>
      </c>
      <c r="Z722" s="8" t="e" vm="2">
        <f t="shared" ref="Z722:Z737" si="123">MONTH(X722)</f>
        <v>#VALUE!</v>
      </c>
      <c r="AA722" s="8" t="e" vm="2">
        <f t="shared" ref="AA722:AA737" si="124">YEAR(X722)</f>
        <v>#VALUE!</v>
      </c>
    </row>
    <row r="723" spans="24:27">
      <c r="X723" s="21" t="e" vm="1">
        <v>#REF!</v>
      </c>
      <c r="Y723" s="8" t="e" vm="1">
        <v>#REF!</v>
      </c>
      <c r="Z723" s="8" t="e" vm="2">
        <f t="shared" si="123"/>
        <v>#VALUE!</v>
      </c>
      <c r="AA723" s="8" t="e" vm="2">
        <f t="shared" si="124"/>
        <v>#VALUE!</v>
      </c>
    </row>
    <row r="724" spans="24:27">
      <c r="X724" s="21" t="e" vm="1">
        <v>#REF!</v>
      </c>
      <c r="Y724" s="8" t="e" vm="1">
        <v>#REF!</v>
      </c>
      <c r="Z724" s="8" t="e" vm="2">
        <f t="shared" si="123"/>
        <v>#VALUE!</v>
      </c>
      <c r="AA724" s="8" t="e" vm="2">
        <f t="shared" si="124"/>
        <v>#VALUE!</v>
      </c>
    </row>
    <row r="725" spans="24:27">
      <c r="X725" s="21" t="e" vm="1">
        <v>#REF!</v>
      </c>
      <c r="Y725" s="8" t="e" vm="1">
        <v>#REF!</v>
      </c>
      <c r="Z725" s="8" t="e" vm="2">
        <f t="shared" si="123"/>
        <v>#VALUE!</v>
      </c>
      <c r="AA725" s="8" t="e" vm="2">
        <f t="shared" si="124"/>
        <v>#VALUE!</v>
      </c>
    </row>
    <row r="726" spans="24:27">
      <c r="X726" s="21" t="e" vm="1">
        <v>#REF!</v>
      </c>
      <c r="Y726" s="8" t="e" vm="1">
        <v>#REF!</v>
      </c>
      <c r="Z726" s="8" t="e" vm="2">
        <f t="shared" si="123"/>
        <v>#VALUE!</v>
      </c>
      <c r="AA726" s="8" t="e" vm="2">
        <f t="shared" si="124"/>
        <v>#VALUE!</v>
      </c>
    </row>
    <row r="727" spans="24:27">
      <c r="X727" s="21" t="e" vm="1">
        <v>#REF!</v>
      </c>
      <c r="Y727" s="8" t="e" vm="1">
        <v>#REF!</v>
      </c>
      <c r="Z727" s="8" t="e" vm="2">
        <f t="shared" si="123"/>
        <v>#VALUE!</v>
      </c>
      <c r="AA727" s="8" t="e" vm="2">
        <f t="shared" si="124"/>
        <v>#VALUE!</v>
      </c>
    </row>
    <row r="728" spans="24:27">
      <c r="X728" s="21" t="e" vm="1">
        <v>#REF!</v>
      </c>
      <c r="Y728" s="8" t="e" vm="1">
        <v>#REF!</v>
      </c>
      <c r="Z728" s="8" t="e" vm="2">
        <f t="shared" si="123"/>
        <v>#VALUE!</v>
      </c>
      <c r="AA728" s="8" t="e" vm="2">
        <f t="shared" si="124"/>
        <v>#VALUE!</v>
      </c>
    </row>
    <row r="729" spans="24:27">
      <c r="X729" s="21" t="e" vm="1">
        <v>#REF!</v>
      </c>
      <c r="Y729" s="8" t="e" vm="1">
        <v>#REF!</v>
      </c>
      <c r="Z729" s="8" t="e" vm="2">
        <f t="shared" si="123"/>
        <v>#VALUE!</v>
      </c>
      <c r="AA729" s="8" t="e" vm="2">
        <f t="shared" si="124"/>
        <v>#VALUE!</v>
      </c>
    </row>
    <row r="730" spans="24:27">
      <c r="X730" s="21" t="e" vm="1">
        <v>#REF!</v>
      </c>
      <c r="Y730" s="8" t="e" vm="1">
        <v>#REF!</v>
      </c>
      <c r="Z730" s="8" t="e" vm="2">
        <f t="shared" si="123"/>
        <v>#VALUE!</v>
      </c>
      <c r="AA730" s="8" t="e" vm="2">
        <f t="shared" si="124"/>
        <v>#VALUE!</v>
      </c>
    </row>
    <row r="731" spans="24:27">
      <c r="X731" s="21" t="e" vm="1">
        <v>#REF!</v>
      </c>
      <c r="Y731" s="8" t="e" vm="1">
        <v>#REF!</v>
      </c>
      <c r="Z731" s="8" t="e" vm="2">
        <f t="shared" si="123"/>
        <v>#VALUE!</v>
      </c>
      <c r="AA731" s="8" t="e" vm="2">
        <f t="shared" si="124"/>
        <v>#VALUE!</v>
      </c>
    </row>
    <row r="732" spans="24:27">
      <c r="X732" s="21" t="e" vm="1">
        <v>#REF!</v>
      </c>
      <c r="Y732" s="8" t="e" vm="1">
        <v>#REF!</v>
      </c>
      <c r="Z732" s="8" t="e" vm="2">
        <f t="shared" si="123"/>
        <v>#VALUE!</v>
      </c>
      <c r="AA732" s="8" t="e" vm="2">
        <f t="shared" si="124"/>
        <v>#VALUE!</v>
      </c>
    </row>
    <row r="733" spans="24:27">
      <c r="X733" s="21" t="e" vm="1">
        <v>#REF!</v>
      </c>
      <c r="Y733" s="8" t="e" vm="1">
        <v>#REF!</v>
      </c>
      <c r="Z733" s="8" t="e" vm="2">
        <f t="shared" si="123"/>
        <v>#VALUE!</v>
      </c>
      <c r="AA733" s="8" t="e" vm="2">
        <f t="shared" si="124"/>
        <v>#VALUE!</v>
      </c>
    </row>
    <row r="734" spans="24:27">
      <c r="X734" s="21" t="e" vm="1">
        <v>#REF!</v>
      </c>
      <c r="Y734" s="8" t="e" vm="1">
        <v>#REF!</v>
      </c>
      <c r="Z734" s="8" t="e" vm="2">
        <f t="shared" si="123"/>
        <v>#VALUE!</v>
      </c>
      <c r="AA734" s="8" t="e" vm="2">
        <f t="shared" si="124"/>
        <v>#VALUE!</v>
      </c>
    </row>
    <row r="735" spans="24:27">
      <c r="X735" s="21" t="e" vm="1">
        <v>#REF!</v>
      </c>
      <c r="Y735" s="8" t="e" vm="1">
        <v>#REF!</v>
      </c>
      <c r="Z735" s="8" t="e" vm="2">
        <f t="shared" si="123"/>
        <v>#VALUE!</v>
      </c>
      <c r="AA735" s="8" t="e" vm="2">
        <f t="shared" si="124"/>
        <v>#VALUE!</v>
      </c>
    </row>
    <row r="736" spans="24:27">
      <c r="X736" s="21" t="e" vm="1">
        <v>#REF!</v>
      </c>
      <c r="Y736" s="8" t="e" vm="1">
        <v>#REF!</v>
      </c>
      <c r="Z736" s="8" t="e" vm="2">
        <f t="shared" si="123"/>
        <v>#VALUE!</v>
      </c>
      <c r="AA736" s="8" t="e" vm="2">
        <f t="shared" si="124"/>
        <v>#VALUE!</v>
      </c>
    </row>
    <row r="737" spans="24:27">
      <c r="X737" s="21" t="e" vm="1">
        <v>#REF!</v>
      </c>
      <c r="Y737" s="8" t="e" vm="1">
        <v>#REF!</v>
      </c>
      <c r="Z737" s="8" t="e" vm="2">
        <f t="shared" si="123"/>
        <v>#VALUE!</v>
      </c>
      <c r="AA737" s="8" t="e" vm="2">
        <f t="shared" si="124"/>
        <v>#VALUE!</v>
      </c>
    </row>
  </sheetData>
  <mergeCells count="6">
    <mergeCell ref="T1:T2"/>
    <mergeCell ref="G1:G2"/>
    <mergeCell ref="H1:H2"/>
    <mergeCell ref="I1:I2"/>
    <mergeCell ref="J1:J2"/>
    <mergeCell ref="K1:K2"/>
  </mergeCells>
  <phoneticPr fontId="21" type="noConversion"/>
  <hyperlinks>
    <hyperlink ref="AC678" r:id="rId1" xr:uid="{FE8C3B05-653F-BD4E-9555-0CF1CC166039}"/>
    <hyperlink ref="AC681" r:id="rId2" xr:uid="{C557528E-D673-A048-B51A-537AA4F6D2D5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7DA8-6BF7-2742-AD84-1BC709DF7356}">
  <dimension ref="A1:AG174"/>
  <sheetViews>
    <sheetView tabSelected="1" zoomScale="106" zoomScaleNormal="106" workbookViewId="0">
      <selection activeCell="F8" sqref="F8"/>
    </sheetView>
  </sheetViews>
  <sheetFormatPr defaultColWidth="9" defaultRowHeight="12.75"/>
  <cols>
    <col min="1" max="1" width="14" customWidth="1"/>
    <col min="2" max="2" width="10.5" bestFit="1" customWidth="1"/>
    <col min="3" max="3" width="9.6640625" bestFit="1" customWidth="1"/>
    <col min="4" max="4" width="9.33203125" bestFit="1" customWidth="1"/>
    <col min="5" max="8" width="9.6640625" bestFit="1" customWidth="1"/>
    <col min="9" max="9" width="10.33203125" bestFit="1" customWidth="1"/>
    <col min="10" max="10" width="9.6640625" bestFit="1" customWidth="1"/>
    <col min="11" max="11" width="9.33203125" bestFit="1" customWidth="1"/>
    <col min="12" max="12" width="10.6640625" bestFit="1" customWidth="1"/>
    <col min="15" max="16" width="9.33203125" bestFit="1" customWidth="1"/>
    <col min="20" max="20" width="10.6640625" bestFit="1" customWidth="1"/>
  </cols>
  <sheetData>
    <row r="1" spans="1:33" ht="24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3"/>
      <c r="T1" s="3"/>
      <c r="U1" s="3"/>
    </row>
    <row r="2" spans="1:33" ht="40.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6" t="s">
        <v>10</v>
      </c>
      <c r="K2" s="7" t="s">
        <v>50</v>
      </c>
      <c r="T2" s="8"/>
      <c r="U2" s="9" t="s">
        <v>12</v>
      </c>
      <c r="V2" s="10" t="s">
        <v>2</v>
      </c>
      <c r="W2" s="10" t="s">
        <v>3</v>
      </c>
      <c r="X2" s="10" t="s">
        <v>4</v>
      </c>
      <c r="Y2" s="10" t="s">
        <v>5</v>
      </c>
      <c r="Z2" s="10" t="s">
        <v>6</v>
      </c>
    </row>
    <row r="3" spans="1:33" ht="15">
      <c r="A3" s="11">
        <v>45992</v>
      </c>
      <c r="B3" s="12">
        <f>AVERAGE(Prices!D90:D92)</f>
        <v>5.310833333333334</v>
      </c>
      <c r="C3" s="12">
        <f>MROUND(Forecasts!B3+AVERAGE(Prices!F79,Prices!F67,Prices!F55,Prices!F43,Prices!F31),0.01)</f>
        <v>5.03</v>
      </c>
      <c r="D3" s="12">
        <f>MROUND(Forecasts!B3+AVERAGE(Prices!E79,Prices!E67,Prices!E55,Prices!G43,Prices!E31),0.01)</f>
        <v>5.67</v>
      </c>
      <c r="E3" s="12">
        <f>AVERAGE(C3:D3)</f>
        <v>5.35</v>
      </c>
      <c r="F3" s="12">
        <v>5.3125</v>
      </c>
      <c r="G3" s="12"/>
      <c r="H3" s="13"/>
      <c r="I3" s="14"/>
      <c r="J3" s="12">
        <f>D3-C3</f>
        <v>0.63999999999999968</v>
      </c>
      <c r="K3" s="12">
        <f>F3-SUM($H$3:H3)</f>
        <v>5.3125</v>
      </c>
      <c r="U3" s="15" t="e">
        <f>#REF!</f>
        <v>#REF!</v>
      </c>
      <c r="V3" s="16">
        <v>1.7775709632387156</v>
      </c>
      <c r="W3" s="16">
        <v>1.6568690641501613</v>
      </c>
      <c r="X3" s="16">
        <v>1.8461823414646039</v>
      </c>
      <c r="Y3" s="16">
        <v>1.755772688474174</v>
      </c>
      <c r="Z3" s="16">
        <v>1.9811776061776061</v>
      </c>
      <c r="AB3" s="8"/>
      <c r="AC3" s="8"/>
      <c r="AD3" s="17" t="s">
        <v>13</v>
      </c>
      <c r="AE3" s="17"/>
      <c r="AF3" s="8"/>
      <c r="AG3" s="8"/>
    </row>
    <row r="4" spans="1:33" ht="15">
      <c r="A4" s="11">
        <v>46082</v>
      </c>
      <c r="B4" s="12">
        <f>AVERAGE(Prices!D93:D95)</f>
        <v>5.3666666666666671</v>
      </c>
      <c r="C4" s="12">
        <f>MROUND(Forecasts!B4+AVERAGE(Prices!F80,Prices!F68,Prices!F56,Prices!F44,Prices!F32),0.01)</f>
        <v>5</v>
      </c>
      <c r="D4" s="12">
        <f>MROUND(Forecasts!B4+AVERAGE(Prices!E80,Prices!E68,Prices!E56,Prices!G44,Prices!E32),0.01)</f>
        <v>5.71</v>
      </c>
      <c r="E4" s="12">
        <f>AVERAGE(C4:D4)</f>
        <v>5.3550000000000004</v>
      </c>
      <c r="F4" s="12">
        <v>5.2949999999999999</v>
      </c>
      <c r="G4" s="12">
        <f t="shared" ref="G4:G7" si="0">F4-F3</f>
        <v>-1.7500000000000071E-2</v>
      </c>
      <c r="H4" s="13">
        <f>(B4*AE$11/365)+(AE$4*(A4-A3))</f>
        <v>0.29799393607305935</v>
      </c>
      <c r="I4" s="14">
        <f t="shared" ref="I4:I7" si="1">G4/H4</f>
        <v>-5.8726027215901422E-2</v>
      </c>
      <c r="J4" s="12">
        <f t="shared" ref="J4:J7" si="2">D4-C4</f>
        <v>0.71</v>
      </c>
      <c r="K4" s="12">
        <f>F4-SUM($H$3:H4)</f>
        <v>4.9970060639269409</v>
      </c>
      <c r="U4" s="15">
        <v>45992</v>
      </c>
      <c r="V4" s="16" t="e">
        <v>#DIV/0!</v>
      </c>
      <c r="W4" s="16" t="e">
        <v>#REF!</v>
      </c>
      <c r="X4" s="16" t="e">
        <v>#REF!</v>
      </c>
      <c r="Y4" s="16" t="e">
        <v>#REF!</v>
      </c>
      <c r="Z4" s="16">
        <v>1.9086270871985158</v>
      </c>
      <c r="AB4" s="8"/>
      <c r="AC4" s="8"/>
      <c r="AD4" s="18" t="s">
        <v>0</v>
      </c>
      <c r="AE4" s="8">
        <f>0.00165*2</f>
        <v>3.3E-3</v>
      </c>
      <c r="AF4" s="8"/>
      <c r="AG4" s="8"/>
    </row>
    <row r="5" spans="1:33" ht="15">
      <c r="A5" s="11">
        <v>46143</v>
      </c>
      <c r="B5" s="12">
        <f>AVERAGE(Prices!D96:D988)</f>
        <v>5.45</v>
      </c>
      <c r="C5" s="12">
        <f>MROUND(Forecasts!B5+AVERAGE(Prices!F81,Prices!F69,Prices!F57,Prices!F45,Prices!F33),0.01)</f>
        <v>5.18</v>
      </c>
      <c r="D5" s="12">
        <f>MROUND(Forecasts!B5+AVERAGE(Prices!E81,Prices!E69,Prices!E57,Prices!G45,Prices!E33),0.01)</f>
        <v>5.71</v>
      </c>
      <c r="E5" s="12">
        <f>AVERAGE(C5:D5)</f>
        <v>5.4450000000000003</v>
      </c>
      <c r="F5" s="12">
        <v>5.3775000000000004</v>
      </c>
      <c r="G5" s="12">
        <f t="shared" si="0"/>
        <v>8.2500000000000462E-2</v>
      </c>
      <c r="H5" s="13">
        <f>(B5*AE$11/365)+(AE$4*(A5-A4))</f>
        <v>0.2023093698630137</v>
      </c>
      <c r="I5" s="14">
        <f t="shared" si="1"/>
        <v>0.40779129536047826</v>
      </c>
      <c r="J5" s="12">
        <f t="shared" si="2"/>
        <v>0.53000000000000025</v>
      </c>
      <c r="K5" s="12">
        <f>F5-SUM($H$3:H5)</f>
        <v>4.8771966940639278</v>
      </c>
      <c r="U5" s="15">
        <v>46082</v>
      </c>
      <c r="V5" s="16" t="e">
        <v>#DIV/0!</v>
      </c>
      <c r="W5" s="16" t="e">
        <v>#REF!</v>
      </c>
      <c r="X5" s="16" t="e">
        <v>#REF!</v>
      </c>
      <c r="Y5" s="16" t="e">
        <v>#REF!</v>
      </c>
      <c r="Z5" s="16">
        <v>1.8646953405017921</v>
      </c>
      <c r="AB5" s="8"/>
      <c r="AC5" s="8"/>
      <c r="AD5" s="18"/>
      <c r="AE5" s="8"/>
      <c r="AF5" s="8"/>
      <c r="AG5" s="8"/>
    </row>
    <row r="6" spans="1:33" ht="15">
      <c r="A6" s="11">
        <v>46204</v>
      </c>
      <c r="B6" s="12">
        <f>AVERAGE(Prices!D99:D100)</f>
        <v>5.4749999999999996</v>
      </c>
      <c r="C6" s="12">
        <f>MROUND(Forecasts!B6+AVERAGE(Prices!F82,Prices!F70,Prices!F58,Prices!F46,Prices!F34),0.01)</f>
        <v>5.25</v>
      </c>
      <c r="D6" s="12">
        <f>MROUND(Forecasts!B6+AVERAGE(Prices!E82,Prices!E70,Prices!E58,Prices!G46,Prices!E34),0.01)</f>
        <v>5.7</v>
      </c>
      <c r="E6" s="12">
        <f t="shared" ref="E6:E7" si="3">AVERAGE(C6:D6)</f>
        <v>5.4749999999999996</v>
      </c>
      <c r="F6" s="12">
        <v>5.46</v>
      </c>
      <c r="G6" s="12">
        <f t="shared" si="0"/>
        <v>8.2499999999999574E-2</v>
      </c>
      <c r="H6" s="13">
        <f>(B6*AE$11/365)+(AE$4*(A6-A5))</f>
        <v>0.20231399999999999</v>
      </c>
      <c r="I6" s="14">
        <f t="shared" si="1"/>
        <v>0.40778196269165545</v>
      </c>
      <c r="J6" s="12">
        <f t="shared" si="2"/>
        <v>0.45000000000000018</v>
      </c>
      <c r="K6" s="12">
        <f>F6-SUM($H$3:H6)</f>
        <v>4.757382694063927</v>
      </c>
      <c r="U6" s="15">
        <v>46143</v>
      </c>
      <c r="V6" s="16" t="e">
        <v>#DIV/0!</v>
      </c>
      <c r="W6" s="16" t="e">
        <v>#REF!</v>
      </c>
      <c r="X6" s="16" t="e">
        <v>#REF!</v>
      </c>
      <c r="Y6" s="16" t="e">
        <v>#REF!</v>
      </c>
      <c r="Z6" s="16">
        <v>1.8288414420721033</v>
      </c>
      <c r="AB6" s="8"/>
      <c r="AC6" s="8"/>
      <c r="AD6" s="18"/>
      <c r="AE6" s="8"/>
      <c r="AF6" s="8"/>
      <c r="AG6" s="8"/>
    </row>
    <row r="7" spans="1:33" ht="13.5">
      <c r="A7" s="11">
        <v>46266</v>
      </c>
      <c r="B7" s="12">
        <f>AVERAGE(Prices!D101:D102)</f>
        <v>5.15</v>
      </c>
      <c r="C7" s="12">
        <f>MROUND(Forecasts!B7+AVERAGE(Prices!F83,Prices!F71,Prices!F59,Prices!F47,Prices!F35),0.01)</f>
        <v>4.75</v>
      </c>
      <c r="D7" s="12">
        <f>MROUND(Forecasts!B7+AVERAGE(Prices!E83,Prices!E71,Prices!E59,Prices!G47,Prices!E35),0.01)</f>
        <v>5.43</v>
      </c>
      <c r="E7" s="12">
        <f t="shared" si="3"/>
        <v>5.09</v>
      </c>
      <c r="F7" s="12">
        <v>5.585</v>
      </c>
      <c r="G7" s="12">
        <f t="shared" si="0"/>
        <v>0.125</v>
      </c>
      <c r="H7" s="13">
        <f>(B7*AE$11/365)+(AE$4*(A7-A6))</f>
        <v>0.2055538082191781</v>
      </c>
      <c r="I7" s="14">
        <f t="shared" si="1"/>
        <v>0.60811327740868171</v>
      </c>
      <c r="J7" s="12">
        <f t="shared" si="2"/>
        <v>0.67999999999999972</v>
      </c>
      <c r="K7" s="12">
        <f>F7-SUM($H$3:H7)</f>
        <v>4.6768288858447491</v>
      </c>
      <c r="AB7" s="8"/>
      <c r="AC7" s="8"/>
      <c r="AD7" s="8"/>
      <c r="AE7" s="8"/>
      <c r="AF7" s="8"/>
      <c r="AG7" s="8"/>
    </row>
    <row r="8" spans="1:33" ht="15">
      <c r="U8" s="15"/>
      <c r="V8" s="16"/>
      <c r="W8" s="16"/>
      <c r="X8" s="16"/>
      <c r="Y8" s="16"/>
      <c r="Z8" s="16"/>
      <c r="AB8" s="8"/>
      <c r="AC8" s="8"/>
      <c r="AD8" s="8"/>
      <c r="AE8" s="8"/>
      <c r="AF8" s="8"/>
      <c r="AG8" s="8"/>
    </row>
    <row r="9" spans="1:33" ht="13.5">
      <c r="A9" s="8"/>
      <c r="B9" s="8"/>
      <c r="C9" s="8"/>
      <c r="D9" s="8"/>
      <c r="E9" s="8"/>
      <c r="F9" s="19"/>
      <c r="G9" s="8"/>
      <c r="H9" s="8"/>
      <c r="I9" s="8"/>
      <c r="J9" s="8"/>
      <c r="K9" s="8"/>
      <c r="Z9" s="8"/>
      <c r="AB9" s="8"/>
      <c r="AC9" s="8"/>
      <c r="AD9" s="17" t="s">
        <v>14</v>
      </c>
      <c r="AE9" s="17"/>
      <c r="AF9" s="8"/>
      <c r="AG9" s="20" t="s">
        <v>15</v>
      </c>
    </row>
    <row r="10" spans="1:33" ht="40.5">
      <c r="A10" s="5" t="s">
        <v>16</v>
      </c>
      <c r="B10" s="6" t="s">
        <v>2</v>
      </c>
      <c r="C10" s="6" t="s">
        <v>3</v>
      </c>
      <c r="D10" s="6" t="s">
        <v>4</v>
      </c>
      <c r="E10" s="6" t="s">
        <v>5</v>
      </c>
      <c r="F10" s="6" t="s">
        <v>6</v>
      </c>
      <c r="G10" s="6" t="s">
        <v>7</v>
      </c>
      <c r="H10" s="7" t="s">
        <v>8</v>
      </c>
      <c r="I10" s="7" t="s">
        <v>9</v>
      </c>
      <c r="J10" s="6" t="s">
        <v>10</v>
      </c>
      <c r="K10" s="7" t="s">
        <v>11</v>
      </c>
      <c r="Z10" s="8"/>
      <c r="AB10" s="21">
        <f ca="1">TODAY()-1</f>
        <v>46000</v>
      </c>
      <c r="AC10" s="8"/>
      <c r="AD10" s="18" t="s">
        <v>17</v>
      </c>
      <c r="AE10" s="22">
        <v>4.7600000000000003E-2</v>
      </c>
      <c r="AF10" s="23" t="e">
        <f ca="1">_xll.RHistory("USD1YFSR=X","NDA_RAW.Nda_last","START:"&amp;$AB10&amp;" INTERVAL:1D")</f>
        <v>#NAME?</v>
      </c>
      <c r="AG10" s="8"/>
    </row>
    <row r="11" spans="1:33" ht="13.5">
      <c r="A11" s="11">
        <v>45809</v>
      </c>
      <c r="B11" s="24" t="e">
        <v>#REF!</v>
      </c>
      <c r="C11" s="24" t="e">
        <v>#REF!</v>
      </c>
      <c r="D11" s="24" t="e">
        <v>#REF!</v>
      </c>
      <c r="E11" s="24" t="e">
        <f>AVERAGE(C11:D11)</f>
        <v>#REF!</v>
      </c>
      <c r="F11" s="12" t="e" vm="1">
        <f t="array" ref="F11">[2]!cam5?Last</f>
        <v>#REF!</v>
      </c>
      <c r="G11" s="12"/>
      <c r="H11" s="13"/>
      <c r="I11" s="14"/>
      <c r="J11" s="24" t="e">
        <f>D11-C11</f>
        <v>#REF!</v>
      </c>
      <c r="K11" s="12" t="e" vm="2">
        <f>F11-SUM($H$11:H11)</f>
        <v>#VALUE!</v>
      </c>
      <c r="Z11" s="8"/>
      <c r="AB11" s="8"/>
      <c r="AC11" s="8"/>
      <c r="AD11" s="18" t="s">
        <v>18</v>
      </c>
      <c r="AE11" s="22">
        <f>AE10+0.02</f>
        <v>6.7600000000000007E-2</v>
      </c>
      <c r="AF11" s="8"/>
      <c r="AG11" s="8"/>
    </row>
    <row r="12" spans="1:33" ht="13.5">
      <c r="A12" s="11">
        <v>45870</v>
      </c>
      <c r="B12" s="24" t="e">
        <v>#REF!</v>
      </c>
      <c r="C12" s="24" t="e">
        <v>#REF!</v>
      </c>
      <c r="D12" s="24" t="e">
        <v>#REF!</v>
      </c>
      <c r="E12" s="24" t="e">
        <f t="shared" ref="E12:E14" si="4">AVERAGE(C12:D12)</f>
        <v>#REF!</v>
      </c>
      <c r="F12" s="12" t="e" cm="1" vm="1">
        <f t="array" ref="F12">[2]!caq5?Settle</f>
        <v>#REF!</v>
      </c>
      <c r="G12" s="12" t="e" vm="2">
        <f>F12-F11</f>
        <v>#VALUE!</v>
      </c>
      <c r="H12" s="13" t="e">
        <f>(B12*AE$11/365)+(AE$4*(A12-A11))</f>
        <v>#REF!</v>
      </c>
      <c r="I12" s="14" t="e" vm="2">
        <f>G12/H12</f>
        <v>#VALUE!</v>
      </c>
      <c r="J12" s="24" t="e">
        <f t="shared" ref="J12:J14" si="5">D12-C12</f>
        <v>#REF!</v>
      </c>
      <c r="K12" s="12" t="e" vm="2">
        <f>F12-SUM($H$12:H12)</f>
        <v>#VALUE!</v>
      </c>
      <c r="L12" s="8"/>
      <c r="M12" s="8"/>
      <c r="N12" s="8"/>
      <c r="O12" s="8"/>
      <c r="P12" s="8"/>
      <c r="Q12" s="8"/>
      <c r="R12" s="8"/>
    </row>
    <row r="13" spans="1:33" ht="13.5">
      <c r="A13" s="11">
        <v>45962</v>
      </c>
      <c r="B13" s="24" t="e">
        <v>#REF!</v>
      </c>
      <c r="C13" s="24" t="e">
        <v>#REF!</v>
      </c>
      <c r="D13" s="24" t="e">
        <v>#REF!</v>
      </c>
      <c r="E13" s="24" t="e">
        <f t="shared" si="4"/>
        <v>#REF!</v>
      </c>
      <c r="F13" s="12" t="e" vm="1">
        <f t="array" ref="F13">[2]!cax5?Settle</f>
        <v>#REF!</v>
      </c>
      <c r="G13" s="12" t="e" vm="2">
        <f>F13-F12</f>
        <v>#VALUE!</v>
      </c>
      <c r="H13" s="13" t="e">
        <f>(B13*AE$11/365)+(AE$4*(A13-A12))</f>
        <v>#REF!</v>
      </c>
      <c r="I13" s="14" t="e" vm="2">
        <f>G13/H13</f>
        <v>#VALUE!</v>
      </c>
      <c r="J13" s="24" t="e">
        <f t="shared" si="5"/>
        <v>#REF!</v>
      </c>
      <c r="K13" s="12" t="e" vm="2">
        <f>F13-SUM($H$12:H13)</f>
        <v>#VALUE!</v>
      </c>
    </row>
    <row r="14" spans="1:33" ht="13.5">
      <c r="A14" s="11">
        <v>46082</v>
      </c>
      <c r="B14" s="24" t="e">
        <v>#REF!</v>
      </c>
      <c r="C14" s="24" t="e">
        <v>#REF!</v>
      </c>
      <c r="D14" s="24" t="e">
        <v>#REF!</v>
      </c>
      <c r="E14" s="24" t="e">
        <f t="shared" si="4"/>
        <v>#REF!</v>
      </c>
      <c r="F14" s="12" t="e" vm="1">
        <f t="array" ref="F14">[2]!cah6?Settle</f>
        <v>#REF!</v>
      </c>
      <c r="G14" s="12" t="e" vm="2">
        <f>F14-F13</f>
        <v>#VALUE!</v>
      </c>
      <c r="H14" s="13" t="e">
        <f>(B14*AE$11/365)+(AE$4*(A14-A13))</f>
        <v>#REF!</v>
      </c>
      <c r="I14" s="14" t="e" vm="2">
        <f>G14/H14</f>
        <v>#VALUE!</v>
      </c>
      <c r="J14" s="24" t="e">
        <f t="shared" si="5"/>
        <v>#REF!</v>
      </c>
      <c r="K14" s="12" t="e" vm="2">
        <f>F14-SUM($H$12:H14)</f>
        <v>#VALUE!</v>
      </c>
    </row>
    <row r="15" spans="1:33">
      <c r="A15" s="25" t="s">
        <v>19</v>
      </c>
    </row>
    <row r="16" spans="1:33" ht="15">
      <c r="B16" s="24"/>
      <c r="C16" s="24"/>
      <c r="D16" s="24"/>
      <c r="E16" s="24"/>
      <c r="F16" s="12"/>
      <c r="G16" s="12"/>
      <c r="K16" s="26"/>
    </row>
    <row r="17" spans="1:11" ht="15">
      <c r="A17" s="26"/>
      <c r="B17" s="26"/>
      <c r="C17" s="26"/>
      <c r="D17" s="26"/>
      <c r="K17" s="26"/>
    </row>
    <row r="18" spans="1:11" ht="15">
      <c r="A18" s="26"/>
      <c r="B18" s="26"/>
      <c r="C18" s="26"/>
      <c r="D18" s="26"/>
      <c r="K18" s="26"/>
    </row>
    <row r="19" spans="1:11" ht="15">
      <c r="A19" s="26"/>
      <c r="B19" s="26"/>
      <c r="C19" s="26"/>
      <c r="D19" s="26"/>
      <c r="K19" s="26"/>
    </row>
    <row r="20" spans="1:11" ht="1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spans="1:11" ht="15">
      <c r="A21" s="26" t="s">
        <v>20</v>
      </c>
      <c r="B21" s="26">
        <v>4</v>
      </c>
      <c r="C21" s="26"/>
      <c r="D21" s="26"/>
      <c r="E21" s="26"/>
      <c r="F21" s="26"/>
      <c r="G21" s="26"/>
      <c r="H21" s="26"/>
      <c r="I21" s="26"/>
      <c r="J21" s="26"/>
      <c r="K21" s="26"/>
    </row>
    <row r="22" spans="1:11" ht="15">
      <c r="A22" s="26" t="s">
        <v>21</v>
      </c>
      <c r="B22" s="26">
        <v>5</v>
      </c>
      <c r="C22" s="26"/>
      <c r="D22" s="26"/>
      <c r="E22" s="26"/>
      <c r="F22" s="26"/>
      <c r="G22" s="26"/>
      <c r="H22" s="26"/>
      <c r="I22" s="26"/>
      <c r="J22" s="26"/>
      <c r="K22" s="26"/>
    </row>
    <row r="23" spans="1:11" ht="1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1" ht="15">
      <c r="A24" s="27" t="s">
        <v>49</v>
      </c>
      <c r="B24" s="26"/>
      <c r="C24" s="26"/>
      <c r="D24" s="26"/>
      <c r="E24" s="26"/>
      <c r="F24" s="26"/>
      <c r="G24" s="27" t="s">
        <v>22</v>
      </c>
      <c r="H24" s="26"/>
      <c r="I24" s="26"/>
      <c r="J24" s="26"/>
      <c r="K24" s="26"/>
    </row>
    <row r="25" spans="1:11" ht="15">
      <c r="A25" s="28">
        <v>45659</v>
      </c>
      <c r="B25" s="29">
        <v>545.75</v>
      </c>
      <c r="C25" s="31">
        <f>B25/100</f>
        <v>5.4574999999999996</v>
      </c>
      <c r="D25" s="26"/>
      <c r="E25" s="26"/>
      <c r="F25" s="26"/>
      <c r="G25" s="28" t="e" vm="1">
        <f t="array" ref="G25:H49">[1]!'CAm25[INTERVAL:DAILY,COMPRESSION:1,SORT:ASC,SPAN:25]?DATE,CLOSE'</f>
        <v>#REF!</v>
      </c>
      <c r="H25" s="29" t="e" vm="1">
        <v>#REF!</v>
      </c>
      <c r="I25" s="31" t="e" vm="2">
        <f t="shared" ref="I25:I28" si="6">IF(IF(ISNUMBER(G25),MONTH(G25),MONTH(DATEVALUE(G25)))=$B$21,H25,"-- ")</f>
        <v>#VALUE!</v>
      </c>
      <c r="J25" s="26"/>
      <c r="K25" s="26"/>
    </row>
    <row r="26" spans="1:11" ht="15">
      <c r="A26" s="28">
        <v>45660</v>
      </c>
      <c r="B26" s="29">
        <v>529.25</v>
      </c>
      <c r="C26" s="31">
        <f t="shared" ref="C26:C89" si="7">B26/100</f>
        <v>5.2925000000000004</v>
      </c>
      <c r="D26" s="26"/>
      <c r="E26" s="26"/>
      <c r="F26" s="26"/>
      <c r="G26" s="28" t="e" vm="1">
        <v>#REF!</v>
      </c>
      <c r="H26" s="29" t="e" vm="1">
        <v>#REF!</v>
      </c>
      <c r="I26" s="31" t="e" vm="2">
        <f t="shared" si="6"/>
        <v>#VALUE!</v>
      </c>
      <c r="J26" s="26"/>
      <c r="K26" s="26"/>
    </row>
    <row r="27" spans="1:11" ht="15">
      <c r="A27" s="28">
        <v>45663</v>
      </c>
      <c r="B27" s="29">
        <v>540.5</v>
      </c>
      <c r="C27" s="31">
        <f t="shared" si="7"/>
        <v>5.4050000000000002</v>
      </c>
      <c r="D27" s="26"/>
      <c r="E27" s="26"/>
      <c r="F27" s="26"/>
      <c r="G27" s="28" t="e" vm="1">
        <v>#REF!</v>
      </c>
      <c r="H27" s="29" t="e" vm="1">
        <v>#REF!</v>
      </c>
      <c r="I27" s="31" t="e" vm="2">
        <f t="shared" si="6"/>
        <v>#VALUE!</v>
      </c>
      <c r="J27" s="26"/>
      <c r="K27" s="26"/>
    </row>
    <row r="28" spans="1:11" ht="15">
      <c r="A28" s="28">
        <v>45664</v>
      </c>
      <c r="B28" s="29">
        <v>542.5</v>
      </c>
      <c r="C28" s="31">
        <f t="shared" si="7"/>
        <v>5.4249999999999998</v>
      </c>
      <c r="D28" s="26"/>
      <c r="E28" s="26"/>
      <c r="F28" s="26"/>
      <c r="G28" s="28" t="e" vm="1">
        <v>#REF!</v>
      </c>
      <c r="H28" s="29" t="e" vm="1">
        <v>#REF!</v>
      </c>
      <c r="I28" s="31" t="e" vm="2">
        <f t="shared" si="6"/>
        <v>#VALUE!</v>
      </c>
      <c r="J28" s="26"/>
      <c r="K28" s="26"/>
    </row>
    <row r="29" spans="1:11" ht="15">
      <c r="A29" s="28">
        <v>45665</v>
      </c>
      <c r="B29" s="29">
        <v>536.25</v>
      </c>
      <c r="C29" s="31">
        <f t="shared" si="7"/>
        <v>5.3624999999999998</v>
      </c>
      <c r="D29" s="26"/>
      <c r="E29" s="26"/>
      <c r="F29" s="26"/>
      <c r="G29" s="28" t="e" vm="1">
        <v>#REF!</v>
      </c>
      <c r="H29" s="29" t="e" vm="1">
        <v>#REF!</v>
      </c>
      <c r="I29" s="31" t="e" vm="2">
        <f>IF(IF(ISNUMBER(G29),MONTH(G29),MONTH(DATEVALUE(G29)))=$B$21,H29,"-- ")</f>
        <v>#VALUE!</v>
      </c>
      <c r="J29" s="26"/>
      <c r="K29" s="26"/>
    </row>
    <row r="30" spans="1:11" ht="15">
      <c r="A30" s="28">
        <v>45666</v>
      </c>
      <c r="B30" s="29">
        <v>534</v>
      </c>
      <c r="C30" s="31">
        <f t="shared" si="7"/>
        <v>5.34</v>
      </c>
      <c r="D30" s="26"/>
      <c r="E30" s="26"/>
      <c r="F30" s="26"/>
      <c r="G30" s="28" t="e" vm="1">
        <v>#REF!</v>
      </c>
      <c r="H30" s="29" t="e" vm="1">
        <v>#REF!</v>
      </c>
      <c r="I30" s="31" t="e" vm="2">
        <f t="shared" ref="I30:I34" si="8">IF(IF(ISNUMBER(G30),MONTH(G30),MONTH(DATEVALUE(G30)))=$B$21,H30,"-- ")</f>
        <v>#VALUE!</v>
      </c>
      <c r="J30" s="26"/>
      <c r="K30" s="26"/>
    </row>
    <row r="31" spans="1:11" ht="15">
      <c r="A31" s="28">
        <v>45667</v>
      </c>
      <c r="B31" s="29">
        <v>530.75</v>
      </c>
      <c r="C31" s="31">
        <f t="shared" si="7"/>
        <v>5.3075000000000001</v>
      </c>
      <c r="D31" s="26"/>
      <c r="E31" s="26"/>
      <c r="F31" s="26"/>
      <c r="G31" s="28" t="e" vm="1">
        <v>#REF!</v>
      </c>
      <c r="H31" s="29" t="e" vm="1">
        <v>#REF!</v>
      </c>
      <c r="I31" s="31" t="e" vm="2">
        <f t="shared" si="8"/>
        <v>#VALUE!</v>
      </c>
      <c r="J31" s="26"/>
      <c r="K31" s="26"/>
    </row>
    <row r="32" spans="1:11" ht="15">
      <c r="A32" s="28">
        <v>45670</v>
      </c>
      <c r="B32" s="29">
        <v>545</v>
      </c>
      <c r="C32" s="31">
        <f t="shared" si="7"/>
        <v>5.45</v>
      </c>
      <c r="D32" s="26"/>
      <c r="E32" s="26"/>
      <c r="F32" s="26"/>
      <c r="G32" s="28" t="e" vm="1">
        <v>#REF!</v>
      </c>
      <c r="H32" s="29" t="e" vm="1">
        <v>#REF!</v>
      </c>
      <c r="I32" s="31" t="e" vm="2">
        <f t="shared" si="8"/>
        <v>#VALUE!</v>
      </c>
      <c r="J32" s="26"/>
      <c r="K32" s="26"/>
    </row>
    <row r="33" spans="1:11" ht="15">
      <c r="A33" s="28">
        <v>45671</v>
      </c>
      <c r="B33" s="29">
        <v>546.25</v>
      </c>
      <c r="C33" s="31">
        <f t="shared" si="7"/>
        <v>5.4625000000000004</v>
      </c>
      <c r="D33" s="26"/>
      <c r="E33" s="26"/>
      <c r="F33" s="26"/>
      <c r="G33" s="28" t="e" vm="1">
        <v>#REF!</v>
      </c>
      <c r="H33" s="29" t="e" vm="1">
        <v>#REF!</v>
      </c>
      <c r="I33" s="31" t="e" vm="2">
        <f t="shared" si="8"/>
        <v>#VALUE!</v>
      </c>
      <c r="J33" s="26"/>
      <c r="K33" s="26"/>
    </row>
    <row r="34" spans="1:11" ht="15">
      <c r="A34" s="28">
        <v>45672</v>
      </c>
      <c r="B34" s="29">
        <v>547</v>
      </c>
      <c r="C34" s="31">
        <f t="shared" si="7"/>
        <v>5.47</v>
      </c>
      <c r="D34" s="26"/>
      <c r="E34" s="26"/>
      <c r="F34" s="26"/>
      <c r="G34" s="28" t="e" vm="1">
        <v>#REF!</v>
      </c>
      <c r="H34" s="29" t="e" vm="1">
        <v>#REF!</v>
      </c>
      <c r="I34" s="31" t="e" vm="2">
        <f t="shared" si="8"/>
        <v>#VALUE!</v>
      </c>
      <c r="J34" s="26"/>
      <c r="K34" s="26"/>
    </row>
    <row r="35" spans="1:11" ht="15">
      <c r="A35" s="28">
        <v>45673</v>
      </c>
      <c r="B35" s="29">
        <v>537.5</v>
      </c>
      <c r="C35" s="31">
        <f t="shared" si="7"/>
        <v>5.375</v>
      </c>
      <c r="D35" s="26"/>
      <c r="E35" s="26"/>
      <c r="F35" s="26"/>
      <c r="G35" s="28" t="e" vm="1">
        <v>#REF!</v>
      </c>
      <c r="H35" s="29" t="e" vm="1">
        <v>#REF!</v>
      </c>
      <c r="I35" s="31" t="e" vm="2">
        <f>IF(IF(ISNUMBER(G35),MONTH(G35),MONTH(DATEVALUE(G35)))=$B$21,H35,"-- ")</f>
        <v>#VALUE!</v>
      </c>
      <c r="J35" s="26"/>
      <c r="K35" s="26"/>
    </row>
    <row r="36" spans="1:11" ht="15">
      <c r="A36" s="28">
        <v>45674</v>
      </c>
      <c r="B36" s="29">
        <v>538.75</v>
      </c>
      <c r="C36" s="31">
        <f t="shared" si="7"/>
        <v>5.3875000000000002</v>
      </c>
      <c r="D36" s="26"/>
      <c r="E36" s="26"/>
      <c r="F36" s="26"/>
      <c r="G36" s="28" t="e" vm="1">
        <v>#REF!</v>
      </c>
      <c r="H36" s="29" t="e" vm="1">
        <v>#REF!</v>
      </c>
      <c r="I36" s="31" t="e" vm="2">
        <f>IF(IF(ISNUMBER(G36),MONTH(G36),MONTH(DATEVALUE(G36)))=$B$21,H36,"-- ")</f>
        <v>#VALUE!</v>
      </c>
      <c r="J36" s="26"/>
      <c r="K36" s="26"/>
    </row>
    <row r="37" spans="1:11" ht="15">
      <c r="A37" s="28">
        <v>45678</v>
      </c>
      <c r="B37" s="29">
        <v>558.75</v>
      </c>
      <c r="C37" s="31">
        <f t="shared" si="7"/>
        <v>5.5875000000000004</v>
      </c>
      <c r="D37" s="26"/>
      <c r="E37" s="26"/>
      <c r="F37" s="26"/>
      <c r="G37" s="28" t="e" vm="1">
        <v>#REF!</v>
      </c>
      <c r="H37" s="29" t="e" vm="1">
        <v>#REF!</v>
      </c>
      <c r="I37" s="31" t="e" vm="2">
        <f t="shared" ref="I37:I39" si="9">IF(IF(ISNUMBER(G37),MONTH(G37),MONTH(DATEVALUE(G37)))=$B$21,H37,"-- ")</f>
        <v>#VALUE!</v>
      </c>
      <c r="J37" s="26"/>
      <c r="K37" s="26"/>
    </row>
    <row r="38" spans="1:11" ht="15">
      <c r="A38" s="28">
        <v>45679</v>
      </c>
      <c r="B38" s="29">
        <v>554</v>
      </c>
      <c r="C38" s="31">
        <f t="shared" si="7"/>
        <v>5.54</v>
      </c>
      <c r="D38" s="26"/>
      <c r="E38" s="26"/>
      <c r="F38" s="26"/>
      <c r="G38" s="28" t="e" vm="1">
        <v>#REF!</v>
      </c>
      <c r="H38" s="29" t="e" vm="1">
        <v>#REF!</v>
      </c>
      <c r="I38" s="31" t="e" vm="2">
        <f t="shared" si="9"/>
        <v>#VALUE!</v>
      </c>
      <c r="J38" s="26"/>
      <c r="K38" s="26"/>
    </row>
    <row r="39" spans="1:11" ht="15">
      <c r="A39" s="28">
        <v>45680</v>
      </c>
      <c r="B39" s="29">
        <v>554</v>
      </c>
      <c r="C39" s="31">
        <f t="shared" si="7"/>
        <v>5.54</v>
      </c>
      <c r="D39" s="26"/>
      <c r="E39" s="26"/>
      <c r="F39" s="26"/>
      <c r="G39" s="28" t="e" vm="1">
        <v>#REF!</v>
      </c>
      <c r="H39" s="29" t="e" vm="1">
        <v>#REF!</v>
      </c>
      <c r="I39" s="31" t="e" vm="2">
        <f t="shared" si="9"/>
        <v>#VALUE!</v>
      </c>
      <c r="J39" s="26"/>
      <c r="K39" s="26"/>
    </row>
    <row r="40" spans="1:11" ht="15">
      <c r="A40" s="28">
        <v>45681</v>
      </c>
      <c r="B40" s="29">
        <v>544</v>
      </c>
      <c r="C40" s="31">
        <f t="shared" si="7"/>
        <v>5.44</v>
      </c>
      <c r="D40" s="26"/>
      <c r="E40" s="26"/>
      <c r="F40" s="26"/>
      <c r="G40" s="28" t="e" vm="1">
        <v>#REF!</v>
      </c>
      <c r="H40" s="29" t="e" vm="1">
        <v>#REF!</v>
      </c>
      <c r="I40" s="31" t="e" vm="2">
        <f>IF(IF(ISNUMBER(G40),MONTH(G40),MONTH(DATEVALUE(G40)))=$B$21,H40,"-- ")</f>
        <v>#VALUE!</v>
      </c>
      <c r="J40" s="26"/>
      <c r="K40" s="26"/>
    </row>
    <row r="41" spans="1:11" ht="15">
      <c r="A41" s="30">
        <v>45684</v>
      </c>
      <c r="B41" s="29">
        <v>535.5</v>
      </c>
      <c r="C41" s="31">
        <f t="shared" si="7"/>
        <v>5.3550000000000004</v>
      </c>
      <c r="D41" s="26"/>
      <c r="E41" s="26"/>
      <c r="F41" s="26"/>
      <c r="G41" s="30" t="e" vm="1">
        <v>#REF!</v>
      </c>
      <c r="H41" s="29" t="e" vm="1">
        <v>#REF!</v>
      </c>
      <c r="I41" s="31" t="e" vm="2">
        <f t="shared" ref="I41:I49" si="10">IF(IF(ISNUMBER(G41),MONTH(G41),MONTH(DATEVALUE(G41)))=$B$21,H41,"-- ")</f>
        <v>#VALUE!</v>
      </c>
      <c r="J41" s="26"/>
      <c r="K41" s="26"/>
    </row>
    <row r="42" spans="1:11" ht="15">
      <c r="A42" s="30">
        <v>45685</v>
      </c>
      <c r="B42" s="29">
        <v>545.25</v>
      </c>
      <c r="C42" s="31">
        <f t="shared" si="7"/>
        <v>5.4524999999999997</v>
      </c>
      <c r="D42" s="26"/>
      <c r="E42" s="26"/>
      <c r="F42" s="26"/>
      <c r="G42" s="30" t="e" vm="1">
        <v>#REF!</v>
      </c>
      <c r="H42" s="29" t="e" vm="1">
        <v>#REF!</v>
      </c>
      <c r="I42" s="31" t="e" vm="2">
        <f t="shared" si="10"/>
        <v>#VALUE!</v>
      </c>
      <c r="J42" s="26"/>
      <c r="K42" s="26"/>
    </row>
    <row r="43" spans="1:11" ht="15">
      <c r="A43" s="30">
        <v>45686</v>
      </c>
      <c r="B43" s="29">
        <v>562.5</v>
      </c>
      <c r="C43" s="31">
        <f t="shared" si="7"/>
        <v>5.625</v>
      </c>
      <c r="D43" s="26"/>
      <c r="E43" s="26"/>
      <c r="F43" s="26"/>
      <c r="G43" s="30" t="e" vm="1">
        <v>#REF!</v>
      </c>
      <c r="H43" s="29" t="e" vm="1">
        <v>#REF!</v>
      </c>
      <c r="I43" s="31" t="e" vm="2">
        <f t="shared" si="10"/>
        <v>#VALUE!</v>
      </c>
      <c r="J43" s="26"/>
      <c r="K43" s="26"/>
    </row>
    <row r="44" spans="1:11" ht="15">
      <c r="A44" s="30">
        <v>45687</v>
      </c>
      <c r="B44" s="29">
        <v>566.5</v>
      </c>
      <c r="C44" s="31">
        <f t="shared" si="7"/>
        <v>5.665</v>
      </c>
      <c r="D44" s="26"/>
      <c r="E44" s="26"/>
      <c r="F44" s="26"/>
      <c r="G44" s="30" t="e" vm="1">
        <v>#REF!</v>
      </c>
      <c r="H44" s="29" t="e" vm="1">
        <v>#REF!</v>
      </c>
      <c r="I44" s="31" t="e" vm="2">
        <f t="shared" si="10"/>
        <v>#VALUE!</v>
      </c>
      <c r="J44" s="26"/>
      <c r="K44" s="26"/>
    </row>
    <row r="45" spans="1:11" ht="15">
      <c r="A45" s="30">
        <v>45688</v>
      </c>
      <c r="B45" s="29">
        <v>559.5</v>
      </c>
      <c r="C45" s="31">
        <f t="shared" si="7"/>
        <v>5.5949999999999998</v>
      </c>
      <c r="D45" s="26"/>
      <c r="E45" s="26"/>
      <c r="F45" s="26"/>
      <c r="G45" s="30" t="e" vm="1">
        <v>#REF!</v>
      </c>
      <c r="H45" s="29" t="e" vm="1">
        <v>#REF!</v>
      </c>
      <c r="I45" s="31" t="e" vm="2">
        <f t="shared" si="10"/>
        <v>#VALUE!</v>
      </c>
      <c r="J45" s="26"/>
      <c r="K45" s="26"/>
    </row>
    <row r="46" spans="1:11" ht="15">
      <c r="A46" s="30">
        <v>45691</v>
      </c>
      <c r="B46" s="29">
        <v>566.75</v>
      </c>
      <c r="C46" s="31">
        <f t="shared" si="7"/>
        <v>5.6675000000000004</v>
      </c>
      <c r="D46" s="26"/>
      <c r="E46" s="26"/>
      <c r="F46" s="26"/>
      <c r="G46" s="30" t="e" vm="1">
        <v>#REF!</v>
      </c>
      <c r="H46" s="29" t="e" vm="1">
        <v>#REF!</v>
      </c>
      <c r="I46" s="31" t="e" vm="2">
        <f t="shared" si="10"/>
        <v>#VALUE!</v>
      </c>
      <c r="J46" s="26"/>
      <c r="K46" s="26"/>
    </row>
    <row r="47" spans="1:11" ht="15">
      <c r="A47" s="30">
        <v>45692</v>
      </c>
      <c r="B47" s="29">
        <v>577</v>
      </c>
      <c r="C47" s="31">
        <f t="shared" si="7"/>
        <v>5.77</v>
      </c>
      <c r="D47" s="26"/>
      <c r="E47" s="26"/>
      <c r="F47" s="26"/>
      <c r="G47" s="30" t="e" vm="1">
        <v>#REF!</v>
      </c>
      <c r="H47" s="29" t="e" vm="1">
        <v>#REF!</v>
      </c>
      <c r="I47" s="31" t="e" vm="2">
        <f t="shared" si="10"/>
        <v>#VALUE!</v>
      </c>
      <c r="J47" s="26"/>
      <c r="K47" s="26"/>
    </row>
    <row r="48" spans="1:11" ht="15">
      <c r="A48" s="30">
        <v>45693</v>
      </c>
      <c r="B48" s="29">
        <v>572.25</v>
      </c>
      <c r="C48" s="31">
        <f t="shared" si="7"/>
        <v>5.7225000000000001</v>
      </c>
      <c r="D48" s="26"/>
      <c r="E48" s="26"/>
      <c r="F48" s="26"/>
      <c r="G48" s="30" t="e" vm="1">
        <v>#REF!</v>
      </c>
      <c r="H48" s="29" t="e" vm="1">
        <v>#REF!</v>
      </c>
      <c r="I48" s="31" t="e" vm="2">
        <f t="shared" si="10"/>
        <v>#VALUE!</v>
      </c>
      <c r="J48" s="26"/>
      <c r="K48" s="26"/>
    </row>
    <row r="49" spans="1:11" ht="15">
      <c r="A49" s="28">
        <v>45694</v>
      </c>
      <c r="B49" s="29">
        <v>587.75</v>
      </c>
      <c r="C49" s="31">
        <f t="shared" si="7"/>
        <v>5.8775000000000004</v>
      </c>
      <c r="D49" s="26"/>
      <c r="E49" s="26"/>
      <c r="F49" s="26"/>
      <c r="G49" s="28" t="e" vm="1">
        <v>#REF!</v>
      </c>
      <c r="H49" s="29" t="e" vm="1">
        <v>#REF!</v>
      </c>
      <c r="I49" s="31" t="e" vm="2">
        <f t="shared" si="10"/>
        <v>#VALUE!</v>
      </c>
      <c r="J49" s="26"/>
      <c r="K49" s="26"/>
    </row>
    <row r="50" spans="1:11" ht="15">
      <c r="A50" s="28">
        <v>45695</v>
      </c>
      <c r="B50" s="32">
        <v>582.75</v>
      </c>
      <c r="C50" s="31">
        <f t="shared" si="7"/>
        <v>5.8274999999999997</v>
      </c>
      <c r="D50" s="26"/>
      <c r="E50" s="26"/>
      <c r="F50" s="26"/>
      <c r="G50" s="32"/>
      <c r="H50" s="32"/>
      <c r="I50" s="31"/>
      <c r="J50" s="26"/>
      <c r="K50" s="26"/>
    </row>
    <row r="51" spans="1:11" ht="15">
      <c r="A51" s="28">
        <v>45698</v>
      </c>
      <c r="B51" s="32">
        <v>579.5</v>
      </c>
      <c r="C51" s="31">
        <f t="shared" si="7"/>
        <v>5.7949999999999999</v>
      </c>
      <c r="D51" s="26"/>
      <c r="E51" s="26"/>
      <c r="F51" s="26"/>
      <c r="G51" s="32" t="s">
        <v>23</v>
      </c>
      <c r="H51" s="32"/>
      <c r="I51" s="33">
        <f>IF(ISNUMBER(I49),(($B$22-COUNT(I25:I48))*I49+SUM(I25:I48))/$B$22,2.25)</f>
        <v>2.25</v>
      </c>
      <c r="J51" s="26"/>
      <c r="K51" s="26"/>
    </row>
    <row r="52" spans="1:11" ht="15">
      <c r="A52" s="28">
        <v>45699</v>
      </c>
      <c r="B52" s="26">
        <v>577</v>
      </c>
      <c r="C52" s="31">
        <f t="shared" si="7"/>
        <v>5.77</v>
      </c>
      <c r="D52" s="26"/>
      <c r="E52" s="26"/>
      <c r="F52" s="26"/>
      <c r="G52" s="26"/>
      <c r="H52" s="26"/>
      <c r="I52" s="34" t="e" vm="2">
        <f>AVERAGE(I25:I49)</f>
        <v>#VALUE!</v>
      </c>
      <c r="J52" s="26"/>
      <c r="K52" s="26"/>
    </row>
    <row r="53" spans="1:11" ht="15">
      <c r="A53" s="28">
        <v>45700</v>
      </c>
      <c r="B53" s="26">
        <v>574.25</v>
      </c>
      <c r="C53" s="31">
        <f t="shared" si="7"/>
        <v>5.7424999999999997</v>
      </c>
      <c r="D53" s="35" t="s">
        <v>24</v>
      </c>
      <c r="E53" s="26"/>
      <c r="F53" s="26"/>
      <c r="G53" s="26"/>
      <c r="H53" s="26"/>
      <c r="I53" s="26">
        <v>5</v>
      </c>
      <c r="J53" s="35" t="s">
        <v>24</v>
      </c>
      <c r="K53" s="26"/>
    </row>
    <row r="54" spans="1:11" ht="15">
      <c r="A54" s="28">
        <v>45701</v>
      </c>
      <c r="B54" s="26">
        <v>577.75</v>
      </c>
      <c r="C54" s="31">
        <f t="shared" si="7"/>
        <v>5.7774999999999999</v>
      </c>
      <c r="D54" s="35" t="s">
        <v>25</v>
      </c>
      <c r="E54" s="34"/>
      <c r="F54" s="26"/>
      <c r="G54" s="26"/>
      <c r="H54" s="26"/>
      <c r="I54" s="36">
        <v>215</v>
      </c>
      <c r="J54" s="35" t="s">
        <v>25</v>
      </c>
      <c r="K54" s="26"/>
    </row>
    <row r="55" spans="1:11" ht="15">
      <c r="A55" s="28">
        <v>45702</v>
      </c>
      <c r="B55" s="26">
        <v>600</v>
      </c>
      <c r="C55" s="31">
        <f t="shared" si="7"/>
        <v>6</v>
      </c>
      <c r="D55" s="26" t="s">
        <v>26</v>
      </c>
      <c r="E55" s="26"/>
      <c r="F55" s="26"/>
      <c r="G55" s="26"/>
      <c r="H55" s="26"/>
      <c r="I55" s="34" t="e" vm="2">
        <f>AVERAGE(I25:I49)</f>
        <v>#VALUE!</v>
      </c>
      <c r="J55" s="26" t="s">
        <v>26</v>
      </c>
      <c r="K55" s="26"/>
    </row>
    <row r="56" spans="1:11" ht="15">
      <c r="A56" s="28">
        <v>45706</v>
      </c>
      <c r="B56" s="26">
        <v>604.75</v>
      </c>
      <c r="C56" s="31">
        <f t="shared" si="7"/>
        <v>6.0475000000000003</v>
      </c>
      <c r="D56" s="26" t="s">
        <v>27</v>
      </c>
      <c r="E56" s="26"/>
      <c r="F56" s="26"/>
      <c r="G56" s="26"/>
      <c r="H56" s="26"/>
      <c r="I56" s="37" t="e" vm="2">
        <f>I53*I55</f>
        <v>#VALUE!</v>
      </c>
      <c r="J56" s="26" t="s">
        <v>27</v>
      </c>
      <c r="K56" s="26"/>
    </row>
    <row r="57" spans="1:11" ht="15">
      <c r="A57" s="28">
        <v>45707</v>
      </c>
      <c r="B57" s="26">
        <v>592</v>
      </c>
      <c r="C57" s="31">
        <f t="shared" si="7"/>
        <v>5.92</v>
      </c>
      <c r="D57" s="26" t="s">
        <v>28</v>
      </c>
      <c r="E57" s="26"/>
      <c r="F57" s="26"/>
      <c r="G57" s="26"/>
      <c r="H57" s="26"/>
      <c r="I57" s="37">
        <f>I54*(B22-I53)</f>
        <v>0</v>
      </c>
      <c r="J57" s="26" t="s">
        <v>28</v>
      </c>
      <c r="K57" s="26"/>
    </row>
    <row r="58" spans="1:11" ht="15">
      <c r="A58" s="28">
        <v>45708</v>
      </c>
      <c r="B58" s="26">
        <v>585.5</v>
      </c>
      <c r="C58" s="31">
        <f t="shared" si="7"/>
        <v>5.8550000000000004</v>
      </c>
      <c r="D58" s="26" t="s">
        <v>29</v>
      </c>
      <c r="E58" s="26"/>
      <c r="F58" s="26"/>
      <c r="G58" s="26"/>
      <c r="H58" s="26"/>
      <c r="I58" s="34" t="e" vm="2">
        <f>(I56+I57)/B22</f>
        <v>#VALUE!</v>
      </c>
      <c r="J58" s="26" t="s">
        <v>29</v>
      </c>
      <c r="K58" s="26"/>
    </row>
    <row r="59" spans="1:11" ht="15">
      <c r="A59" s="28">
        <v>45709</v>
      </c>
      <c r="B59" s="26">
        <v>590</v>
      </c>
      <c r="C59" s="31">
        <f t="shared" si="7"/>
        <v>5.9</v>
      </c>
      <c r="D59" s="26"/>
      <c r="E59" s="26"/>
      <c r="F59" s="26"/>
      <c r="G59" s="26"/>
      <c r="H59" s="26"/>
      <c r="I59" s="26"/>
      <c r="J59" s="26"/>
      <c r="K59" s="26"/>
    </row>
    <row r="60" spans="1:11" ht="15">
      <c r="A60" s="28">
        <v>45712</v>
      </c>
      <c r="B60">
        <v>579</v>
      </c>
      <c r="C60" s="31">
        <f t="shared" si="7"/>
        <v>5.79</v>
      </c>
    </row>
    <row r="61" spans="1:11" ht="15">
      <c r="A61" s="28">
        <v>45713</v>
      </c>
      <c r="B61">
        <v>572.75</v>
      </c>
      <c r="C61" s="31">
        <f t="shared" si="7"/>
        <v>5.7275</v>
      </c>
    </row>
    <row r="62" spans="1:11" ht="15">
      <c r="A62" s="28">
        <v>45714</v>
      </c>
      <c r="B62">
        <v>566</v>
      </c>
      <c r="C62" s="31">
        <f t="shared" si="7"/>
        <v>5.66</v>
      </c>
    </row>
    <row r="63" spans="1:11" ht="15">
      <c r="A63" s="28">
        <v>45715</v>
      </c>
      <c r="B63">
        <v>546.75</v>
      </c>
      <c r="C63" s="31">
        <f t="shared" si="7"/>
        <v>5.4675000000000002</v>
      </c>
    </row>
    <row r="64" spans="1:11" ht="15">
      <c r="A64" s="28">
        <v>45716</v>
      </c>
      <c r="B64">
        <v>537</v>
      </c>
      <c r="C64" s="31">
        <f t="shared" si="7"/>
        <v>5.37</v>
      </c>
    </row>
    <row r="65" spans="1:3" ht="15">
      <c r="A65" s="28">
        <v>45719</v>
      </c>
      <c r="B65">
        <v>532</v>
      </c>
      <c r="C65" s="31">
        <f t="shared" si="7"/>
        <v>5.32</v>
      </c>
    </row>
    <row r="66" spans="1:3" ht="15">
      <c r="A66" s="28">
        <v>45720</v>
      </c>
      <c r="B66">
        <v>518.5</v>
      </c>
      <c r="C66" s="31">
        <f t="shared" si="7"/>
        <v>5.1849999999999996</v>
      </c>
    </row>
    <row r="67" spans="1:3" ht="15">
      <c r="A67" s="28">
        <v>45721</v>
      </c>
      <c r="B67">
        <v>530.75</v>
      </c>
      <c r="C67" s="31">
        <f t="shared" si="7"/>
        <v>5.3075000000000001</v>
      </c>
    </row>
    <row r="68" spans="1:3" ht="15">
      <c r="A68" s="28">
        <v>45722</v>
      </c>
      <c r="B68">
        <v>537</v>
      </c>
      <c r="C68" s="31">
        <f t="shared" si="7"/>
        <v>5.37</v>
      </c>
    </row>
    <row r="69" spans="1:3" ht="15">
      <c r="A69" s="28">
        <v>45723</v>
      </c>
      <c r="B69">
        <v>533.75</v>
      </c>
      <c r="C69" s="31">
        <f t="shared" si="7"/>
        <v>5.3375000000000004</v>
      </c>
    </row>
    <row r="70" spans="1:3" ht="15">
      <c r="A70" s="28">
        <v>45726</v>
      </c>
      <c r="B70">
        <v>545.25</v>
      </c>
      <c r="C70" s="31">
        <f t="shared" si="7"/>
        <v>5.4524999999999997</v>
      </c>
    </row>
    <row r="71" spans="1:3" ht="15">
      <c r="A71" s="28">
        <v>45727</v>
      </c>
      <c r="B71">
        <v>541</v>
      </c>
      <c r="C71" s="31">
        <f t="shared" si="7"/>
        <v>5.41</v>
      </c>
    </row>
    <row r="72" spans="1:3" ht="15">
      <c r="A72" s="28">
        <v>45728</v>
      </c>
      <c r="B72">
        <v>538.75</v>
      </c>
      <c r="C72" s="31">
        <f t="shared" si="7"/>
        <v>5.3875000000000002</v>
      </c>
    </row>
    <row r="73" spans="1:3" ht="15">
      <c r="A73" s="28">
        <v>45729</v>
      </c>
      <c r="B73">
        <v>547.25</v>
      </c>
      <c r="C73" s="31">
        <f t="shared" si="7"/>
        <v>5.4725000000000001</v>
      </c>
    </row>
    <row r="74" spans="1:3" ht="15">
      <c r="A74" s="28">
        <v>45730</v>
      </c>
      <c r="B74">
        <v>545.75</v>
      </c>
      <c r="C74" s="31">
        <f t="shared" si="7"/>
        <v>5.4574999999999996</v>
      </c>
    </row>
    <row r="75" spans="1:3" ht="15">
      <c r="A75" s="28">
        <v>45733</v>
      </c>
      <c r="B75">
        <v>568.5</v>
      </c>
      <c r="C75" s="31">
        <f t="shared" si="7"/>
        <v>5.6849999999999996</v>
      </c>
    </row>
    <row r="76" spans="1:3" ht="15">
      <c r="A76" s="28">
        <v>45734</v>
      </c>
      <c r="B76">
        <v>565</v>
      </c>
      <c r="C76" s="31">
        <f t="shared" si="7"/>
        <v>5.65</v>
      </c>
    </row>
    <row r="77" spans="1:3" ht="15">
      <c r="A77" s="28">
        <v>45735</v>
      </c>
      <c r="B77">
        <v>563.5</v>
      </c>
      <c r="C77" s="31">
        <f t="shared" si="7"/>
        <v>5.6349999999999998</v>
      </c>
    </row>
    <row r="78" spans="1:3" ht="15">
      <c r="A78" s="28">
        <v>45736</v>
      </c>
      <c r="B78">
        <v>557.25</v>
      </c>
      <c r="C78" s="31">
        <f t="shared" si="7"/>
        <v>5.5724999999999998</v>
      </c>
    </row>
    <row r="79" spans="1:3" ht="15">
      <c r="A79" s="28">
        <v>45737</v>
      </c>
      <c r="B79">
        <v>558.25</v>
      </c>
      <c r="C79" s="31">
        <f t="shared" si="7"/>
        <v>5.5824999999999996</v>
      </c>
    </row>
    <row r="80" spans="1:3" ht="15">
      <c r="A80" s="28">
        <v>45740</v>
      </c>
      <c r="B80">
        <v>548.25</v>
      </c>
      <c r="C80" s="31">
        <f t="shared" si="7"/>
        <v>5.4824999999999999</v>
      </c>
    </row>
    <row r="81" spans="1:3" ht="15">
      <c r="A81" s="28">
        <v>45741</v>
      </c>
      <c r="B81">
        <v>543.25</v>
      </c>
      <c r="C81" s="31">
        <f t="shared" si="7"/>
        <v>5.4325000000000001</v>
      </c>
    </row>
    <row r="82" spans="1:3" ht="15">
      <c r="A82" s="28">
        <v>45742</v>
      </c>
      <c r="B82">
        <v>535.25</v>
      </c>
      <c r="C82" s="31">
        <f t="shared" si="7"/>
        <v>5.3525</v>
      </c>
    </row>
    <row r="83" spans="1:3" ht="15">
      <c r="A83" s="28">
        <v>45743</v>
      </c>
      <c r="B83">
        <v>532</v>
      </c>
      <c r="C83" s="31">
        <f t="shared" si="7"/>
        <v>5.32</v>
      </c>
    </row>
    <row r="84" spans="1:3" ht="15">
      <c r="A84" s="28">
        <v>45744</v>
      </c>
      <c r="B84">
        <v>528.25</v>
      </c>
      <c r="C84" s="31">
        <f t="shared" si="7"/>
        <v>5.2824999999999998</v>
      </c>
    </row>
    <row r="85" spans="1:3" ht="15">
      <c r="A85" s="28">
        <v>45747</v>
      </c>
      <c r="B85">
        <v>537</v>
      </c>
      <c r="C85" s="31">
        <f t="shared" si="7"/>
        <v>5.37</v>
      </c>
    </row>
    <row r="86" spans="1:3" ht="15">
      <c r="A86" s="28">
        <v>45748</v>
      </c>
      <c r="B86">
        <v>540.5</v>
      </c>
      <c r="C86" s="31">
        <f t="shared" si="7"/>
        <v>5.4050000000000002</v>
      </c>
    </row>
    <row r="87" spans="1:3" ht="15">
      <c r="A87" s="28">
        <v>45749</v>
      </c>
      <c r="B87">
        <v>539.25</v>
      </c>
      <c r="C87" s="31">
        <f t="shared" si="7"/>
        <v>5.3925000000000001</v>
      </c>
    </row>
    <row r="88" spans="1:3" ht="15">
      <c r="A88" s="28">
        <v>45750</v>
      </c>
      <c r="B88">
        <v>536</v>
      </c>
      <c r="C88" s="31">
        <f t="shared" si="7"/>
        <v>5.36</v>
      </c>
    </row>
    <row r="89" spans="1:3" ht="15">
      <c r="A89" s="28">
        <v>45751</v>
      </c>
      <c r="B89">
        <v>529</v>
      </c>
      <c r="C89" s="31">
        <f t="shared" si="7"/>
        <v>5.29</v>
      </c>
    </row>
    <row r="90" spans="1:3" ht="15">
      <c r="A90" s="28">
        <v>45754</v>
      </c>
      <c r="B90">
        <v>536.5</v>
      </c>
      <c r="C90" s="31">
        <f t="shared" ref="C90:C153" si="11">B90/100</f>
        <v>5.3650000000000002</v>
      </c>
    </row>
    <row r="91" spans="1:3" ht="15">
      <c r="A91" s="28">
        <v>45755</v>
      </c>
      <c r="B91">
        <v>540</v>
      </c>
      <c r="C91" s="31">
        <f t="shared" si="11"/>
        <v>5.4</v>
      </c>
    </row>
    <row r="92" spans="1:3" ht="15">
      <c r="A92" s="28">
        <v>45756</v>
      </c>
      <c r="B92">
        <v>542.25</v>
      </c>
      <c r="C92" s="31">
        <f t="shared" si="11"/>
        <v>5.4225000000000003</v>
      </c>
    </row>
    <row r="93" spans="1:3" ht="15">
      <c r="A93" s="28">
        <v>45757</v>
      </c>
      <c r="B93">
        <v>538</v>
      </c>
      <c r="C93" s="31">
        <f t="shared" si="11"/>
        <v>5.38</v>
      </c>
    </row>
    <row r="94" spans="1:3" ht="15">
      <c r="A94" s="28">
        <v>45758</v>
      </c>
      <c r="B94">
        <v>555.75</v>
      </c>
      <c r="C94" s="31">
        <f t="shared" si="11"/>
        <v>5.5575000000000001</v>
      </c>
    </row>
    <row r="95" spans="1:3" ht="15">
      <c r="A95" s="28">
        <v>45761</v>
      </c>
      <c r="B95">
        <v>547.5</v>
      </c>
      <c r="C95" s="31">
        <f t="shared" si="11"/>
        <v>5.4749999999999996</v>
      </c>
    </row>
    <row r="96" spans="1:3" ht="15">
      <c r="A96" s="28">
        <v>45762</v>
      </c>
      <c r="B96">
        <v>542</v>
      </c>
      <c r="C96" s="31">
        <f t="shared" si="11"/>
        <v>5.42</v>
      </c>
    </row>
    <row r="97" spans="1:3" ht="15">
      <c r="A97" s="28">
        <v>45763</v>
      </c>
      <c r="B97">
        <v>547.75</v>
      </c>
      <c r="C97" s="31">
        <f t="shared" si="11"/>
        <v>5.4775</v>
      </c>
    </row>
    <row r="98" spans="1:3" ht="15">
      <c r="A98" s="28">
        <v>45764</v>
      </c>
      <c r="B98">
        <v>548.75</v>
      </c>
      <c r="C98" s="31">
        <f t="shared" si="11"/>
        <v>5.4874999999999998</v>
      </c>
    </row>
    <row r="99" spans="1:3" ht="15">
      <c r="A99" s="28">
        <v>45768</v>
      </c>
      <c r="B99">
        <v>538.5</v>
      </c>
      <c r="C99" s="31">
        <f t="shared" si="11"/>
        <v>5.3849999999999998</v>
      </c>
    </row>
    <row r="100" spans="1:3" ht="15">
      <c r="A100" s="28">
        <v>45769</v>
      </c>
      <c r="B100">
        <v>535.5</v>
      </c>
      <c r="C100" s="31">
        <f t="shared" si="11"/>
        <v>5.3550000000000004</v>
      </c>
    </row>
    <row r="101" spans="1:3" ht="15">
      <c r="A101" s="28">
        <v>45770</v>
      </c>
      <c r="B101">
        <v>528.25</v>
      </c>
      <c r="C101" s="31">
        <f t="shared" si="11"/>
        <v>5.2824999999999998</v>
      </c>
    </row>
    <row r="102" spans="1:3" ht="15">
      <c r="A102" s="28">
        <v>45771</v>
      </c>
      <c r="B102">
        <v>529.25</v>
      </c>
      <c r="C102" s="31">
        <f t="shared" si="11"/>
        <v>5.2925000000000004</v>
      </c>
    </row>
    <row r="103" spans="1:3" ht="15">
      <c r="A103" s="28">
        <v>45772</v>
      </c>
      <c r="B103">
        <v>530</v>
      </c>
      <c r="C103" s="31">
        <f t="shared" si="11"/>
        <v>5.3</v>
      </c>
    </row>
    <row r="104" spans="1:3" ht="15">
      <c r="A104" s="28">
        <v>45775</v>
      </c>
      <c r="B104">
        <v>515.5</v>
      </c>
      <c r="C104" s="31">
        <f t="shared" si="11"/>
        <v>5.1550000000000002</v>
      </c>
    </row>
    <row r="105" spans="1:3" ht="15">
      <c r="A105" s="28">
        <v>45776</v>
      </c>
      <c r="B105">
        <v>505.75</v>
      </c>
      <c r="C105" s="31">
        <f t="shared" si="11"/>
        <v>5.0575000000000001</v>
      </c>
    </row>
    <row r="106" spans="1:3" ht="15">
      <c r="A106" s="28">
        <v>45777</v>
      </c>
      <c r="B106">
        <v>513</v>
      </c>
      <c r="C106" s="31">
        <f t="shared" si="11"/>
        <v>5.13</v>
      </c>
    </row>
    <row r="107" spans="1:3" ht="15">
      <c r="A107" s="28">
        <v>45778</v>
      </c>
      <c r="B107">
        <v>515.25</v>
      </c>
      <c r="C107" s="31">
        <f t="shared" si="11"/>
        <v>5.1524999999999999</v>
      </c>
    </row>
    <row r="108" spans="1:3" ht="15">
      <c r="A108" s="28">
        <v>45779</v>
      </c>
      <c r="B108">
        <v>526.5</v>
      </c>
      <c r="C108" s="31">
        <f t="shared" si="11"/>
        <v>5.2649999999999997</v>
      </c>
    </row>
    <row r="109" spans="1:3" ht="15">
      <c r="A109" s="28">
        <v>45782</v>
      </c>
      <c r="B109">
        <v>514.25</v>
      </c>
      <c r="C109" s="31">
        <f t="shared" si="11"/>
        <v>5.1425000000000001</v>
      </c>
    </row>
    <row r="110" spans="1:3" ht="15">
      <c r="A110" s="28">
        <v>45783</v>
      </c>
      <c r="B110">
        <v>519</v>
      </c>
      <c r="C110" s="31">
        <f t="shared" si="11"/>
        <v>5.19</v>
      </c>
    </row>
    <row r="111" spans="1:3" ht="15">
      <c r="A111" s="28">
        <v>45784</v>
      </c>
      <c r="B111">
        <v>518</v>
      </c>
      <c r="C111" s="31">
        <f t="shared" si="11"/>
        <v>5.18</v>
      </c>
    </row>
    <row r="112" spans="1:3" ht="15">
      <c r="A112" s="28">
        <v>45785</v>
      </c>
      <c r="B112">
        <v>513</v>
      </c>
      <c r="C112" s="31">
        <f t="shared" si="11"/>
        <v>5.13</v>
      </c>
    </row>
    <row r="113" spans="1:3" ht="15">
      <c r="A113" s="28">
        <v>45786</v>
      </c>
      <c r="B113">
        <v>505.5</v>
      </c>
      <c r="C113" s="31">
        <f t="shared" si="11"/>
        <v>5.0549999999999997</v>
      </c>
    </row>
    <row r="114" spans="1:3" ht="15">
      <c r="A114" s="28">
        <v>45789</v>
      </c>
      <c r="B114">
        <v>499</v>
      </c>
      <c r="C114" s="31">
        <f t="shared" si="11"/>
        <v>4.99</v>
      </c>
    </row>
    <row r="115" spans="1:3" ht="15">
      <c r="A115" s="28">
        <v>45790</v>
      </c>
      <c r="B115">
        <v>501.5</v>
      </c>
      <c r="C115" s="31">
        <f t="shared" si="11"/>
        <v>5.0149999999999997</v>
      </c>
    </row>
    <row r="116" spans="1:3" ht="15">
      <c r="A116" s="28">
        <v>45791</v>
      </c>
      <c r="B116">
        <v>508.75</v>
      </c>
      <c r="C116" s="31">
        <f t="shared" si="11"/>
        <v>5.0875000000000004</v>
      </c>
    </row>
    <row r="117" spans="1:3" ht="15">
      <c r="A117" s="28">
        <v>45792</v>
      </c>
      <c r="B117">
        <v>532.75</v>
      </c>
      <c r="C117" s="31">
        <f t="shared" si="11"/>
        <v>5.3274999999999997</v>
      </c>
    </row>
    <row r="118" spans="1:3" ht="15">
      <c r="A118" s="28">
        <v>45793</v>
      </c>
      <c r="B118">
        <v>525</v>
      </c>
      <c r="C118" s="31">
        <f t="shared" si="11"/>
        <v>5.25</v>
      </c>
    </row>
    <row r="119" spans="1:3" ht="15">
      <c r="A119" s="28">
        <v>45796</v>
      </c>
      <c r="B119">
        <v>529</v>
      </c>
      <c r="C119" s="31">
        <f t="shared" si="11"/>
        <v>5.29</v>
      </c>
    </row>
    <row r="120" spans="1:3" ht="15">
      <c r="A120" s="28">
        <v>45797</v>
      </c>
      <c r="B120">
        <v>546</v>
      </c>
      <c r="C120" s="31">
        <f t="shared" si="11"/>
        <v>5.46</v>
      </c>
    </row>
    <row r="121" spans="1:3" ht="15">
      <c r="A121" s="28">
        <v>45798</v>
      </c>
      <c r="B121">
        <v>549.25</v>
      </c>
      <c r="C121" s="31">
        <f t="shared" si="11"/>
        <v>5.4924999999999997</v>
      </c>
    </row>
    <row r="122" spans="1:3" ht="15">
      <c r="A122" s="28">
        <v>45799</v>
      </c>
      <c r="B122">
        <v>544.5</v>
      </c>
      <c r="C122" s="31">
        <f t="shared" si="11"/>
        <v>5.4450000000000003</v>
      </c>
    </row>
    <row r="123" spans="1:3" ht="15">
      <c r="A123" s="28">
        <v>45800</v>
      </c>
      <c r="B123">
        <v>542.5</v>
      </c>
      <c r="C123" s="31">
        <f t="shared" si="11"/>
        <v>5.4249999999999998</v>
      </c>
    </row>
    <row r="124" spans="1:3" ht="15">
      <c r="A124" s="28">
        <v>45804</v>
      </c>
      <c r="B124">
        <v>528.5</v>
      </c>
      <c r="C124" s="31">
        <f t="shared" si="11"/>
        <v>5.2850000000000001</v>
      </c>
    </row>
    <row r="125" spans="1:3" ht="15">
      <c r="A125" s="28">
        <v>45805</v>
      </c>
      <c r="B125">
        <v>530.25</v>
      </c>
      <c r="C125" s="31">
        <f t="shared" si="11"/>
        <v>5.3025000000000002</v>
      </c>
    </row>
    <row r="126" spans="1:3" ht="15">
      <c r="A126" s="28">
        <v>45806</v>
      </c>
      <c r="B126">
        <v>534</v>
      </c>
      <c r="C126" s="31">
        <f t="shared" si="11"/>
        <v>5.34</v>
      </c>
    </row>
    <row r="127" spans="1:3" ht="15">
      <c r="A127" s="28">
        <v>45807</v>
      </c>
      <c r="B127">
        <v>534</v>
      </c>
      <c r="C127" s="31">
        <f t="shared" si="11"/>
        <v>5.34</v>
      </c>
    </row>
    <row r="128" spans="1:3" ht="15">
      <c r="A128" s="28">
        <v>45810</v>
      </c>
      <c r="B128">
        <v>539</v>
      </c>
      <c r="C128" s="31">
        <f t="shared" si="11"/>
        <v>5.39</v>
      </c>
    </row>
    <row r="129" spans="1:3" ht="15">
      <c r="A129" s="28">
        <v>45811</v>
      </c>
      <c r="B129">
        <v>536</v>
      </c>
      <c r="C129" s="31">
        <f t="shared" si="11"/>
        <v>5.36</v>
      </c>
    </row>
    <row r="130" spans="1:3" ht="15">
      <c r="A130" s="28">
        <v>45812</v>
      </c>
      <c r="B130">
        <v>543.25</v>
      </c>
      <c r="C130" s="31">
        <f t="shared" si="11"/>
        <v>5.4325000000000001</v>
      </c>
    </row>
    <row r="131" spans="1:3" ht="15">
      <c r="A131" s="28">
        <v>45813</v>
      </c>
      <c r="B131">
        <v>545.5</v>
      </c>
      <c r="C131" s="31">
        <f t="shared" si="11"/>
        <v>5.4550000000000001</v>
      </c>
    </row>
    <row r="132" spans="1:3" ht="15">
      <c r="A132" s="28">
        <v>45814</v>
      </c>
      <c r="B132">
        <v>554.75</v>
      </c>
      <c r="C132" s="31">
        <f t="shared" si="11"/>
        <v>5.5475000000000003</v>
      </c>
    </row>
    <row r="133" spans="1:3" ht="15">
      <c r="A133" s="28">
        <v>45817</v>
      </c>
      <c r="B133">
        <v>542</v>
      </c>
      <c r="C133" s="31">
        <f t="shared" si="11"/>
        <v>5.42</v>
      </c>
    </row>
    <row r="134" spans="1:3" ht="15">
      <c r="A134" s="28">
        <v>45818</v>
      </c>
      <c r="B134">
        <v>534.5</v>
      </c>
      <c r="C134" s="31">
        <f t="shared" si="11"/>
        <v>5.3449999999999998</v>
      </c>
    </row>
    <row r="135" spans="1:3" ht="15">
      <c r="A135" s="28">
        <v>45819</v>
      </c>
      <c r="B135">
        <v>534.25</v>
      </c>
      <c r="C135" s="31">
        <f t="shared" si="11"/>
        <v>5.3425000000000002</v>
      </c>
    </row>
    <row r="136" spans="1:3" ht="15">
      <c r="A136" s="28">
        <v>45820</v>
      </c>
      <c r="B136">
        <v>526.5</v>
      </c>
      <c r="C136" s="31">
        <f t="shared" si="11"/>
        <v>5.2649999999999997</v>
      </c>
    </row>
    <row r="137" spans="1:3" ht="15">
      <c r="A137" s="28">
        <v>45821</v>
      </c>
      <c r="B137">
        <v>543.75</v>
      </c>
      <c r="C137" s="31">
        <f t="shared" si="11"/>
        <v>5.4375</v>
      </c>
    </row>
    <row r="138" spans="1:3" ht="15">
      <c r="A138" s="28">
        <v>45824</v>
      </c>
      <c r="B138">
        <v>536.5</v>
      </c>
      <c r="C138" s="31">
        <f t="shared" si="11"/>
        <v>5.3650000000000002</v>
      </c>
    </row>
    <row r="139" spans="1:3" ht="15">
      <c r="A139" s="28">
        <v>45825</v>
      </c>
      <c r="B139">
        <v>549</v>
      </c>
      <c r="C139" s="31">
        <f t="shared" si="11"/>
        <v>5.49</v>
      </c>
    </row>
    <row r="140" spans="1:3" ht="15">
      <c r="A140" s="28">
        <v>45826</v>
      </c>
      <c r="B140">
        <v>574.25</v>
      </c>
      <c r="C140" s="31">
        <f t="shared" si="11"/>
        <v>5.7424999999999997</v>
      </c>
    </row>
    <row r="141" spans="1:3" ht="15">
      <c r="A141" s="28">
        <v>45828</v>
      </c>
      <c r="B141">
        <v>567.75</v>
      </c>
      <c r="C141" s="31">
        <f t="shared" si="11"/>
        <v>5.6775000000000002</v>
      </c>
    </row>
    <row r="142" spans="1:3" ht="15">
      <c r="A142" s="28">
        <v>45831</v>
      </c>
      <c r="B142">
        <v>552.75</v>
      </c>
      <c r="C142" s="31">
        <f t="shared" si="11"/>
        <v>5.5274999999999999</v>
      </c>
    </row>
    <row r="143" spans="1:3" ht="15">
      <c r="A143" s="28">
        <v>45832</v>
      </c>
      <c r="B143">
        <v>535.75</v>
      </c>
      <c r="C143" s="31">
        <f t="shared" si="11"/>
        <v>5.3574999999999999</v>
      </c>
    </row>
    <row r="144" spans="1:3" ht="15">
      <c r="A144" s="28">
        <v>45833</v>
      </c>
      <c r="B144">
        <v>528.25</v>
      </c>
      <c r="C144" s="31">
        <f t="shared" si="11"/>
        <v>5.2824999999999998</v>
      </c>
    </row>
    <row r="145" spans="1:3" ht="15">
      <c r="A145" s="28">
        <v>45834</v>
      </c>
      <c r="B145">
        <v>521</v>
      </c>
      <c r="C145" s="31">
        <f t="shared" si="11"/>
        <v>5.21</v>
      </c>
    </row>
    <row r="146" spans="1:3" ht="15">
      <c r="A146" s="28">
        <v>45835</v>
      </c>
      <c r="B146">
        <v>524.75</v>
      </c>
      <c r="C146" s="31">
        <f t="shared" si="11"/>
        <v>5.2474999999999996</v>
      </c>
    </row>
    <row r="147" spans="1:3" ht="15">
      <c r="A147" s="28">
        <v>45838</v>
      </c>
      <c r="B147">
        <v>528.75</v>
      </c>
      <c r="C147" s="31">
        <f t="shared" si="11"/>
        <v>5.2874999999999996</v>
      </c>
    </row>
    <row r="148" spans="1:3" ht="15">
      <c r="A148" s="28">
        <v>45839</v>
      </c>
      <c r="B148">
        <v>537.25</v>
      </c>
      <c r="C148" s="31">
        <f t="shared" si="11"/>
        <v>5.3724999999999996</v>
      </c>
    </row>
    <row r="149" spans="1:3" ht="15">
      <c r="A149" s="28">
        <v>45840</v>
      </c>
      <c r="B149">
        <v>556</v>
      </c>
      <c r="C149" s="31">
        <f t="shared" si="11"/>
        <v>5.56</v>
      </c>
    </row>
    <row r="150" spans="1:3" ht="15">
      <c r="A150" s="28">
        <v>45841</v>
      </c>
      <c r="B150">
        <v>547.75</v>
      </c>
      <c r="C150" s="31">
        <f t="shared" si="11"/>
        <v>5.4775</v>
      </c>
    </row>
    <row r="151" spans="1:3" ht="15">
      <c r="A151" s="28">
        <v>45845</v>
      </c>
      <c r="B151">
        <v>539.75</v>
      </c>
      <c r="C151" s="31">
        <f t="shared" si="11"/>
        <v>5.3975</v>
      </c>
    </row>
    <row r="152" spans="1:3" ht="15">
      <c r="A152" s="28">
        <v>45846</v>
      </c>
      <c r="B152">
        <v>543</v>
      </c>
      <c r="C152" s="31">
        <f t="shared" si="11"/>
        <v>5.43</v>
      </c>
    </row>
    <row r="153" spans="1:3" ht="15">
      <c r="A153" s="28">
        <v>45847</v>
      </c>
      <c r="B153">
        <v>542.75</v>
      </c>
      <c r="C153" s="31">
        <f t="shared" si="11"/>
        <v>5.4275000000000002</v>
      </c>
    </row>
    <row r="154" spans="1:3" ht="15">
      <c r="A154" s="28">
        <v>45848</v>
      </c>
      <c r="B154">
        <v>550.25</v>
      </c>
      <c r="C154" s="31">
        <f t="shared" ref="C154:C174" si="12">B154/100</f>
        <v>5.5025000000000004</v>
      </c>
    </row>
    <row r="155" spans="1:3" ht="15">
      <c r="A155" s="28">
        <v>45849</v>
      </c>
      <c r="B155">
        <v>540.75</v>
      </c>
      <c r="C155" s="31">
        <f t="shared" si="12"/>
        <v>5.4074999999999998</v>
      </c>
    </row>
    <row r="156" spans="1:3" ht="15">
      <c r="A156" s="28">
        <v>45852</v>
      </c>
      <c r="B156">
        <v>534</v>
      </c>
      <c r="C156" s="31">
        <f t="shared" si="12"/>
        <v>5.34</v>
      </c>
    </row>
    <row r="157" spans="1:3" ht="15">
      <c r="A157" s="28">
        <v>45853</v>
      </c>
      <c r="B157">
        <v>538</v>
      </c>
      <c r="C157" s="31">
        <f t="shared" si="12"/>
        <v>5.38</v>
      </c>
    </row>
    <row r="158" spans="1:3" ht="15">
      <c r="A158" s="28">
        <v>45854</v>
      </c>
      <c r="B158">
        <v>541.25</v>
      </c>
      <c r="C158" s="31">
        <f t="shared" si="12"/>
        <v>5.4124999999999996</v>
      </c>
    </row>
    <row r="159" spans="1:3" ht="15">
      <c r="A159" s="28">
        <v>45855</v>
      </c>
      <c r="B159">
        <v>533.5</v>
      </c>
      <c r="C159" s="31">
        <f t="shared" si="12"/>
        <v>5.335</v>
      </c>
    </row>
    <row r="160" spans="1:3" ht="15">
      <c r="A160" s="28">
        <v>45856</v>
      </c>
      <c r="B160">
        <v>546.25</v>
      </c>
      <c r="C160" s="31">
        <f t="shared" si="12"/>
        <v>5.4625000000000004</v>
      </c>
    </row>
    <row r="161" spans="1:3" ht="15">
      <c r="A161" s="28">
        <v>45859</v>
      </c>
      <c r="B161">
        <v>542.25</v>
      </c>
      <c r="C161" s="31">
        <f t="shared" si="12"/>
        <v>5.4225000000000003</v>
      </c>
    </row>
    <row r="162" spans="1:3" ht="15">
      <c r="A162" s="28">
        <v>45860</v>
      </c>
      <c r="B162">
        <v>549.5</v>
      </c>
      <c r="C162" s="31">
        <f t="shared" si="12"/>
        <v>5.4950000000000001</v>
      </c>
    </row>
    <row r="163" spans="1:3" ht="15">
      <c r="A163" s="28">
        <v>45861</v>
      </c>
      <c r="B163">
        <v>540.5</v>
      </c>
      <c r="C163" s="31">
        <f t="shared" si="12"/>
        <v>5.4050000000000002</v>
      </c>
    </row>
    <row r="164" spans="1:3" ht="15">
      <c r="A164" s="28">
        <v>45862</v>
      </c>
      <c r="B164">
        <v>541.5</v>
      </c>
      <c r="C164" s="31">
        <f t="shared" si="12"/>
        <v>5.415</v>
      </c>
    </row>
    <row r="165" spans="1:3" ht="15">
      <c r="A165" s="28">
        <v>45863</v>
      </c>
      <c r="B165">
        <v>538.25</v>
      </c>
      <c r="C165" s="31">
        <f t="shared" si="12"/>
        <v>5.3825000000000003</v>
      </c>
    </row>
    <row r="166" spans="1:3" ht="15">
      <c r="A166" s="28">
        <v>45866</v>
      </c>
      <c r="B166">
        <v>538.5</v>
      </c>
      <c r="C166" s="31">
        <f t="shared" si="12"/>
        <v>5.3849999999999998</v>
      </c>
    </row>
    <row r="167" spans="1:3" ht="15">
      <c r="A167" s="28">
        <v>45867</v>
      </c>
      <c r="B167">
        <v>529.75</v>
      </c>
      <c r="C167" s="31">
        <f t="shared" si="12"/>
        <v>5.2975000000000003</v>
      </c>
    </row>
    <row r="168" spans="1:3" ht="15">
      <c r="A168" s="28">
        <v>45868</v>
      </c>
      <c r="B168">
        <v>523.75</v>
      </c>
      <c r="C168" s="31">
        <f t="shared" si="12"/>
        <v>5.2374999999999998</v>
      </c>
    </row>
    <row r="169" spans="1:3" ht="15">
      <c r="A169" s="28">
        <v>45869</v>
      </c>
      <c r="B169">
        <v>523.25</v>
      </c>
      <c r="C169" s="31">
        <f t="shared" si="12"/>
        <v>5.2324999999999999</v>
      </c>
    </row>
    <row r="170" spans="1:3" ht="15">
      <c r="A170" s="28">
        <v>45870</v>
      </c>
      <c r="B170">
        <v>516.75</v>
      </c>
      <c r="C170" s="31">
        <f t="shared" si="12"/>
        <v>5.1675000000000004</v>
      </c>
    </row>
    <row r="171" spans="1:3" ht="15">
      <c r="A171" s="28">
        <v>45873</v>
      </c>
      <c r="B171">
        <v>516.75</v>
      </c>
      <c r="C171" s="31">
        <f t="shared" si="12"/>
        <v>5.1675000000000004</v>
      </c>
    </row>
    <row r="172" spans="1:3" ht="15">
      <c r="A172" s="28">
        <v>45874</v>
      </c>
      <c r="B172">
        <v>508.25</v>
      </c>
      <c r="C172" s="31">
        <f t="shared" si="12"/>
        <v>5.0824999999999996</v>
      </c>
    </row>
    <row r="173" spans="1:3" ht="15">
      <c r="A173" s="28">
        <v>45875</v>
      </c>
      <c r="B173">
        <v>508.5</v>
      </c>
      <c r="C173" s="31">
        <f t="shared" si="12"/>
        <v>5.085</v>
      </c>
    </row>
    <row r="174" spans="1:3" ht="15">
      <c r="A174" s="28">
        <v>45876</v>
      </c>
      <c r="B174">
        <v>518.5</v>
      </c>
      <c r="C174" s="31">
        <f t="shared" si="12"/>
        <v>5.1849999999999996</v>
      </c>
    </row>
  </sheetData>
  <hyperlinks>
    <hyperlink ref="AG9" r:id="rId1" xr:uid="{1C948C0C-1310-AB4B-9172-88756740198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Baptista</dc:creator>
  <cp:lastModifiedBy>Felipe Baptista</cp:lastModifiedBy>
  <dcterms:created xsi:type="dcterms:W3CDTF">2025-08-07T14:28:03Z</dcterms:created>
  <dcterms:modified xsi:type="dcterms:W3CDTF">2025-12-10T23:53:07Z</dcterms:modified>
</cp:coreProperties>
</file>